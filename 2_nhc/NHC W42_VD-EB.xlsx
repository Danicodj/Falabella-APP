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listos-my.sharepoint.com/personal/daniel_barrera_visionymarketing_com_co/Documents/Documentos/FALABELLA/sensing-app/2_nhc/"/>
    </mc:Choice>
  </mc:AlternateContent>
  <xr:revisionPtr revIDLastSave="8" documentId="8_{5C149641-FC2D-463F-AC76-D2BB2EF25377}" xr6:coauthVersionLast="47" xr6:coauthVersionMax="47" xr10:uidLastSave="{D74604FB-A786-43F4-A8BA-C68108753E70}"/>
  <bookViews>
    <workbookView xWindow="-110" yWindow="-110" windowWidth="19420" windowHeight="10300" tabRatio="692" activeTab="3" xr2:uid="{CEE77E31-2BBE-482B-B3B5-84A29EAF5E8D}"/>
  </bookViews>
  <sheets>
    <sheet name="NHC TD" sheetId="99" r:id="rId1"/>
    <sheet name="RESUMEN" sheetId="98" r:id="rId2"/>
    <sheet name="DIRECTORY ALL" sheetId="44" r:id="rId3"/>
    <sheet name="NHC" sheetId="56" r:id="rId4"/>
    <sheet name="TAF" sheetId="159" state="veryHidden" r:id="rId5"/>
  </sheets>
  <definedNames>
    <definedName name="_______________________________________rd1" hidden="1">{"Retail Divisional",#N/A,FALSE,"DCIConsol";"Discovery Stores PL",#N/A,FALSE,"DCIConsol";"Flagship PL",#N/A,FALSE,"DCIConsol"}</definedName>
    <definedName name="______________________________________rd1" hidden="1">{"Retail Divisional",#N/A,FALSE,"DCIConsol";"Discovery Stores PL",#N/A,FALSE,"DCIConsol";"Flagship PL",#N/A,FALSE,"DCIConsol"}</definedName>
    <definedName name="_____________________________________rd1" hidden="1">{"Retail Divisional",#N/A,FALSE,"DCIConsol";"Discovery Stores PL",#N/A,FALSE,"DCIConsol";"Flagship PL",#N/A,FALSE,"DCIConsol"}</definedName>
    <definedName name="____________________________________rd1" hidden="1">{"Retail Divisional",#N/A,FALSE,"DCIConsol";"Discovery Stores PL",#N/A,FALSE,"DCIConsol";"Flagship PL",#N/A,FALSE,"DCIConsol"}</definedName>
    <definedName name="___________________________________rd1" hidden="1">{"Retail Divisional",#N/A,FALSE,"DCIConsol";"Discovery Stores PL",#N/A,FALSE,"DCIConsol";"Flagship PL",#N/A,FALSE,"DCIConsol"}</definedName>
    <definedName name="__________________________________rd1" hidden="1">{"Retail Divisional",#N/A,FALSE,"DCIConsol";"Discovery Stores PL",#N/A,FALSE,"DCIConsol";"Flagship PL",#N/A,FALSE,"DCIConsol"}</definedName>
    <definedName name="_________________________________rd1" hidden="1">{"Retail Divisional",#N/A,FALSE,"DCIConsol";"Discovery Stores PL",#N/A,FALSE,"DCIConsol";"Flagship PL",#N/A,FALSE,"DCIConsol"}</definedName>
    <definedName name="________________________________rd1" hidden="1">{"Retail Divisional",#N/A,FALSE,"DCIConsol";"Discovery Stores PL",#N/A,FALSE,"DCIConsol";"Flagship PL",#N/A,FALSE,"DCIConsol"}</definedName>
    <definedName name="_______________________________rd1" hidden="1">{"Retail Divisional",#N/A,FALSE,"DCIConsol";"Discovery Stores PL",#N/A,FALSE,"DCIConsol";"Flagship PL",#N/A,FALSE,"DCIConsol"}</definedName>
    <definedName name="______________________________rd1" hidden="1">{"Retail Divisional",#N/A,FALSE,"DCIConsol";"Discovery Stores PL",#N/A,FALSE,"DCIConsol";"Flagship PL",#N/A,FALSE,"DCIConsol"}</definedName>
    <definedName name="_____________________________rd1" hidden="1">{"Retail Divisional",#N/A,FALSE,"DCIConsol";"Discovery Stores PL",#N/A,FALSE,"DCIConsol";"Flagship PL",#N/A,FALSE,"DCIConsol"}</definedName>
    <definedName name="____________________________rd1" hidden="1">{"Retail Divisional",#N/A,FALSE,"DCIConsol";"Discovery Stores PL",#N/A,FALSE,"DCIConsol";"Flagship PL",#N/A,FALSE,"DCIConsol"}</definedName>
    <definedName name="___________________________rd1" hidden="1">{"Retail Divisional",#N/A,FALSE,"DCIConsol";"Discovery Stores PL",#N/A,FALSE,"DCIConsol";"Flagship PL",#N/A,FALSE,"DCIConsol"}</definedName>
    <definedName name="__________________________rd1" hidden="1">{"Retail Divisional",#N/A,FALSE,"DCIConsol";"Discovery Stores PL",#N/A,FALSE,"DCIConsol";"Flagship PL",#N/A,FALSE,"DCIConsol"}</definedName>
    <definedName name="_________________________rd1" hidden="1">{"Retail Divisional",#N/A,FALSE,"DCIConsol";"Discovery Stores PL",#N/A,FALSE,"DCIConsol";"Flagship PL",#N/A,FALSE,"DCIConsol"}</definedName>
    <definedName name="________________________rd1" hidden="1">{"Retail Divisional",#N/A,FALSE,"DCIConsol";"Discovery Stores PL",#N/A,FALSE,"DCIConsol";"Flagship PL",#N/A,FALSE,"DCIConsol"}</definedName>
    <definedName name="_______________________rd1" hidden="1">{"Retail Divisional",#N/A,FALSE,"DCIConsol";"Discovery Stores PL",#N/A,FALSE,"DCIConsol";"Flagship PL",#N/A,FALSE,"DCIConsol"}</definedName>
    <definedName name="______________________rd1" hidden="1">{"Retail Divisional",#N/A,FALSE,"DCIConsol";"Discovery Stores PL",#N/A,FALSE,"DCIConsol";"Flagship PL",#N/A,FALSE,"DCIConsol"}</definedName>
    <definedName name="_____________________rd1" hidden="1">{"Retail Divisional",#N/A,FALSE,"DCIConsol";"Discovery Stores PL",#N/A,FALSE,"DCIConsol";"Flagship PL",#N/A,FALSE,"DCIConsol"}</definedName>
    <definedName name="____________________rd1" hidden="1">{"Retail Divisional",#N/A,FALSE,"DCIConsol";"Discovery Stores PL",#N/A,FALSE,"DCIConsol";"Flagship PL",#N/A,FALSE,"DCIConsol"}</definedName>
    <definedName name="___________________rd1" hidden="1">{"Retail Divisional",#N/A,FALSE,"DCIConsol";"Discovery Stores PL",#N/A,FALSE,"DCIConsol";"Flagship PL",#N/A,FALSE,"DCIConsol"}</definedName>
    <definedName name="__________________rd1" hidden="1">{"Retail Divisional",#N/A,FALSE,"DCIConsol";"Discovery Stores PL",#N/A,FALSE,"DCIConsol";"Flagship PL",#N/A,FALSE,"DCIConsol"}</definedName>
    <definedName name="_________________rd1" hidden="1">{"Retail Divisional",#N/A,FALSE,"DCIConsol";"Discovery Stores PL",#N/A,FALSE,"DCIConsol";"Flagship PL",#N/A,FALSE,"DCIConsol"}</definedName>
    <definedName name="________________rd1" hidden="1">{"Retail Divisional",#N/A,FALSE,"DCIConsol";"Discovery Stores PL",#N/A,FALSE,"DCIConsol";"Flagship PL",#N/A,FALSE,"DCIConsol"}</definedName>
    <definedName name="_______________rd1" hidden="1">{"Retail Divisional",#N/A,FALSE,"DCIConsol";"Discovery Stores PL",#N/A,FALSE,"DCIConsol";"Flagship PL",#N/A,FALSE,"DCIConsol"}</definedName>
    <definedName name="______________rd1" hidden="1">{"Retail Divisional",#N/A,FALSE,"DCIConsol";"Discovery Stores PL",#N/A,FALSE,"DCIConsol";"Flagship PL",#N/A,FALSE,"DCIConsol"}</definedName>
    <definedName name="_____________rd1" hidden="1">{"Retail Divisional",#N/A,FALSE,"DCIConsol";"Discovery Stores PL",#N/A,FALSE,"DCIConsol";"Flagship PL",#N/A,FALSE,"DCIConsol"}</definedName>
    <definedName name="____________rd1" hidden="1">{"Retail Divisional",#N/A,FALSE,"DCIConsol";"Discovery Stores PL",#N/A,FALSE,"DCIConsol";"Flagship PL",#N/A,FALSE,"DCIConsol"}</definedName>
    <definedName name="___________rd1" hidden="1">{"Retail Divisional",#N/A,FALSE,"DCIConsol";"Discovery Stores PL",#N/A,FALSE,"DCIConsol";"Flagship PL",#N/A,FALSE,"DCIConsol"}</definedName>
    <definedName name="__________rd1" hidden="1">{"Retail Divisional",#N/A,FALSE,"DCIConsol";"Discovery Stores PL",#N/A,FALSE,"DCIConsol";"Flagship PL",#N/A,FALSE,"DCIConsol"}</definedName>
    <definedName name="_________rd1" hidden="1">{"Retail Divisional",#N/A,FALSE,"DCIConsol";"Discovery Stores PL",#N/A,FALSE,"DCIConsol";"Flagship PL",#N/A,FALSE,"DCIConsol"}</definedName>
    <definedName name="________rd1" hidden="1">{"Retail Divisional",#N/A,FALSE,"DCIConsol";"Discovery Stores PL",#N/A,FALSE,"DCIConsol";"Flagship PL",#N/A,FALSE,"DCIConsol"}</definedName>
    <definedName name="_______rd1" hidden="1">{"Retail Divisional",#N/A,FALSE,"DCIConsol";"Discovery Stores PL",#N/A,FALSE,"DCIConsol";"Flagship PL",#N/A,FALSE,"DCIConsol"}</definedName>
    <definedName name="______rd1" hidden="1">{"Retail Divisional",#N/A,FALSE,"DCIConsol";"Discovery Stores PL",#N/A,FALSE,"DCIConsol";"Flagship PL",#N/A,FALSE,"DCIConsol"}</definedName>
    <definedName name="_____rd1" hidden="1">{"Retail Divisional",#N/A,FALSE,"DCIConsol";"Discovery Stores PL",#N/A,FALSE,"DCIConsol";"Flagship PL",#N/A,FALSE,"DCIConsol"}</definedName>
    <definedName name="____rd1" hidden="1">{"Retail Divisional",#N/A,FALSE,"DCIConsol";"Discovery Stores PL",#N/A,FALSE,"DCIConsol";"Flagship PL",#N/A,FALSE,"DCIConsol"}</definedName>
    <definedName name="___rd1" hidden="1">{"Retail Divisional",#N/A,FALSE,"DCIConsol";"Discovery Stores PL",#N/A,FALSE,"DCIConsol";"Flagship PL",#N/A,FALSE,"DCIConsol"}</definedName>
    <definedName name="__rd1" hidden="1">{"Retail Divisional",#N/A,FALSE,"DCIConsol";"Discovery Stores PL",#N/A,FALSE,"DCIConsol";"Flagship PL",#N/A,FALSE,"DCIConsol"}</definedName>
    <definedName name="_1Sin_nombre">#REF!</definedName>
    <definedName name="_Fill" hidden="1">#REF!</definedName>
    <definedName name="_xlnm._FilterDatabase" localSheetId="1" hidden="1">RESUMEN!$F$17:$Q$47</definedName>
    <definedName name="_xlnm._FilterDatabase" hidden="1">#REF!</definedName>
    <definedName name="_Key1" hidden="1">#REF!</definedName>
    <definedName name="_Order1" hidden="1">0</definedName>
    <definedName name="_rd1" hidden="1">{"Retail Divisional",#N/A,FALSE,"DCIConsol";"Discovery Stores PL",#N/A,FALSE,"DCIConsol";"Flagship PL",#N/A,FALSE,"DCIConsol"}</definedName>
    <definedName name="_Regression_Int" hidden="1">1</definedName>
    <definedName name="_Sort" hidden="1">#REF!</definedName>
    <definedName name="aa" hidden="1">{#N/A,#N/A,FALSE,"Pauta Prensa"}</definedName>
    <definedName name="aaaaaa" hidden="1">{#N/A,#N/A,FALSE,"Pauta Prensa"}</definedName>
    <definedName name="Act_2H_2013" hidden="1">#REF!</definedName>
    <definedName name="Act_3Q_2013" hidden="1">#REF!</definedName>
    <definedName name="Act_4Q_2013" hidden="1">#REF!</definedName>
    <definedName name="Act_Aug_2013" hidden="1">#REF!</definedName>
    <definedName name="Act_Dec_2013" hidden="1">#REF!</definedName>
    <definedName name="Act_July_2013" hidden="1">#REF!</definedName>
    <definedName name="Act_Nov_2013" hidden="1">#REF!</definedName>
    <definedName name="Act_Oct_2013" hidden="1">#REF!</definedName>
    <definedName name="Act_Sep_2013" hidden="1">#REF!</definedName>
    <definedName name="Act_Total_2013" hidden="1">#REF!</definedName>
    <definedName name="ASDGSAF56" hidden="1">#REF!</definedName>
    <definedName name="BEx0041RNVGGN8SKGQTWHTVAGKBV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6L4N3WDFUWI1GNCD89U2A5" hidden="1">#REF!</definedName>
    <definedName name="BEx00JC31DY11L45SEU4B10BIN6W" hidden="1">#REF!</definedName>
    <definedName name="BEx00KZHZBHP3TDV1YMX4B19B95O" hidden="1">#REF!</definedName>
    <definedName name="BEx00MBY8XXUOHIZ4LHXHPD7WYD5" hidden="1">#REF!</definedName>
    <definedName name="BEx00U9SHQ0NHO9GPJITAMG5T4E9" hidden="1">#REF!</definedName>
    <definedName name="BEx01049R9ZE3WM0TJWIDL7I2AO5" hidden="1">#REF!</definedName>
    <definedName name="BEx01ENHRJ6HQA50Q3FK6SO51Q9T" hidden="1">#REF!</definedName>
    <definedName name="BEx01HY6E3GJ66ABU5ABN26V6Q13" hidden="1">#REF!</definedName>
    <definedName name="BEx01OUB4O4WRFOJNWVPWW5JW3FT" hidden="1">#REF!</definedName>
    <definedName name="BEx01PW5YQKEGAR8JDDI5OARYXDF" hidden="1">#REF!</definedName>
    <definedName name="BEx01T1EVAEW9BLAP4L6II4G6OC4" hidden="1">#REF!</definedName>
    <definedName name="BEx01X35DZBL50I19K4ZSW4F1ESH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074OSEZ6ZB48HMH7Y5VD8Q6" hidden="1">#REF!</definedName>
    <definedName name="BEx0313GRLLASDTVPW5DHTXHE74M" hidden="1">#REF!</definedName>
    <definedName name="BEx03JOGO9G781VN8ZZ5LSPX8R5N" hidden="1">#REF!</definedName>
    <definedName name="BEx040GNGACOQI5MY5X2NE42ZWDU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ACQL91IG43LSU6M1F2TWPZN" hidden="1">#REF!</definedName>
    <definedName name="BEx1GB92OWY6P3B3Z6EYFUUWMITG" hidden="1">#REF!</definedName>
    <definedName name="BEx1GVMRHFXUP6XYYY9NR12PV5TF" hidden="1">#REF!</definedName>
    <definedName name="BEx1H1ML5HADZ10JW45VBR13QQR0" hidden="1">#REF!</definedName>
    <definedName name="BEx1H6KIT7BHUH6MDDWC935V9N47" hidden="1">#REF!</definedName>
    <definedName name="BEx1HAM90SSTYK34FW0J69LR4XD3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M2TBFL6UBVA6E4PKNSPI96" hidden="1">#REF!</definedName>
    <definedName name="BEx1HGWNWPLNXICOTP90TKQVVE4E" hidden="1">#REF!</definedName>
    <definedName name="BEx1HIPLJZABY0EMUOTZN0EQMDPU" hidden="1">#REF!</definedName>
    <definedName name="BEx1HM08T95ZIZ0QIGXKNTR8IEXC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38LBZSH2UZJIZXAE5XOUU55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IO5K6I7IKQDF03D2IVYJUTL" hidden="1">#REF!</definedName>
    <definedName name="BEx1IKRPW8MLB9Y485M1TL2IT9SH" hidden="1">#REF!</definedName>
    <definedName name="BEx1IM9OUZH86IRU6TB9JUDVG85S" hidden="1">#REF!</definedName>
    <definedName name="BEx1IYUTKK7PT6OFYKJ3FA9134SG" hidden="1">#REF!</definedName>
    <definedName name="BEx1J0CSSHDJGBJUHVOEMCF2P4DL" hidden="1">#REF!</definedName>
    <definedName name="BEx1J61RRF9LJ3V3R5OY3WJ6VBWR" hidden="1">#REF!</definedName>
    <definedName name="BEx1J7E8VCGLPYU82QXVUG5N3ZAI" hidden="1">#REF!</definedName>
    <definedName name="BEx1JGE2YQWH8S25USOY08XVGO0D" hidden="1">#REF!</definedName>
    <definedName name="BEx1JUBQFRVMASSFK4B3V0AD7YP9" hidden="1">#REF!</definedName>
    <definedName name="BEx1JXBM5W4YRWNQ0P95QQS6JWD6" hidden="1">#REF!</definedName>
    <definedName name="BEx1KCWQ445PDI0YUBIXZBK5EWCP" hidden="1">#REF!</definedName>
    <definedName name="BEx1KE3UQS5PNLQN2PVBNJ3JA3RR" hidden="1">#REF!</definedName>
    <definedName name="BEx1KG7CKL1Z0O5WR9GG2R4CJ90X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99TAHJC41XZNAM91MOGNSNY" hidden="1">#REF!</definedName>
    <definedName name="BEx1LD63FP2Z4BR9TKSHOZW9KKZ5" hidden="1">#REF!</definedName>
    <definedName name="BEx1LDMB9RW982DUILM2WPT5VWQ3" hidden="1">#REF!</definedName>
    <definedName name="BEx1LRPGDQCOEMW8YT80J1XCDCIV" hidden="1">#REF!</definedName>
    <definedName name="BEx1LRUSJW4JG54X07QWD9R27WV9" hidden="1">#REF!</definedName>
    <definedName name="BEx1LUJVY9H1DT1Z1Z7LEU1IKLMI" hidden="1">#REF!</definedName>
    <definedName name="BEx1LXJS3QSAWV3NLZIJNH0XLOJT" hidden="1">#REF!</definedName>
    <definedName name="BEx1M1WBK5T0LP1AK2JYV6W87ID6" hidden="1">#REF!</definedName>
    <definedName name="BEx1M3JJGKF1YALMTNWMK99YH9FT" hidden="1">#REF!</definedName>
    <definedName name="BEx1M51HHDYGIT8PON7U8ICL2S95" hidden="1">#REF!</definedName>
    <definedName name="BEx1MEBZTWO6XAWNC9Z6T7VUC26Q" hidden="1">#REF!</definedName>
    <definedName name="BEx1MMQ3H3E9MBH330J6MD3EP8AD" hidden="1">#REF!</definedName>
    <definedName name="BEx1MPKI02N0M7KPS3TE6W9JCCD4" hidden="1">#REF!</definedName>
    <definedName name="BEx1MTRKKVCHOZ0YGID6HZ49LJTO" hidden="1">#REF!</definedName>
    <definedName name="BEx1N0IFWPSL686RSLZTZA4KIY2A" hidden="1">#REF!</definedName>
    <definedName name="BEx1N321GH4M0V9WAHX9O2I1YPXT" hidden="1">#REF!</definedName>
    <definedName name="BEx1N3CUJ3UX61X38ZAJVPEN4KMC" hidden="1">#REF!</definedName>
    <definedName name="BEx1N50ADOP1L2424RLEW0RRJ9YI" hidden="1">#REF!</definedName>
    <definedName name="BEx1N8LR3GMAGKC4JNDEE3FHUX5F" hidden="1">#REF!</definedName>
    <definedName name="BEx1NFCG8AI9NXWO5ROKI6DYZP77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T4RIIP1DMELF4Z1FL5857FC" hidden="1">#REF!</definedName>
    <definedName name="BEx1NUBX5VUYZFKQH69FN6BTLWCR" hidden="1">#REF!</definedName>
    <definedName name="BEx1NZ4K1L8UON80Y2A4RASKWGNP" hidden="1">#REF!</definedName>
    <definedName name="BEx1O0XA02OXBEY6AAS94L6P1KSR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4S5Y4X1AG5YL9DS164978PB" hidden="1">#REF!</definedName>
    <definedName name="BEx1P76GQY1SRW1J9TKPT6A9SJ41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FQ1QE6F3SZJYU1QDGULFWP5" hidden="1">#REF!</definedName>
    <definedName name="BEx1PLF2CFSXBZPVI6CJ534EIJDN" hidden="1">#REF!</definedName>
    <definedName name="BEx1PMWZB2DO6EM9BKLUICZJ65HD" hidden="1">#REF!</definedName>
    <definedName name="BEx1PR415U01RF514LC24LSXZ46E" hidden="1">#REF!</definedName>
    <definedName name="BEx1PXUPD5XRUU2SPVGZCRNTWS98" hidden="1">#REF!</definedName>
    <definedName name="BEx1QA54J2A4I7IBQR19BTY28ZMR" hidden="1">#REF!</definedName>
    <definedName name="BEx1QIU02UKQDRQO4JFJQTQPA9M2" hidden="1">#REF!</definedName>
    <definedName name="BEx1QJFKQ4P5B7EYWGSBHH14SUBP" hidden="1">#REF!</definedName>
    <definedName name="BEx1QMQAHG3KQUK59DVM68SWKZIZ" hidden="1">#REF!</definedName>
    <definedName name="BEx1QOTTD8A7ZISZKTC3BOOVKWEN" hidden="1">#REF!</definedName>
    <definedName name="BEx1R02C8KNH9YXA8P430NC2J4P0" hidden="1">#REF!</definedName>
    <definedName name="BEx1R9YFKJCMSEST8OVCAO5E47FO" hidden="1">#REF!</definedName>
    <definedName name="BEx1RBGC06B3T52OIC0EQ1KGVP1I" hidden="1">#REF!</definedName>
    <definedName name="BEx1RC1XUZF1PHTSSD51D02TY1GG" hidden="1">#REF!</definedName>
    <definedName name="BEx1RRC7X4NI1CU4EO5XYE2GVARJ" hidden="1">#REF!</definedName>
    <definedName name="BEx1RZA1NCGT832L7EMR7GMF588W" hidden="1">#REF!</definedName>
    <definedName name="BEx1S0MOOGSSYT24R5GZFG5GMGFR" hidden="1">#REF!</definedName>
    <definedName name="BEx1S0XGIPUSZQUCSGWSK10GKW7Y" hidden="1">#REF!</definedName>
    <definedName name="BEx1S2FEWJXLM2HPC239QFT3BDHZ" hidden="1">#REF!</definedName>
    <definedName name="BEx1S5VFNKIXHTTCWSV60UC50EZ8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7SCX7KK0ROG334AKM67Y8WU" hidden="1">#REF!</definedName>
    <definedName name="BEx1TJ0WLS9O7KNSGIPWTYHDYI1D" hidden="1">#REF!</definedName>
    <definedName name="BEx1TJ0X5MMF3F8PM57HG3USB7X0" hidden="1">#REF!</definedName>
    <definedName name="BEx1TKO60692UDYS7K2B1UUUGKB1" hidden="1">#REF!</definedName>
    <definedName name="BEx1TNTKITTEKOJ5Q0RUF0799ZGD" hidden="1">#REF!</definedName>
    <definedName name="BEx1U15M7LVVFZENH830B2BGWC04" hidden="1">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O8EH2FBP93NFS68QR2BNC4E" hidden="1">#REF!</definedName>
    <definedName name="BEx1UPQDGO00ACQUPWQGS570TSCC" hidden="1">#REF!</definedName>
    <definedName name="BEx1UUDIQPZ23XQ79GUL0RAWRSCK" hidden="1">#REF!</definedName>
    <definedName name="BEx1V67SEV778NVW68J8W5SND1J7" hidden="1">#REF!</definedName>
    <definedName name="BEx1VIY9SQLRESD11CC4PHYT0XSG" hidden="1">#REF!</definedName>
    <definedName name="BEx1VQQSB5BKTBE7EAFXSN31CNVX" hidden="1">#REF!</definedName>
    <definedName name="BEx1W8FDLOFGE28JXY6J54MICRMP" hidden="1">#REF!</definedName>
    <definedName name="BEx1WC67EH10SC38QWX3WEA5KH3A" hidden="1">#REF!</definedName>
    <definedName name="BEx1WDO53ZG95BCDDJH20QVTZIEM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7Q0G1LTI0C8Z5E5Y0A7HXC" hidden="1">#REF!</definedName>
    <definedName name="BEx1WMD1LWPWRIK6GGAJRJAHJM8I" hidden="1">#REF!</definedName>
    <definedName name="BEx1WR0D41MR174LBF3P9E3K0J51" hidden="1">#REF!</definedName>
    <definedName name="BEx1WU09CIHOI0L84XXCKC501H1F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3QU07GK7I7KLROCFBELK7NH" hidden="1">#REF!</definedName>
    <definedName name="BEx1XBOUJ7AP3QDDAR3CTJWQXB66" hidden="1">#REF!</definedName>
    <definedName name="BEx1XK8AAMO0AH0Z1OUKW30CA7EQ" hidden="1">#REF!</definedName>
    <definedName name="BEx1XL4MZ7C80495GHQRWOBS16PQ" hidden="1">#REF!</definedName>
    <definedName name="BEx1XN86QZPXEC2550TP8XT6SWZX" hidden="1">#REF!</definedName>
    <definedName name="BEx1Y2IGS2K95E1M51PEF9KJZ0KB" hidden="1">#REF!</definedName>
    <definedName name="BEx1Y3PKK83X2FN9SAALFHOWKMRQ" hidden="1">#REF!</definedName>
    <definedName name="BEx1YKHSW5HDSZLEI6ETN0XC509V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P3QCQ99KI0ODZGOWFEHAEE7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5ACPKV4XIAY0LO077TCRNLJ" hidden="1">#REF!</definedName>
    <definedName name="BEx3CBKXPIN2XM7QJNI7O0MB70AR" hidden="1">#REF!</definedName>
    <definedName name="BEx3CO0SVO4WLH0DO43DCHYDTH1P" hidden="1">#REF!</definedName>
    <definedName name="BEx3D35KVB55GTY44YX4O9YGEVQI" hidden="1">#REF!</definedName>
    <definedName name="BEx3D9G6QTSPF9UYI4X0XY0VE896" hidden="1">#REF!</definedName>
    <definedName name="BEx3DCQU9PBRXIMLO62KS5RLH447" hidden="1">#REF!</definedName>
    <definedName name="BEx3E22INXU2VKWET4AVSBR8WAD6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QY1DLE7G1BN4GY27QI7C7L8" hidden="1">#REF!</definedName>
    <definedName name="BEx3EUUAX947Q5N6MY6W0KSNY78Y" hidden="1">#REF!</definedName>
    <definedName name="BEx3FG4DPAPTA9PM2Q6BMWI6BIHV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8FY85SUKO01ZJQZYO51EA75" hidden="1">#REF!</definedName>
    <definedName name="BEx3GCXR6IAS0B6WJ03GJVH7CO52" hidden="1">#REF!</definedName>
    <definedName name="BEx3GDZH5KHUU0C7RY1PDVGKTH8E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GQ9V1DONRHIKU8HGIPUP1EGT" hidden="1">#REF!</definedName>
    <definedName name="BEx3H5UX2GZFZZT657YR76RHW5I6" hidden="1">#REF!</definedName>
    <definedName name="BEx3HMSEFOP6DBM4R97XA6B7NFG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MLPLFDY04Z6ON69TCWA33TL" hidden="1">#REF!</definedName>
    <definedName name="BEx3IWN8YPN2XHSCISQB9608ZLOD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2XUDDF0SSPYVBJC3N2BVRNR" hidden="1">#REF!</definedName>
    <definedName name="BEx3J7QH4LGY9ICTO8VUJNBVFU25" hidden="1">#REF!</definedName>
    <definedName name="BEx3JC2TY7JNAAC3L7QHVPQXLGQ8" hidden="1">#REF!</definedName>
    <definedName name="BEx3JNX3WLGSOICGSLO5MXW044NQ" hidden="1">#REF!</definedName>
    <definedName name="BEx3JWB8EIB42E4QPNP0F6ZKJHSM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JZAXL8KNT6BS2DKSBQW8WFTT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9WT886UPC0M8AH5Y82YAB1H" hidden="1">#REF!</definedName>
    <definedName name="BEx3LGNJ28I08P001Y2KUNWJ0V4E" hidden="1">#REF!</definedName>
    <definedName name="BEx3LM1PR4Y7KINKMTMKR984GX8Q" hidden="1">#REF!</definedName>
    <definedName name="BEx3LPCEZ1C0XEKNCM3YT09JWCUO" hidden="1">#REF!</definedName>
    <definedName name="BEx3LRQPBEYUQ8NMLL8AOZ2SXLOI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REOFWJQEYMCMBL7ZE06NBN6" hidden="1">#REF!</definedName>
    <definedName name="BEx3MW1VHR8JIAS5J58XQ0CC4L8U" hidden="1">#REF!</definedName>
    <definedName name="BEx3N51IHA88UXRPEENI44P0KP7U" hidden="1">#REF!</definedName>
    <definedName name="BEx3N7FW0O3BI5FG5H3TN8ESSC61" hidden="1">#REF!</definedName>
    <definedName name="BEx3N7VYL8CCBFTRFOA6W3BWAQJ0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NRO3AYMFDYXTWL328EYJ3D82" hidden="1">#REF!</definedName>
    <definedName name="BEx3O19B8FTTAPVT5DZXQGQXWFR8" hidden="1">#REF!</definedName>
    <definedName name="BEx3O4UTUA33JXOLW93PBUNL68CV" hidden="1">#REF!</definedName>
    <definedName name="BEx3O85IKWARA6NCJOLRBRJFMEWW" hidden="1">#REF!</definedName>
    <definedName name="BEx3ORSBUXAF21MKEY90YJV9AY9A" hidden="1">#REF!</definedName>
    <definedName name="BEx3OSDPC76YELEXOE4HPHR08Z63" hidden="1">#REF!</definedName>
    <definedName name="BEx3OV8BH6PYNZT7C246LOAU9SVX" hidden="1">#REF!</definedName>
    <definedName name="BEx3OW4OXPNECGRRY4PE81I8D64L" hidden="1">#REF!</definedName>
    <definedName name="BEx3OXRYJZUEY6E72UJU0PHLMYAR" hidden="1">#REF!</definedName>
    <definedName name="BEx3P54EFPJ9XERKXPZGLNSLQXCN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H99MLZU1LB38QDL3NELDJBG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PNDD7L6SUISGSI2D375NSCH" hidden="1">#REF!</definedName>
    <definedName name="BEx3PQZZ6L9TOCDKNGIDPO8Y2G54" hidden="1">#REF!</definedName>
    <definedName name="BEx3PVXYZC8WB9ZJE7OCKUXZ46EA" hidden="1">#REF!</definedName>
    <definedName name="BEx3Q0VWPU5EQECK7MQ47TYJ3SWW" hidden="1">#REF!</definedName>
    <definedName name="BEx3Q3QHHJB3PUJIXDIL8G6EHCRE" hidden="1">#REF!</definedName>
    <definedName name="BEx3Q7BZ9PUXK2RLIOFSIS9AHU1B" hidden="1">#REF!</definedName>
    <definedName name="BEx3Q8J42S9VU6EAN2Y28MR6DF88" hidden="1">#REF!</definedName>
    <definedName name="BEx3Q9QA35ZVN9VVHN81BBIVN881" hidden="1">#REF!</definedName>
    <definedName name="BEx3QD0XYUEL1G6J200V2STCORG5" hidden="1">#REF!</definedName>
    <definedName name="BEx3QEDFOYFY5NBTININ5W4RLD4Q" hidden="1">#REF!</definedName>
    <definedName name="BEx3QH2K40ZZFYJES4QCRY78Q560" hidden="1">#REF!</definedName>
    <definedName name="BEx3QIKJ3U962US1Q564NZDLU8LD" hidden="1">#REF!</definedName>
    <definedName name="BEx3QVGG7Q2X4HZHJAM35A8T3VR7" hidden="1">#REF!</definedName>
    <definedName name="BEx3R0JUB9YN8PHPPQTAMIT1IHWK" hidden="1">#REF!</definedName>
    <definedName name="BEx3R1WCON8Y46DIUD83JXJL85SX" hidden="1">#REF!</definedName>
    <definedName name="BEx3R81NFRO7M81VHVKOBFT0QBIL" hidden="1">#REF!</definedName>
    <definedName name="BEx3RSFBB83TAKX7N3F394TT3RW4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2WXUEQA8PLX4U6G9LJB63ZN" hidden="1">#REF!</definedName>
    <definedName name="BEx3SICJ45BYT6FHBER86PJT25FC" hidden="1">#REF!</definedName>
    <definedName name="BEx3SL1NUYCLQWKW8EFSFZGONHKE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ST4Y5OZXSIK7V846SMFT5B23" hidden="1">#REF!</definedName>
    <definedName name="BEx3SWQG9ED1M1Q5D63K0HZ15GQG" hidden="1">#REF!</definedName>
    <definedName name="BEx3T29ZTULQE0OMSMWUMZDU9ZZ0" hidden="1">#REF!</definedName>
    <definedName name="BEx3T6MJ1QDJ929WMUDVZ0O3UW0Y" hidden="1">#REF!</definedName>
    <definedName name="BEx3TEPSM88IET8PDLKKCHMFEMFM" hidden="1">#REF!</definedName>
    <definedName name="BEx3TO09F9SV99SJXCUC1B49RVCJ" hidden="1">#REF!</definedName>
    <definedName name="BEx3TPCSI16OAB2L9M9IULQMQ9J9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BQWUJW9KX0PXKZ4TRHMR71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6EJO8BG91O9M5DVBLNPDBKG" hidden="1">#REF!</definedName>
    <definedName name="BEx3VML7CG70HPISMVYIUEN3711Q" hidden="1">#REF!</definedName>
    <definedName name="BEx56ZID5H04P9AIYLP1OASFGV56" hidden="1">#REF!</definedName>
    <definedName name="BEx5802QAJKNHFBFPTR0PSRHQPJE" hidden="1">#REF!</definedName>
    <definedName name="BEx587EYSS57E3PI8DT973HLJM9E" hidden="1">#REF!</definedName>
    <definedName name="BEx587KFQ3VKCOCY1SA5F24PQGUI" hidden="1">#REF!</definedName>
    <definedName name="BEx58O780PQ05NF0Z1SKKRB3N099" hidden="1">#REF!</definedName>
    <definedName name="BEx58TQX0NMJ7PEK7FGSZYV4GIC8" hidden="1">#REF!</definedName>
    <definedName name="BEx58XHO7ZULLF2EUD7YIS0MGQJ5" hidden="1">#REF!</definedName>
    <definedName name="BEx58ZW0HAIGIPEX9CVA1PQQTR6X" hidden="1">#REF!</definedName>
    <definedName name="BEx591ZJ14LAJI4Q8DU3CQQBHZDV" hidden="1">#REF!</definedName>
    <definedName name="BEx59BA1KH3RG6K1LHL7YS2VB79N" hidden="1">#REF!</definedName>
    <definedName name="BEx59E9WABJP2TN71QAIKK79HPK9" hidden="1">#REF!</definedName>
    <definedName name="BEx59F69AUE7BRU78N1F86YMNW3C" hidden="1">#REF!</definedName>
    <definedName name="BEx59P7MAPNU129ZTC5H3EH892G1" hidden="1">#REF!</definedName>
    <definedName name="BEx59WPJZYWUOEGJHPOVM5ETCM6G" hidden="1">#REF!</definedName>
    <definedName name="BEx5A11WZRQSIE089QE119AOX9ZG" hidden="1">#REF!</definedName>
    <definedName name="BEx5A53I4OI80LV9DRIR9EFD2XUD" hidden="1">#REF!</definedName>
    <definedName name="BEx5A7CIGCOTHJKHGUBDZG91JGPZ" hidden="1">#REF!</definedName>
    <definedName name="BEx5A8UFLT2SWVSG5COFA9B8P376" hidden="1">#REF!</definedName>
    <definedName name="BEx5ACAHJPLAS35SPSXQ88PJYGPI" hidden="1">#REF!</definedName>
    <definedName name="BEx5AFFTN3IXIBHDKM0FYC4OFL1S" hidden="1">#REF!</definedName>
    <definedName name="BEx5ANDOOW91YBCYUL4H4JOJKCSS" hidden="1">#REF!</definedName>
    <definedName name="BEx5AOFIO8KVRHIZ1RII337AA8ML" hidden="1">#REF!</definedName>
    <definedName name="BEx5APRZ66L5BWHFE8E4YYNEDTI4" hidden="1">#REF!</definedName>
    <definedName name="BEx5ARQ6V82KDMN77WT0B1AK7B5S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QN48A0P0HALA6YWGQLFIY7R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NR9ZYFH7VDST1YKR6JOAOVD" hidden="1">#REF!</definedName>
    <definedName name="BEx5CPEKNSJORIPFQC2E1LTRYY8L" hidden="1">#REF!</definedName>
    <definedName name="BEx5CQR6PPHZ1S1UI8J4XM1TRDYC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E0WSHV07SK66DV4WIKQ6AZH6" hidden="1">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J1HYK9CX4GNSN0TNR0U9EPZ" hidden="1">#REF!</definedName>
    <definedName name="BEx5ELQL9B0VR6UT18KP11DHOTFX" hidden="1">#REF!</definedName>
    <definedName name="BEx5ER4TJTFPN7IB1MNEB1ZFR5M6" hidden="1">#REF!</definedName>
    <definedName name="BEx5ETZ8XY4NGG5HD6NFLM508O70" hidden="1">#REF!</definedName>
    <definedName name="BEx5EZ2ORDJQSTT4KQMZALOFR80B" hidden="1">#REF!</definedName>
    <definedName name="BEx5F2O3LIIQST717A3WIIBX0T3G" hidden="1">#REF!</definedName>
    <definedName name="BEx5F6V72QTCK7O39Y59R0EVM6CW" hidden="1">#REF!</definedName>
    <definedName name="BEx5FGLQVACD5F5YZG4DGSCHCGO2" hidden="1">#REF!</definedName>
    <definedName name="BEx5FGR7YST9UWW32VFER0W4LEF2" hidden="1">#REF!</definedName>
    <definedName name="BEx5FJ5JX7RJ6IBML2NQSRST308A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SW55LVAZI956T9XU4KIBELE" hidden="1">#REF!</definedName>
    <definedName name="BEx5FTCEIIRM9OOPXK6PB2KJSLTA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8H70AOIQNK90C2VU5BAF8TV" hidden="1">#REF!</definedName>
    <definedName name="BEx5GBX7IZPRUF5ZQKYJ6HIMPDW4" hidden="1">#REF!</definedName>
    <definedName name="BEx5GE66YNPSS5MSPTBXLYLNUHSJ" hidden="1">#REF!</definedName>
    <definedName name="BEx5GGPZWJ6W4A7SMQZO3MUYK1WN" hidden="1">#REF!</definedName>
    <definedName name="BEx5GID9MVBUPFFT9M8K8B5MO9NV" hidden="1">#REF!</definedName>
    <definedName name="BEx5GL2CVWMY3S947ALVPBQG1W21" hidden="1">#REF!</definedName>
    <definedName name="BEx5GN0EWA9SCQDPQ7NTUQH82QVK" hidden="1">#REF!</definedName>
    <definedName name="BEx5GNBCU4WZ74I0UXFL9ZG2XSGJ" hidden="1">#REF!</definedName>
    <definedName name="BEx5GT5PB17R2GKX3F4H7WWN4M94" hidden="1">#REF!</definedName>
    <definedName name="BEx5GUCTYC7QCWGWU5BTO7Y7HDZX" hidden="1">#REF!</definedName>
    <definedName name="BEx5GYUPJULJQ624TEESYFG1NFOH" hidden="1">#REF!</definedName>
    <definedName name="BEx5GZR2KDETMC7ZPNE1YU6YELWI" hidden="1">#REF!</definedName>
    <definedName name="BEx5H0NEE0AIN5E2UHJ9J9ISU9N1" hidden="1">#REF!</definedName>
    <definedName name="BEx5H1UJSEUQM2K8QHQXO5THVHSO" hidden="1">#REF!</definedName>
    <definedName name="BEx5H2WFSII73OJ41QGRAZ28JO53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SO6GN5R5M7LX4BRGZSBNTKK" hidden="1">#REF!</definedName>
    <definedName name="BEx5HZ9JMKHNLFWLVUB1WP5B39BL" hidden="1">#REF!</definedName>
    <definedName name="BEx5I244LQHZTF3XI66J8705R9XX" hidden="1">#REF!</definedName>
    <definedName name="BEx5I3B4OHOD6SAPLK3PZDRO1GYC" hidden="1">#REF!</definedName>
    <definedName name="BEx5I4CZWURJPJZH95QO8E7MXFWV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J0FFP1KS4NGY20AEJI8VREEA" hidden="1">#REF!</definedName>
    <definedName name="BEx5JENVO7X0TBQGRMGKRTMFB470" hidden="1">#REF!</definedName>
    <definedName name="BEx5JEYO7NE3DJF79J0BMO2GNEC0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P02DZ97IB62ITCKG1MMWBKN" hidden="1">#REF!</definedName>
    <definedName name="BEx5JQCNT9Y4RM306CHC8IPY3HBZ" hidden="1">#REF!</definedName>
    <definedName name="BEx5JR91NO6ECBKQUI7KBAUHVWQY" hidden="1">#REF!</definedName>
    <definedName name="BEx5JTHW7OW4QTNV5XZ3NC20LDLF" hidden="1">#REF!</definedName>
    <definedName name="BEx5K08PYKE6JOKBYIB006TX619P" hidden="1">#REF!</definedName>
    <definedName name="BEx5K1AKPNBF18M8BS3MHI13PF7R" hidden="1">#REF!</definedName>
    <definedName name="BEx5K21HQCDNYPG2QWFOVS99PE4A" hidden="1">#REF!</definedName>
    <definedName name="BEx5K4VXAVHD8SZFJM7E98P19A1G" hidden="1">#REF!</definedName>
    <definedName name="BEx5K51DSERT1TR7B4A29R41W4NX" hidden="1">#REF!</definedName>
    <definedName name="BEx5KCJ4JCAHU2E4LCLVKFWL64CX" hidden="1">#REF!</definedName>
    <definedName name="BEx5KM9PJMIQFJSBANJO5FVW3Z28" hidden="1">#REF!</definedName>
    <definedName name="BEx5KOO1FHA4BJJBZGOZKTK8PRRN" hidden="1">#REF!</definedName>
    <definedName name="BEx5KRIL3PFC9PIM7NQWA09TEQWG" hidden="1">#REF!</definedName>
    <definedName name="BEx5KYER580I4T7WTLMUN7NLNP5K" hidden="1">#REF!</definedName>
    <definedName name="BEx5LSJ1LPUAX3ENSPECWPG4J7D1" hidden="1">#REF!</definedName>
    <definedName name="BEx5LTKQ8RQWJE4BC88OP928893U" hidden="1">#REF!</definedName>
    <definedName name="BEx5LWQ2YRWKLHNPUOX7A77685LZ" hidden="1">#REF!</definedName>
    <definedName name="BEx5LYO5AGM9ICPKZBV7EN03XYO9" hidden="1">#REF!</definedName>
    <definedName name="BEx5M2PWMT8KQAYXSNMMEJJQ6QAS" hidden="1">#REF!</definedName>
    <definedName name="BEx5M7T5JER9G2MLDH3G50GCW8PO" hidden="1">#REF!</definedName>
    <definedName name="BEx5MAIGJD3C3AO0RGLKRTEZBVUE" hidden="1">#REF!</definedName>
    <definedName name="BEx5MB9BR71LZDG7XXQ2EO58JC5F" hidden="1">#REF!</definedName>
    <definedName name="BEx5MJSWQ04VS8WFHCZXYA7ZWU81" hidden="1">#REF!</definedName>
    <definedName name="BEx5MLQZM68YQSKARVWTTPINFQ2C" hidden="1">#REF!</definedName>
    <definedName name="BEx5NA68N6FJFX9UJXK4M14U487F" hidden="1">#REF!</definedName>
    <definedName name="BEx5NIKBG2GDJOYGE3WCXKU7YY51" hidden="1">#REF!</definedName>
    <definedName name="BEx5NR3RJVBFMEQ7Y2MWNBXIH02O" hidden="1">#REF!</definedName>
    <definedName name="BEx5NUEM24ZED9VYADF1LHA31YNV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8CA30CQKA02IH39DKD3TWGU" hidden="1">#REF!</definedName>
    <definedName name="BEx5OAFS0NJ2CB86A02E1JYHMLQ1" hidden="1">#REF!</definedName>
    <definedName name="BEx5OG4RPU8W1ETWDWM234NYYYEN" hidden="1">#REF!</definedName>
    <definedName name="BEx5OHXI4R617RH4NY6VKOI4ZRA2" hidden="1">#REF!</definedName>
    <definedName name="BEx5OL87PVSZSDHUK8KZBXSXHK2L" hidden="1">#REF!</definedName>
    <definedName name="BEx5OP9Y43F99O2IT69MKCCXGL61" hidden="1">#REF!</definedName>
    <definedName name="BEx5OXIKDIYQDT89AL1I005KPLFQ" hidden="1">#REF!</definedName>
    <definedName name="BEx5P9Y9RDXNUAJ6CZ2LHMM8IM7T" hidden="1">#REF!</definedName>
    <definedName name="BEx5PHG040UB6SAJGMT6H4JLV2O8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PYJ1M7KNW4566RAPKTK159HP" hidden="1">#REF!</definedName>
    <definedName name="BEx73V0EP8EMNRC3EZJJKKVKWQVB" hidden="1">#REF!</definedName>
    <definedName name="BEx74ESIB9Y8KGETIERMKU5PLCQR" hidden="1">#REF!</definedName>
    <definedName name="BEx74IZJLRUQ03RCK06W91H2260J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7V4HY4OAGXYAJGM7RJQE3NM" hidden="1">#REF!</definedName>
    <definedName name="BEx759D1D5SXS5ELLZVBI0SXYUNF" hidden="1">#REF!</definedName>
    <definedName name="BEx75BGL4B587TM29E78APZYJUTT" hidden="1">#REF!</definedName>
    <definedName name="BEx75GJZSZHUDN6OOAGQYFUDA2LP" hidden="1">#REF!</definedName>
    <definedName name="BEx75HGCCV5K4UCJWYV8EV9AG5YT" hidden="1">#REF!</definedName>
    <definedName name="BEx75MJT47XEWZSLZAG6IUOQKXIX" hidden="1">#REF!</definedName>
    <definedName name="BEx75PZT8TY5P13U978NVBUXKHT4" hidden="1">#REF!</definedName>
    <definedName name="BEx75T55F7GML8V1DMWL26WRT006" hidden="1">#REF!</definedName>
    <definedName name="BEx75V8O6AO6GGBOFD0W0I4XQ2MH" hidden="1">#REF!</definedName>
    <definedName name="BEx75VJGR07JY6UUWURQ4PJ29UKC" hidden="1">#REF!</definedName>
    <definedName name="BEx765A28KL05DU9PG2REPK40UX3" hidden="1">#REF!</definedName>
    <definedName name="BEx76N9FJ42HIXB8FNWGWMIS6ASI" hidden="1">#REF!</definedName>
    <definedName name="BEx76V1XKGBEDZIV9DV1A2YV1JOI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AC85L6OWAY460SSHWUXULE1" hidden="1">#REF!</definedName>
    <definedName name="BEx77G19QU9A95CNHE6QMVSQR2T3" hidden="1">#REF!</definedName>
    <definedName name="BEx77OQ625E4LSEXLQEMAZHPDMMC" hidden="1">#REF!</definedName>
    <definedName name="BEx77P0S3GVMS7BJUL9OWUGJ1B02" hidden="1">#REF!</definedName>
    <definedName name="BEx77QDESURI6WW5582YXSK3A972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A5IYYCMR88AXOWEFKVY8371" hidden="1">#REF!</definedName>
    <definedName name="BEx78A5JAWI6EMCWJ7AJWGAH8AMJ" hidden="1">#REF!</definedName>
    <definedName name="BEx78HHRIWDLHQX2LG0HWFRYEL1T" hidden="1">#REF!</definedName>
    <definedName name="BEx78NSKC3OQCQ4WQAIZ6JURE7GW" hidden="1">#REF!</definedName>
    <definedName name="BEx78OOPYID4QYC9KQ8TPDG220E4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HRD8NL9EMUOALME68ALFZYA" hidden="1">#REF!</definedName>
    <definedName name="BEx79JK3E6JO8MX4O35A5G8NZCC8" hidden="1">#REF!</definedName>
    <definedName name="BEx79JPDIIK1AFMUKFYLUSQTGNIT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OUHTDD16ZGGUBH3JDBW1VZ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QV3PGI9EVX19Y61TNZWQD3Z" hidden="1">#REF!</definedName>
    <definedName name="BEx7ASD1I654MEDCO6GGWA95PXSC" hidden="1">#REF!</definedName>
    <definedName name="BEx7ASYMO87QTI4OGS8RP4M3OLYE" hidden="1">#REF!</definedName>
    <definedName name="BEx7AVCX9S5RJP3NSZ4QM4E6ERDT" hidden="1">#REF!</definedName>
    <definedName name="BEx7AVYIGP0930MV5JEBWRYCJN68" hidden="1">#REF!</definedName>
    <definedName name="BEx7B11YDBMRZG7EYCKJUO3H1Y6F" hidden="1">#REF!</definedName>
    <definedName name="BEx7B3LKPGMDIE1WTF5ZO95GA2PN" hidden="1">#REF!</definedName>
    <definedName name="BEx7B6LH6917TXOSAAQ6U7HVF018" hidden="1">#REF!</definedName>
    <definedName name="BEx7BIQJ5XHOJHZUAVG3KLP0T1HX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TSBL6VJSHO7M5FSI2GHU3YJ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D4D7DAI5BN4L7AHWYB979CQ" hidden="1">#REF!</definedName>
    <definedName name="BEx7DGF13H2074LRWFZQ45PZ6JPX" hidden="1">#REF!</definedName>
    <definedName name="BEx7DHBES3UNZWW1CQR131TAK465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DXHVQ3XRVZ2H7QO8TYMIA4P9" hidden="1">#REF!</definedName>
    <definedName name="BEx7E2QT2U8THYOKBPXONB1B47WH" hidden="1">#REF!</definedName>
    <definedName name="BEx7E5QP7W6UKO74F5Y0VJ741HS5" hidden="1">#REF!</definedName>
    <definedName name="BEx7E66RQR0QL1WRB855TDAFTMZR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PYWRKQBA6R3ATEV76QXYDAC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YLHMBYQTH6I377FCQS7CSX" hidden="1">#REF!</definedName>
    <definedName name="BEx7F3GG2FI10JUMINUOIYICFVD9" hidden="1">#REF!</definedName>
    <definedName name="BEx7F4NMGGTZWR8S7710RWGFG8W2" hidden="1">#REF!</definedName>
    <definedName name="BEx7FBJRLJUZKK1FVSCNP0F4GBYT" hidden="1">#REF!</definedName>
    <definedName name="BEx7FCLG1RYI2SNOU1Y2GQZNZSWA" hidden="1">#REF!</definedName>
    <definedName name="BEx7FEJOQNYA7A6O7YB4SBB1KK73" hidden="1">#REF!</definedName>
    <definedName name="BEx7FIL87TXQSUJ03S7NBB9S4HA5" hidden="1">#REF!</definedName>
    <definedName name="BEx7FN32ZGWOAA4TTH79KINTDWR9" hidden="1">#REF!</definedName>
    <definedName name="BEx7FTOFOYQLDCCOJY1H3JHICFOI" hidden="1">#REF!</definedName>
    <definedName name="BEx7FVMORQ1N6SIECWJVJWT23E6Y" hidden="1">#REF!</definedName>
    <definedName name="BEx7FZ2NBD60FXGNYS120WYBTXA3" hidden="1">#REF!</definedName>
    <definedName name="BEx7G82CKM3NIY1PHNFK28M09PCH" hidden="1">#REF!</definedName>
    <definedName name="BEx7GMG8RQ2YB3WVSLKZZZKKRMV0" hidden="1">#REF!</definedName>
    <definedName name="BEx7GQCIM1W1OR8EP7JKRMYGFHW2" hidden="1">#REF!</definedName>
    <definedName name="BEx7GR3ENYWRXXS5IT0UMEGOLGUH" hidden="1">#REF!</definedName>
    <definedName name="BEx7GSAL6P7TASL8MB63RFST1LJL" hidden="1">#REF!</definedName>
    <definedName name="BEx7GSLEAEDT83F2LWWOC5ZLL5JW" hidden="1">#REF!</definedName>
    <definedName name="BEx7H0JD6I5I8WQLLWOYWY5YWPQE" hidden="1">#REF!</definedName>
    <definedName name="BEx7H14XCXH7WEXEY1HVO53A6AGH" hidden="1">#REF!</definedName>
    <definedName name="BEx7H6ZA84EDCYX9HQKE2VH03R77" hidden="1">#REF!</definedName>
    <definedName name="BEx7H7A3IND3XX895B1NI519TC8J" hidden="1">#REF!</definedName>
    <definedName name="BEx7HFTIA8AC8BR8HKIN81VE1SGW" hidden="1">#REF!</definedName>
    <definedName name="BEx7HGVBEF4LEIF6RC14N3PSU461" hidden="1">#REF!</definedName>
    <definedName name="BEx7HHRP6OIBN749NAR4JO512P36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48WYMB5FJBZMYAHEWYSMMRH" hidden="1">#REF!</definedName>
    <definedName name="BEx7I8FZ96C5JAHXS18ZV0912LZP" hidden="1">#REF!</definedName>
    <definedName name="BEx7IBAEPV6KI2VQCM37EOCA492A" hidden="1">#REF!</definedName>
    <definedName name="BEx7IBVYN47SFZIA0K4MDKQZNN9V" hidden="1">#REF!</definedName>
    <definedName name="BEx7IFHMJYSW0CNJRLWMDJ1AVSJK" hidden="1">#REF!</definedName>
    <definedName name="BEx7IJTYZHWYWQ1TQVKRC67VVT77" hidden="1">#REF!</definedName>
    <definedName name="BEx7IL6L6QUQ5R1V5H5O7MQ786B4" hidden="1">#REF!</definedName>
    <definedName name="BEx7IV2IJ5WT7UC0UG7WP0WF2JZI" hidden="1">#REF!</definedName>
    <definedName name="BEx7IWV99LM4FB1AXIXRNLT7DZJM" hidden="1">#REF!</definedName>
    <definedName name="BEx7IXGU74GE5E4S6W4Z13AR092Y" hidden="1">#REF!</definedName>
    <definedName name="BEx7J4YL8Q3BI1MLH16YYQ18IJRD" hidden="1">#REF!</definedName>
    <definedName name="BEx7J9B4EOP8JPRQCUQJTYF4X0D6" hidden="1">#REF!</definedName>
    <definedName name="BEx7JH3HGBPI07OHZ5LFYK0UFZQR" hidden="1">#REF!</definedName>
    <definedName name="BEx7JV194190CNM6WWGQ3UBJ3CHH" hidden="1">#REF!</definedName>
    <definedName name="BEx7JXQECC54W34V9GO0XSVLJKM4" hidden="1">#REF!</definedName>
    <definedName name="BEx7JXVO6FGHZBPB4AEXKXRQOA9W" hidden="1">#REF!</definedName>
    <definedName name="BEx7K0VL25LF11UTEBHWBIQ4JLM9" hidden="1">#REF!</definedName>
    <definedName name="BEx7K7GZ607XQOGB81A1HINBTGOZ" hidden="1">#REF!</definedName>
    <definedName name="BEx7KEYPBDXSNROH8M6CDCBN6B50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3DZH58ZUVXJY3QMJYM4KE2N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JVFQACL9F4DRS9YZQ9R2N30" hidden="1">#REF!</definedName>
    <definedName name="BEx7LKBOYXMIMXITB29F1MJ60LS0" hidden="1">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8ZY6UFM571XUE82FQZRNOKP90" hidden="1">#REF!</definedName>
    <definedName name="BEx904S75BPRYMHF0083JF7ES4NG" hidden="1">#REF!</definedName>
    <definedName name="BEx90CVJHW2G83ZSI8F4ZSPTFSPI" hidden="1">#REF!</definedName>
    <definedName name="BEx90HDD4RWF7JZGA8GCGG7D63MG" hidden="1">#REF!</definedName>
    <definedName name="BEx90VGH5H09ON2QXYC9WIIEU98T" hidden="1">#REF!</definedName>
    <definedName name="BEx90XPBH674G6GLEXH3TERY330W" hidden="1">#REF!</definedName>
    <definedName name="BEx9175B70QXYAU5A8DJPGZQ46L9" hidden="1">#REF!</definedName>
    <definedName name="BEx91AQQRTV87AO27VWHSFZAD4ZR" hidden="1">#REF!</definedName>
    <definedName name="BEx91F8MI17DLPO2YEQQ04DYPCAU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UDDCHQIENA1J8FH8S2J2U6A" hidden="1">#REF!</definedName>
    <definedName name="BEx91VF2D78PAF337E3L2L81K9W2" hidden="1">#REF!</definedName>
    <definedName name="BEx91YKG5M0ZZDVWNGF80SPL8GUP" hidden="1">#REF!</definedName>
    <definedName name="BEx921PNZ46VORG2VRMWREWIC0SE" hidden="1">#REF!</definedName>
    <definedName name="BEx92DJXEXVC627QL1HYSV2VSHSS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36C7D6PF2VIIPWT8LLF85CR" hidden="1">#REF!</definedName>
    <definedName name="BEx935VHGQGAJAXJKSPCC6GC2KIE" hidden="1">#REF!</definedName>
    <definedName name="BEx93B9OULL2YGC896XXYAAJSTRK" hidden="1">#REF!</definedName>
    <definedName name="BEx93EF2OPUY92WSYH0W2RMHNX2M" hidden="1">#REF!</definedName>
    <definedName name="BEx93FRKF99NRT3LH99UTIH7AAYF" hidden="1">#REF!</definedName>
    <definedName name="BEx93M7FSHP50OG34A4W8W8DF12U" hidden="1">#REF!</definedName>
    <definedName name="BEx93N3SRY42L5EZEZVGNURFYMCF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E8CBMGM9YP8Z0W8OWHAAZH1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#REF!</definedName>
    <definedName name="BEx94N7W5T3U7UOE97D6OVIBUCXS" hidden="1">#REF!</definedName>
    <definedName name="BEx953PB6S6ECMD8N0JSW0CBG0DA" hidden="1">#REF!</definedName>
    <definedName name="BEx955NIAWX5OLAHMTV6QFUZPR30" hidden="1">#REF!</definedName>
    <definedName name="BEx956P6KIX100LVNPO6FQK2X3AE" hidden="1">#REF!</definedName>
    <definedName name="BEx9581TYVI2M5TT4ISDAJV4W7Z6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2T8MI32QO5JN5WRA4HSM5D" hidden="1">#REF!</definedName>
    <definedName name="BEx95U89DZZSVO39TGS62CX8G9N4" hidden="1">#REF!</definedName>
    <definedName name="BEx95ZBPVBQBIU0LCXSH93UZK4VU" hidden="1">#REF!</definedName>
    <definedName name="BEx9602K2GHNBUEUVT9ONRQU1GMD" hidden="1">#REF!</definedName>
    <definedName name="BEx962BL3Y4LA53EBYI64ZYMZE8U" hidden="1">#REF!</definedName>
    <definedName name="BEx9662EO7GPV2IY73CFIRTL01JF" hidden="1">#REF!</definedName>
    <definedName name="BEx96E0E6AEFDRGY846Z323CRM08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6NFOGJWDFFOFDUAFC8NNTP" hidden="1">#REF!</definedName>
    <definedName name="BEx970MYCPJ6DQ44TKLOIGZO5LHH" hidden="1">#REF!</definedName>
    <definedName name="BEx978KSD61YJH3S9DGO050R2EHA" hidden="1">#REF!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92CZON8AO7U7V88VN1JBO0MG" hidden="1">#REF!</definedName>
    <definedName name="BEx9952469XMFGSPXL7CMXHPJF90" hidden="1">#REF!</definedName>
    <definedName name="BEx99995OO0X4HC0IQDAISYRWAJG" hidden="1">#REF!</definedName>
    <definedName name="BEx99B77I7TUSHRR4HIZ9FU2EIUT" hidden="1">#REF!</definedName>
    <definedName name="BEx99E7BGBLNV3OU04JLHMMKGFVT" hidden="1">#REF!</definedName>
    <definedName name="BEx99Q6PH5F3OQKCCAAO75PYDEFN" hidden="1">#REF!</definedName>
    <definedName name="BEx99WBYT2D6UUC1PT7A40ENYID4" hidden="1">#REF!</definedName>
    <definedName name="BEx99XOGHOM28CNCYKQWYGL56W2S" hidden="1">#REF!</definedName>
    <definedName name="BEx99YFJ8JDPEEEQRABGIA0M020Y" hidden="1">#REF!</definedName>
    <definedName name="BEx99ZRZ4I7FHDPGRAT5VW7NVBPU" hidden="1">#REF!</definedName>
    <definedName name="BEx9ADPRQZSMQBC5ZVK9Y67PRZBV" hidden="1">#REF!</definedName>
    <definedName name="BEx9AKWPNM58M88D1ZL7PKKW6ES3" hidden="1">#REF!</definedName>
    <definedName name="BEx9ARY7F2Q2JQT63RW0CEZQ1WDB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AOGUISRQKRB42IUZNSUS3RS" hidden="1">#REF!</definedName>
    <definedName name="BEx9BCBV86NAOTMCAYGOG2K426CC" hidden="1">#REF!</definedName>
    <definedName name="BEx9BYSYW7QCPXS2NAVLFAU5Y2Z2" hidden="1">#REF!</definedName>
    <definedName name="BEx9C17AHM4NMY8G3WK6YQ0T0WDU" hidden="1">#REF!</definedName>
    <definedName name="BEx9C590HJ2O31IWJB73C1HR74AI" hidden="1">#REF!</definedName>
    <definedName name="BEx9CCQRMYYOGIOYTOM73VKDIPS1" hidden="1">#REF!</definedName>
    <definedName name="BEx9CJHG02ADUIJ0WCG5FYLWETIN" hidden="1">#REF!</definedName>
    <definedName name="BEx9CMMSQA4LXHX5RGGTAJ9WVHTY" hidden="1">#REF!</definedName>
    <definedName name="BEx9CTDJ6OYUCCHJVREB4QE71EVB" hidden="1">#REF!</definedName>
    <definedName name="BEx9D1BC9FT19KY0INAABNDBAMR1" hidden="1">#REF!</definedName>
    <definedName name="BEx9DGLRBAA81DUUOT35XR05XLKG" hidden="1">#REF!</definedName>
    <definedName name="BEx9DIZXF9X0GE90ROFYKV6K3PM9" hidden="1">#REF!</definedName>
    <definedName name="BEx9DN1PCQZRGU3JODH51ATL8WPV" hidden="1">#REF!</definedName>
    <definedName name="BEx9DN6ZMF18Q39MPMXSDJTZQNJ3" hidden="1">#REF!</definedName>
    <definedName name="BEx9DUU8DALPSCW66GTMQRPXZ6GL" hidden="1">#REF!</definedName>
    <definedName name="BEx9DVAAQ6CKK001F67U86LAFAC3" hidden="1">#REF!</definedName>
    <definedName name="BEx9E08EK253W8SNA7NOGR32IG6U" hidden="1">#REF!</definedName>
    <definedName name="BEx9E14TDNSEMI784W0OTIEQMWN6" hidden="1">#REF!</definedName>
    <definedName name="BEx9E2BZ2B1R41FMGJCJ7JLGLUAJ" hidden="1">#REF!</definedName>
    <definedName name="BEx9E2S1LDHWNY3YCSQ6AY2CX2VH" hidden="1">#REF!</definedName>
    <definedName name="BEx9EEGVFGD9P2J88ICA4KVPXY9N" hidden="1">#REF!</definedName>
    <definedName name="BEx9EG9KBJ77M8LEOR9ITOKN5KXY" hidden="1">#REF!</definedName>
    <definedName name="BEx9EHGQHOBSWB60JAPUOVE46FK0" hidden="1">#REF!</definedName>
    <definedName name="BEx9EMK6HAJJMVYZTN5AUIV7O1E6" hidden="1">#REF!</definedName>
    <definedName name="BEx9EONOC5VU8HIPZ3HOKX0EQVIZ" hidden="1">#REF!</definedName>
    <definedName name="BEx9EOT681YREYKONZVM7BVKE82V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LRVEKHKYUC14ZMVEXYYH8R8" hidden="1">#REF!</definedName>
    <definedName name="BEx9FRBEEYPS5HLS3XT34AKZN94G" hidden="1">#REF!</definedName>
    <definedName name="BEx9G17GB2V3PQ50QQFW2NROEZT9" hidden="1">#REF!</definedName>
    <definedName name="BEx9G1NQENXTCL109QDRZK69U713" hidden="1">#REF!</definedName>
    <definedName name="BEx9G892CF6SM99J007LDYZPPYNL" hidden="1">#REF!</definedName>
    <definedName name="BEx9GDY4D8ZPQJCYFIMYM0V0C51Y" hidden="1">#REF!</definedName>
    <definedName name="BEx9GGY04V0ZWI6O9KZH4KSBB389" hidden="1">#REF!</definedName>
    <definedName name="BEx9GJCC7BWX156MTPY59VC5JN0O" hidden="1">#REF!</definedName>
    <definedName name="BEx9GNOPB6OZ2RH3FCDNJR38RJOS" hidden="1">#REF!</definedName>
    <definedName name="BEx9GNU701BD7YSS9TFG6GMA2Z8A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9V5D52IFWEZD3I221Z2VYVD" hidden="1">#REF!</definedName>
    <definedName name="BEx9HK1Z1L57S8GM2ATIKR5F2CTB" hidden="1">#REF!</definedName>
    <definedName name="BEx9HQHV4N00R3PBTH3QTYPDU3WQ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1ZRFUE85ATW4NGTSACFIOO" hidden="1">#REF!</definedName>
    <definedName name="BEx9IXCSPSZC80YZUPRCYTG326KV" hidden="1">#REF!</definedName>
    <definedName name="BEx9IZR39NHDGOM97H4E6F81RTQW" hidden="1">#REF!</definedName>
    <definedName name="BEx9J1EJIB9UVZKMZ7QHB9U6VVOO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WCWNCS3D2POFSVKIIQAY1J06" hidden="1">#REF!</definedName>
    <definedName name="BExAX2TU15VIP65OGKSZD41PMO4N" hidden="1">#REF!</definedName>
    <definedName name="BExAX410NB4F2XOB84OR2197H8M5" hidden="1">#REF!</definedName>
    <definedName name="BExAX8TNG8LQ5Q4904SAYQIPGBSV" hidden="1">#REF!</definedName>
    <definedName name="BExAXEDC2IXZ6Z8R5OUFS8OGJR89" hidden="1">#REF!</definedName>
    <definedName name="BExAXI9K2PJQH4QLETR7MGS2BNZZ" hidden="1">#REF!</definedName>
    <definedName name="BExAXOEOOQLJMBU9XI44EBT5IDYT" hidden="1">#REF!</definedName>
    <definedName name="BExAY0EAT2LXR5MFGM0DLIB45PLO" hidden="1">#REF!</definedName>
    <definedName name="BExAY9DZDS6RN4F7LPICOBGZ4AF5" hidden="1">#REF!</definedName>
    <definedName name="BExAY9ZJT64UBNSHPOGOXOER0FA5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OO9DKXP4BYOJNDXGK1R2ZSV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VKDXJJ761HTFFUOH6P2CSF7" hidden="1">#REF!</definedName>
    <definedName name="BExAYY9H9COOT46HJLPVDLTO12UL" hidden="1">#REF!</definedName>
    <definedName name="BExAZC761BL5VVDZL23RYCMU9JDK" hidden="1">#REF!</definedName>
    <definedName name="BExAZCNEGB4JYHC8CZ51KTN890US" hidden="1">#REF!</definedName>
    <definedName name="BExAZFCI302YFYRDJYQDWQQL0Q0O" hidden="1">#REF!</definedName>
    <definedName name="BExAZGJOCRRTLVBHFNPFMVP57LAO" hidden="1">#REF!</definedName>
    <definedName name="BExAZLHLST9OP89R1HJMC1POQG8H" hidden="1">#REF!</definedName>
    <definedName name="BExAZMDYMIAA7RX1BMCKU1VLBRGY" hidden="1">#REF!</definedName>
    <definedName name="BExAZNFTTSXASHLBAG5O0MNFU583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KPCN7YJORQAYUCF4YKIKPMC" hidden="1">#REF!</definedName>
    <definedName name="BExB0OASZZC08FMDYX9HRSM9OXEF" hidden="1">#REF!</definedName>
    <definedName name="BExB0WE4PI3NOBXXVO9CTEN4DIU2" hidden="1">#REF!</definedName>
    <definedName name="BExB10QNIVITUYS55OAEKK3VLJFE" hidden="1">#REF!</definedName>
    <definedName name="BExB12OPX4FIWY3UUQ7N9MXBTXY2" hidden="1">#REF!</definedName>
    <definedName name="BExB12ZHTPYICL0A8RA5MRDZPYAX" hidden="1">#REF!</definedName>
    <definedName name="BExB15ZDRY4CIJ911DONP0KCY9KU" hidden="1">#REF!</definedName>
    <definedName name="BExB16VQY0O0RLZYJFU3OFEONVTE" hidden="1">#REF!</definedName>
    <definedName name="BExB1D6DDDMV7AOB9S4XD45OPKJ3" hidden="1">#REF!</definedName>
    <definedName name="BExB1FKN9YUYJ7B8ZJSMRSJ6ONT6" hidden="1">#REF!</definedName>
    <definedName name="BExB1FKNY2UO4W5FUGFHJOA2WFGG" hidden="1">#REF!</definedName>
    <definedName name="BExB1GMD0PIDGTFBGQOPRWQSP9I4" hidden="1">#REF!</definedName>
    <definedName name="BExB1HIQKUZGEBQ2MPH0TPTAZKIT" hidden="1">#REF!</definedName>
    <definedName name="BExB1I4BK3AB6GEEFY7ZAOON31BO" hidden="1">#REF!</definedName>
    <definedName name="BExB1Q29OO6LNFNT1EQLA3KYE7MX" hidden="1">#REF!</definedName>
    <definedName name="BExB1TNRV5EBWZEHYLHI76T0FVA7" hidden="1">#REF!</definedName>
    <definedName name="BExB1UENFKIO27UN311RA6Q7UZX5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MVP7A4MX9W81FK3LR1ZAESN" hidden="1">#REF!</definedName>
    <definedName name="BExB2O2UYHKI324YE324E1N7FVIB" hidden="1">#REF!</definedName>
    <definedName name="BExB2OOF9TJJLB3O5PTF0KJCL48L" hidden="1">#REF!</definedName>
    <definedName name="BExB2Q0VJ0MU2URO3JOVUAVHEI3V" hidden="1">#REF!</definedName>
    <definedName name="BExB2V4G4W3DIHZU05TOOTUR2SQF" hidden="1">#REF!</definedName>
    <definedName name="BExB2YV9Y42M0DA4P956Q6NHOV3A" hidden="1">#REF!</definedName>
    <definedName name="BExB30IP1DNKNQ6PZ5ERUGR5MK4Z" hidden="1">#REF!</definedName>
    <definedName name="BExB35M4M9VQF0DHGYBEA3KV711P" hidden="1">#REF!</definedName>
    <definedName name="BExB406HXCZGNSDPPO8VOG1110ZG" hidden="1">#REF!</definedName>
    <definedName name="BExB442RX0T3L6HUL6X5T21CENW6" hidden="1">#REF!</definedName>
    <definedName name="BExB4ADD0L7417CII901XTFKXD1J" hidden="1">#REF!</definedName>
    <definedName name="BExB4B9PTN6T4CSKH6U5OZ3JFDD8" hidden="1">#REF!</definedName>
    <definedName name="BExB4DO1V1NL2AVK5YE1RSL5RYHL" hidden="1">#REF!</definedName>
    <definedName name="BExB4DYU06HCGRIPBSWRCXK804UM" hidden="1">#REF!</definedName>
    <definedName name="BExB4QEHPNN12IKRPIMDSCR9D20O" hidden="1">#REF!</definedName>
    <definedName name="BExB4R5JZFW6A1CMY56N51JV2U9K" hidden="1">#REF!</definedName>
    <definedName name="BExB4Z3EZBGYYI33U0KQ8NEIH8PY" hidden="1">#REF!</definedName>
    <definedName name="BExB541CBB1D8CTY30SOY75V64NO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CVQSYOIIQSR96SFZ3PS0M80" hidden="1">#REF!</definedName>
    <definedName name="BExB5EDO9XUKHF74X3HAU2WPPHZH" hidden="1">#REF!</definedName>
    <definedName name="BExB5G6EH68AYEP1UT0GHUEL3SLN" hidden="1">#REF!</definedName>
    <definedName name="BExB5GXG02NT11XXE1RB47T6BJ8W" hidden="1">#REF!</definedName>
    <definedName name="BExB5QO30WI9WES28Y2RINNXRHWC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692ZQP36NHHWV7TLSTYCP8G" hidden="1">#REF!</definedName>
    <definedName name="BExB6C3FUAKK9ML5T767NMWGA9YB" hidden="1">#REF!</definedName>
    <definedName name="BExB6C8X6JYRLKZKK17VE3QUNL3D" hidden="1">#REF!</definedName>
    <definedName name="BExB6CZTE0PWILZ6X0SQ2FCCSK0D" hidden="1">#REF!</definedName>
    <definedName name="BExB6HN3QRFPXM71MDUK21BKM7PF" hidden="1">#REF!</definedName>
    <definedName name="BExB6IZMHCZ3LB7N73KD90YB1HBZ" hidden="1">#REF!</definedName>
    <definedName name="BExB6Q6JKBMO3M4WX8XUD0JET6HB" hidden="1">#REF!</definedName>
    <definedName name="BExB719SGNX4Y8NE6JEXC555K596" hidden="1">#REF!</definedName>
    <definedName name="BExB7265DCHKS7V2OWRBXCZTEIW9" hidden="1">#REF!</definedName>
    <definedName name="BExB74F088Z5LM9SEUAESIZUQ3X8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7XXTPD9DMNVQTD3POGTIPFJP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9S66MFUL9J891R547MSVIVV1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GQYIBV77JKN346FU4VT1MB4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TS6QTKFZ3S66DBSAAJJ1257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9D9GNURCRZN3NR6UY375OX5" hidden="1">#REF!</definedName>
    <definedName name="BExBBC2DQM1ZYA7CJU03TXNG42BS" hidden="1">#REF!</definedName>
    <definedName name="BExBBJ9BWME32GCDTD4GDSQBG1SE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C6S9JZS9ZX6V7SBKDJ5R3CGN" hidden="1">#REF!</definedName>
    <definedName name="BExBC78HXWXHO3XAB6E8NVTBGLJS" hidden="1">#REF!</definedName>
    <definedName name="BExBCDTV7GTBOTIE9EFJ36EX4FKM" hidden="1">#REF!</definedName>
    <definedName name="BExBCFXF3QIUGJH92D2RV1EJTVM6" hidden="1">#REF!</definedName>
    <definedName name="BExBCK4H2CF3XDL7AH3W254CWF4R" hidden="1">#REF!</definedName>
    <definedName name="BExBCKKJTIRKC1RZJRTK65HHLX4W" hidden="1">#REF!</definedName>
    <definedName name="BExBCLMEPAN3XXX174TU8SS0627Q" hidden="1">#REF!</definedName>
    <definedName name="BExBCMTEH63P6H1CKWQH2DGVNSVX" hidden="1">#REF!</definedName>
    <definedName name="BExBCRBEYR2KZ8FAQFZ2NHY13WIY" hidden="1">#REF!</definedName>
    <definedName name="BExBCZUU1UR90PQUCOSYNFQQTXI1" hidden="1">#REF!</definedName>
    <definedName name="BExBD1CR31JE4TBZEMZ6ZNRFIDNP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TDIHS3IA85P49E3FM64KE4B" hidden="1">#REF!</definedName>
    <definedName name="BExBDUVGK3E1J4JY9ZYTS7V14BLY" hidden="1">#REF!</definedName>
    <definedName name="BExBDWDG2GXBTEGBOQMQLB38QUEV" hidden="1">#REF!</definedName>
    <definedName name="BExBDZITI2UCDSH0V24NITQG9SFA" hidden="1">#REF!</definedName>
    <definedName name="BExBE162OSBKD30I7T1DKKPT3I9I" hidden="1">#REF!</definedName>
    <definedName name="BExBE4M6YL512JJD7QCT5NHC893P" hidden="1">#REF!</definedName>
    <definedName name="BExBE5YPUY1T7N7DHMMIGGXK8TMP" hidden="1">#REF!</definedName>
    <definedName name="BExBEC9ATLQZF86W1M3APSM4HEOH" hidden="1">#REF!</definedName>
    <definedName name="BExBEYFQJE9YK12A6JBMRFKEC7RN" hidden="1">#REF!</definedName>
    <definedName name="BExBF0U1PNBWLGLVVPNYEZHKB0ON" hidden="1">#REF!</definedName>
    <definedName name="BExBF3TXJTJ52WTH5JS1IEEUKRWA" hidden="1">#REF!</definedName>
    <definedName name="BExBG1ED81J2O4A2S5F5Y3BPHMCR" hidden="1">#REF!</definedName>
    <definedName name="BExCQUJH24IIQOXUFXGIE4OX068A" hidden="1">#REF!</definedName>
    <definedName name="BExCRLIHS7466WFJ3RPIUGGXYESZ" hidden="1">#REF!</definedName>
    <definedName name="BExCROIFDQP6GEN1GZNTC0JUNTOZ" hidden="1">#REF!</definedName>
    <definedName name="BExCRRIBGG57IJ1DUG0GCSPL72DO" hidden="1">#REF!</definedName>
    <definedName name="BExCS078RE3CUATM8A8NCC0WWHGC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EVX8YWETS71KOHVB2UHIKES" hidden="1">#REF!</definedName>
    <definedName name="BExCSGZG9G2SOKYYBCQF48XUIYCJ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16FAFHSYEENQXBNLERR7V3K" hidden="1">#REF!</definedName>
    <definedName name="BExCU2834920JBHSPCRC4UF80OLL" hidden="1">#REF!</definedName>
    <definedName name="BExCUDRJO23YOKT8GPWOVQ4XEHF5" hidden="1">#REF!</definedName>
    <definedName name="BExCUPAWHM0P4BSKFZ5SJKV1ERM7" hidden="1">#REF!</definedName>
    <definedName name="BExCUPAXFR16YMWL30ME3F3BSRDZ" hidden="1">#REF!</definedName>
    <definedName name="BExCUR94DHCE47PUUWEMT5QZOYR2" hidden="1">#REF!</definedName>
    <definedName name="BExCUW1Q2AR1JX2Z1B9CGJ6H60GY" hidden="1">#REF!</definedName>
    <definedName name="BExCUW1RF5RHW7OK9J4GFUGR30IK" hidden="1">#REF!</definedName>
    <definedName name="BExCV634L7SVHGB0UDDTRRQ2Q72H" hidden="1">#REF!</definedName>
    <definedName name="BExCVBXG4TTE2ERW52ZA09FBTDH2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KH0KFLY4D0IVRFGVTJYRXFX" hidden="1">#REF!</definedName>
    <definedName name="BExCVMF2ZQWXIY7QMUYO4ASRDA9Y" hidden="1">#REF!</definedName>
    <definedName name="BExCVV44WY5807WGMTGKPW0GT256" hidden="1">#REF!</definedName>
    <definedName name="BExCVWLXVAKW0MGL9EAXK4DRRB6T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WX69ER7R6C6VGOZAPRGXJR2R" hidden="1">#REF!</definedName>
    <definedName name="BExCX0RP8QMI2NGLM5IIVKWYIFG9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AYLA3TMOHIRCEXCXXUSNOKZ" hidden="1">#REF!</definedName>
    <definedName name="BExCXC0EIRZGKHGFWVH6BZGZKSL5" hidden="1">#REF!</definedName>
    <definedName name="BExCXILMURGYMAH6N5LF5DV6K3GM" hidden="1">#REF!</definedName>
    <definedName name="BExCXOLFDENJXDCXT7BHD3ZXLM5L" hidden="1">#REF!</definedName>
    <definedName name="BExCXQUFBMXQ1650735H48B1AZT3" hidden="1">#REF!</definedName>
    <definedName name="BExCY2DQO9VLA77Q7EG3T0XNXX4F" hidden="1">#REF!</definedName>
    <definedName name="BExCY4H9JMPB090TG2SILY28IPCR" hidden="1">#REF!</definedName>
    <definedName name="BExCY4XKJ7YA3473MBPZJQQG19X6" hidden="1">#REF!</definedName>
    <definedName name="BExCY6VMJ68MX3C981R5Q0BX5791" hidden="1">#REF!</definedName>
    <definedName name="BExCYAH2SAZCPW6XCB7V7PMMCAWO" hidden="1">#REF!</definedName>
    <definedName name="BExCYJ0O7R9AWV3SFG8QF5PQ7TV9" hidden="1">#REF!</definedName>
    <definedName name="BExCYJBB52X8B3AREHCC1L5QNPX7" hidden="1">#REF!</definedName>
    <definedName name="BExCYK7MZ56O5XIV8T5XIE9VBQXN" hidden="1">#REF!</definedName>
    <definedName name="BExCYPRC5HJE6N2XQTHCT6NXGP8N" hidden="1">#REF!</definedName>
    <definedName name="BExCYUK0I3UEXZNFDW71G6Z6D8XR" hidden="1">#REF!</definedName>
    <definedName name="BExCZ6E3M7ZCOQXV6HZRWCWMP5Y2" hidden="1">#REF!</definedName>
    <definedName name="BExCZBHJ4ZDFD4N4ZS7VAL7FA7P7" hidden="1">#REF!</definedName>
    <definedName name="BExCZFZCXMLY5DWESYJ9NGTJYQ8M" hidden="1">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508DAALLU00PHFPBC8SRRKT" hidden="1">#REF!</definedName>
    <definedName name="BExD06SXR2OPV4282WTX6ARRQ4JS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0WQ71JYMUDXQTQEITA6DXV3F" hidden="1">#REF!</definedName>
    <definedName name="BExD0XS0FK49P5OAGQOWOJCQRRXJ" hidden="1">#REF!</definedName>
    <definedName name="BExD13RUIBGRXDL4QDZ305UKUR12" hidden="1">#REF!</definedName>
    <definedName name="BExD14DETV5R4OOTMAXD5NAKWRO3" hidden="1">#REF!</definedName>
    <definedName name="BExD189NLCZ0MV1E8GXPW23W160D" hidden="1">#REF!</definedName>
    <definedName name="BExD1K98P7HEOLC48Y1RJJVNCA0Y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2MRMSOCW29ZLJ226FVCE2K34" hidden="1">#REF!</definedName>
    <definedName name="BExD2RK9LE7I985N677G3WNH5DIV" hidden="1">#REF!</definedName>
    <definedName name="BExD363H2VGFIQUCE6LS4AC5J0ZT" hidden="1">#REF!</definedName>
    <definedName name="BExD37W7YUULHO5DGYRP7KYM65NC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PKTT0MHJPK56ADYPFIYXKO7" hidden="1">#REF!</definedName>
    <definedName name="BExD3QXA2UQ2W4N7NYLUEOG40BZB" hidden="1">#REF!</definedName>
    <definedName name="BExD3ROBPT3BI93W43P0YGTPO5SX" hidden="1">#REF!</definedName>
    <definedName name="BExD3U2N041TEJ7GCN005UTPHNXY" hidden="1">#REF!</definedName>
    <definedName name="BExD40O0CFTNJFOFMMM1KH0P7BUI" hidden="1">#REF!</definedName>
    <definedName name="BExD47UZN79E7UZ1PF13H1AL03VT" hidden="1">#REF!</definedName>
    <definedName name="BExD4B5OJKUPJMFR7AZJGR6UVR3E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4RHMHOHG2WM6HI950PSP13F8" hidden="1">#REF!</definedName>
    <definedName name="BExD50MT3M6XZLNUP9JL93EG6D9R" hidden="1">#REF!</definedName>
    <definedName name="BExD5EV7KDSVF1CJT38M4IBPFLPY" hidden="1">#REF!</definedName>
    <definedName name="BExD5F0KALLKIA3C650HWCTHQNZH" hidden="1">#REF!</definedName>
    <definedName name="BExD5FRK547OESJRYAW574DZEZ7J" hidden="1">#REF!</definedName>
    <definedName name="BExD5I5X2YA2YNCTCDSMEL4CWF4N" hidden="1">#REF!</definedName>
    <definedName name="BExD5P7D7B3TCMJQY4TM56KCPB73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BZF6UGC8YXEZJ8URJDY0HUJ" hidden="1">#REF!</definedName>
    <definedName name="BExD6CKYHHA6ELXDHTPF8VEMY2RE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6XV0BDU8LPQPWSKHU0XX0UPR" hidden="1">#REF!</definedName>
    <definedName name="BExD71LTOE015TV5RSAHM8NT8GVW" hidden="1">#REF!</definedName>
    <definedName name="BExD73USXVADC7EHGHVTQNCT06ZA" hidden="1">#REF!</definedName>
    <definedName name="BExD7CE8ZR0EL3ZQP0AYQ5XQUH9L" hidden="1">#REF!</definedName>
    <definedName name="BExD7GAIGULTB3YHM1OS9RBQOTEC" hidden="1">#REF!</definedName>
    <definedName name="BExD7GAIHX094KROB46WFTL2XBWL" hidden="1">#REF!</definedName>
    <definedName name="BExD7IE1DHIS52UFDCTSKPJQNRD5" hidden="1">#REF!</definedName>
    <definedName name="BExD7IUBGUWHYC9UNZ1IY5XFYKQN" hidden="1">#REF!</definedName>
    <definedName name="BExD7IZMKM0QIFE7EV1NYL6EZVJZ" hidden="1">#REF!</definedName>
    <definedName name="BExD7JQOJ35HGL8U2OCEI2P2JT7I" hidden="1">#REF!</definedName>
    <definedName name="BExD7KSDKNDNH95NDT3S7GM3MUU2" hidden="1">#REF!</definedName>
    <definedName name="BExD7SVOH5J3ZVHK9KI2N1XE0CC3" hidden="1">#REF!</definedName>
    <definedName name="BExD7V4PCVR1ACVPOJXKJ4CSROIX" hidden="1">#REF!</definedName>
    <definedName name="BExD819S39VUTMASCBMYI883THJ3" hidden="1">#REF!</definedName>
    <definedName name="BExD8CYKX2WGEDSW6KFP6MND1PM0" hidden="1">#REF!</definedName>
    <definedName name="BExD8H5MGJFMK4HK6DOAGTFYV6JT" hidden="1">#REF!</definedName>
    <definedName name="BExD8H5O087KQVWIVPUUID5VMGMS" hidden="1">#REF!</definedName>
    <definedName name="BExD8KWFYVMYYY2YJ34JT4QNLLTE" hidden="1">#REF!</definedName>
    <definedName name="BExD8OCLZMFN5K3VZYI4Q4ITVKUA" hidden="1">#REF!</definedName>
    <definedName name="BExD93C1R6LC0631ECHVFYH0R0PD" hidden="1">#REF!</definedName>
    <definedName name="BExD94U15I61DA00NBFUU9T1M3KY" hidden="1">#REF!</definedName>
    <definedName name="BExD97TXIO0COVNN4OH3DEJ33YLM" hidden="1">#REF!</definedName>
    <definedName name="BExD99RZ1RFIMK6O1ZHSPJ68X9Y5" hidden="1">#REF!</definedName>
    <definedName name="BExD9IMBI0P6S6QRAXHE26HMK86D" hidden="1">#REF!</definedName>
    <definedName name="BExD9JYTLCZ3ZZZWF0YLDNWSQZ6O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A6LD9061UULVKUUI4QP8SK13" hidden="1">#REF!</definedName>
    <definedName name="BExDAGMVMNLQ6QXASB9R6D8DIT12" hidden="1">#REF!</definedName>
    <definedName name="BExDAYBHU9ADLXI8VRC7F608RVGM" hidden="1">#REF!</definedName>
    <definedName name="BExDB39GNDHCPPB7U2PZQO5TJ1OI" hidden="1">#REF!</definedName>
    <definedName name="BExDBDR1XR0FV0CYUCB2OJ7CJCZU" hidden="1">#REF!</definedName>
    <definedName name="BExDBECNFJKO0HIOIKTWDCSWP755" hidden="1">#REF!</definedName>
    <definedName name="BExDBI8WRY61SHXKAT4UFXLB15E8" hidden="1">#REF!</definedName>
    <definedName name="BExDBZBW3EHQF6J0XXIT3ZMXPL8C" hidden="1">#REF!</definedName>
    <definedName name="BExDC7F818VN0S18ID7XRCRVYPJ4" hidden="1">#REF!</definedName>
    <definedName name="BExDCL7K96PC9VZYB70ZW3QPVIJE" hidden="1">#REF!</definedName>
    <definedName name="BExDCMPIHH27EAXTDLP095HYA29X" hidden="1">#REF!</definedName>
    <definedName name="BExDCP3UZ3C2O4C1F7KMU0Z9U32N" hidden="1">#REF!</definedName>
    <definedName name="BExENRJDC2MGQRJ6EHLAWX5I4SRS" hidden="1">#REF!</definedName>
    <definedName name="BExEOBX3WECDMYCV9RLN49APTXMM" hidden="1">#REF!</definedName>
    <definedName name="BExEP4E4F36662JDI0TOD85OP7X9" hidden="1">#REF!</definedName>
    <definedName name="BExEP7388TKNL6FEJW00XN7FHEUG" hidden="1">#REF!</definedName>
    <definedName name="BExEPN9VIYI0FVL0HLZQXJFO6TT0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73QE34MW57L1HFXSTB7QEG" hidden="1">#REF!</definedName>
    <definedName name="BExEQDXZALJLD4OBF74IKZBR13SR" hidden="1">#REF!</definedName>
    <definedName name="BExEQFLE2RPWGMWQAI4JMKUEFRPT" hidden="1">#REF!</definedName>
    <definedName name="BExEQTZAP8R69U31W4LKGTKKGKQE" hidden="1">#REF!</definedName>
    <definedName name="BExEQUQ865M3SQMYYUI9LO9L377N" hidden="1">#REF!</definedName>
    <definedName name="BExER2O72H1F9WV6S1J04C15PXX7" hidden="1">#REF!</definedName>
    <definedName name="BExERCETL5ZVXSS6EENB85QCSRYG" hidden="1">#REF!</definedName>
    <definedName name="BExERIUTB21WQ9WVQXUCDCGSH23E" hidden="1">#REF!</definedName>
    <definedName name="BExERSLFEDXNMOLAZ2VOI6VVJCBW" hidden="1">#REF!</definedName>
    <definedName name="BExERWCEBKQRYWRQLYJ4UCMMKTHG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Q9XRXLUACN82805SPSPNKHI" hidden="1">#REF!</definedName>
    <definedName name="BExETQFFLH766OHX0PD3NEIK0DIF" hidden="1">#REF!</definedName>
    <definedName name="BExETR0YRMOR63E6DHLEHV9QVVON" hidden="1">#REF!</definedName>
    <definedName name="BExETVDCXGPYA4OP2UI1URTJ60TK" hidden="1">#REF!</definedName>
    <definedName name="BExETVTGY38YXYYF7N73OYN6FYY3" hidden="1">#REF!</definedName>
    <definedName name="BExEU53Y9HELOY5LK6GOXT6A9K4E" hidden="1">#REF!</definedName>
    <definedName name="BExEUJCITMY8YCHJIRDNAPGCSAI4" hidden="1">#REF!</definedName>
    <definedName name="BExEUM6Y5MUDV2WYYY9ICV8796JQ" hidden="1">#REF!</definedName>
    <definedName name="BExEUNE4T242Y59C6MS28MXEUGCP" hidden="1">#REF!</definedName>
    <definedName name="BExEUTOOSAR1CJ6S2O9NTTQMWXNZ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AM8BLTWVS6IMVJWDOZBQK9R" hidden="1">#REF!</definedName>
    <definedName name="BExEVET98G3FU6QBF9LHYWSAMV0O" hidden="1">#REF!</definedName>
    <definedName name="BExEVL3UZ22W55ZRF3F0J21PKQLX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357VV6LVZCWOOM0R3T78QK" hidden="1">#REF!</definedName>
    <definedName name="BExEW68M9WL8214QH9C7VCK7BN08" hidden="1">#REF!</definedName>
    <definedName name="BExEW8HFKH6F47KIHYBDRUEFZ2ZZ" hidden="1">#REF!</definedName>
    <definedName name="BExEWHXF5F2E8FN7TRI5U2ZY0T0P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XT4J3DA92MKCYQ9DODL974OV" hidden="1">#REF!</definedName>
    <definedName name="BExEY066NZ36UM7WL362O19Q3YR5" hidden="1">#REF!</definedName>
    <definedName name="BExEY067KMBNYP9WMRGOH8ITDBLD" hidden="1">#REF!</definedName>
    <definedName name="BExEYGCSYH6XC1X89ZT8VJVQ6THP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YVHM7COM2XBAZH71USCAT6K9" hidden="1">#REF!</definedName>
    <definedName name="BExEYW8O56SE67A8CIT413PPQFWN" hidden="1">#REF!</definedName>
    <definedName name="BExEYXQGOT90CC2QXVUDAMIS2SD6" hidden="1">#REF!</definedName>
    <definedName name="BExEYY17N22FDMK6IA4HQRCTNPYL" hidden="1">#REF!</definedName>
    <definedName name="BExEZ1S6VZCG01ZPLBSS9Z1SBOJ2" hidden="1">#REF!</definedName>
    <definedName name="BExEZ46IIVIQL0MMC4HNYX9FR0XE" hidden="1">#REF!</definedName>
    <definedName name="BExEZ7XBARA0GS00ZU05NTBK9KIK" hidden="1">#REF!</definedName>
    <definedName name="BExEZFPZKLS4GGKV39NX0GL8AK7B" hidden="1">#REF!</definedName>
    <definedName name="BExEZGBFNJR8DLPN0V11AU22L6WY" hidden="1">#REF!</definedName>
    <definedName name="BExEZQYJW81F362CWKW5HLAAM45I" hidden="1">#REF!</definedName>
    <definedName name="BExEZSB0INB8RHDMVOCRWB32SA8D" hidden="1">#REF!</definedName>
    <definedName name="BExEZSWLMZZ2RK34GSJ9Q3NPCFT2" hidden="1">#REF!</definedName>
    <definedName name="BExF02Y3V3QEPO2XLDSK47APK9XJ" hidden="1">#REF!</definedName>
    <definedName name="BExF07W1IED8M2INDREP72IL3CQP" hidden="1">#REF!</definedName>
    <definedName name="BExF09OS91RT7N7IW8JLMZ121ZP3" hidden="1">#REF!</definedName>
    <definedName name="BExF0L2TP18E48BYIVEYR9BGX4HR" hidden="1">#REF!</definedName>
    <definedName name="BExF0LOEHV42P2DV7QL8O7HOQ3N9" hidden="1">#REF!</definedName>
    <definedName name="BExF0QH116YF95UAL83HSM0C2X7Y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DEBY6DGLYWCEA9PEG0VTIB1" hidden="1">#REF!</definedName>
    <definedName name="BExF1FSMUM2M2W8JTOHOTP4ALJN0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21OBXGVA9D1CPMHVJHL599BC" hidden="1">#REF!</definedName>
    <definedName name="BExF28PXA9VBW4OZ74OITX6LHR12" hidden="1">#REF!</definedName>
    <definedName name="BExF2CWZN6E87RGTBMD4YQI2QT7R" hidden="1">#REF!</definedName>
    <definedName name="BExF2DYO1WQ7GMXSTAQRDBW1NSFG" hidden="1">#REF!</definedName>
    <definedName name="BExF2LR83KWDOSK9ACAROCGMTQ8X" hidden="1">#REF!</definedName>
    <definedName name="BExF2MSWNUY9Z6BZJQZ538PPTION" hidden="1">#REF!</definedName>
    <definedName name="BExF2QZYWHTYGUTTXR15CKCV3LS7" hidden="1">#REF!</definedName>
    <definedName name="BExF2RAQ1ZUSPTF4LCBT3EVJ50GN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AS2T7GFVNU9JPBXWUQH845Y" hidden="1">#REF!</definedName>
    <definedName name="BExF3GBMLCA5ZT2251N0N3CRN11O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3RET913530OJZJYWUA4LCSLF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LU2NV3A47BCWPM3EZXUEH37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9NQHJ39J7AF8B91RVX0H3P6" hidden="1">#REF!</definedName>
    <definedName name="BExF5D96JEPDW6LV89G2REZJ1ES7" hidden="1">#REF!</definedName>
    <definedName name="BExF5FSU3AC98ZHUWT1HWEKPC2FR" hidden="1">#REF!</definedName>
    <definedName name="BExF5HR2GFV7O8LKG9SJ4BY78LYA" hidden="1">#REF!</definedName>
    <definedName name="BExF5Q56GFGPT88AVGH2PWRFFHF2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5FFOHNFLM63A7M0XSPHOAGY" hidden="1">#REF!</definedName>
    <definedName name="BExF67O951CF8UJF3KBDNR0E83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JNWE4H8L694Y8Z1VCZ9EMVP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1SL7S5BDGRZ694893ZZ2ZTI" hidden="1">#REF!</definedName>
    <definedName name="BExF76FV8SF7AJK7B35AL7VTZF6D" hidden="1">#REF!</definedName>
    <definedName name="BExF7EOIMC1OYL1N7835KGOI0FIZ" hidden="1">#REF!</definedName>
    <definedName name="BExF7FVNFEHQQH5MIO6AIUWSERR7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7RV9JQHNUU59Z7TLWW2ARAN8" hidden="1">#REF!</definedName>
    <definedName name="BExF81GI8B8WBHXFTET68A9358BR" hidden="1">#REF!</definedName>
    <definedName name="BExF84R8ZH2K4C0CYI1IVFH8WUYD" hidden="1">#REF!</definedName>
    <definedName name="BExF9CTA0UGH0U2JUPUJKMEEI1Z2" hidden="1">#REF!</definedName>
    <definedName name="BExGKNC6UCNO0YTOPVJZMQ34IVMH" hidden="1">#REF!</definedName>
    <definedName name="BExGKT17Q7NLLXEVPD5JH5USNBZN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KB22JO6ELBUFE2PEO92I87G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EFBL47KYW564WF1RQ6VY453" hidden="1">#REF!</definedName>
    <definedName name="BExGMP2F175LGL6QVSJGP6GKYHHA" hidden="1">#REF!</definedName>
    <definedName name="BExGMPIIP8GKML2VVA8OEFL43NCS" hidden="1">#REF!</definedName>
    <definedName name="BExGMVT42M69OWXKECO0KHICXIJ9" hidden="1">#REF!</definedName>
    <definedName name="BExGMZ3SRIXLXMWBVOXXV3M4U4YL" hidden="1">#REF!</definedName>
    <definedName name="BExGMZ3UBN48IXU1ZEFYECEMZ1IM" hidden="1">#REF!</definedName>
    <definedName name="BExGN0LRKAPMAKXJTDAKS7Q1MV6S" hidden="1">#REF!</definedName>
    <definedName name="BExGN4I0QATXNZCLZJM1KH1OIJQH" hidden="1">#REF!</definedName>
    <definedName name="BExGN9FZ2RWCMSY1YOBJKZMNIM9R" hidden="1">#REF!</definedName>
    <definedName name="BExGNCFW1HJRE2CBZ65J7JB4DCF3" hidden="1">#REF!</definedName>
    <definedName name="BExGNDSIMTHOCXXG6QOGR6DA8SGG" hidden="1">#REF!</definedName>
    <definedName name="BExGNHORKADHXX9EH4OEXXGBN7JB" hidden="1">#REF!</definedName>
    <definedName name="BExGNN2YQ9BDAZXT2GLCSAPXKIM7" hidden="1">#REF!</definedName>
    <definedName name="BExGNPBUQ4MFVXFVD9LJPL5PZU68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NZTHN6IOASGRFTOFDVVJUWUK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9PIMV3V0XXFP92JQ92RC6QQ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E7C2HSW9M6L6R25H0Z4JEKM" hidden="1">#REF!</definedName>
    <definedName name="BExGOI3M84PCOV0FSX0APR834A9T" hidden="1">#REF!</definedName>
    <definedName name="BExGOL903YF63SRYHHD7UNE2B0E7" hidden="1">#REF!</definedName>
    <definedName name="BExGOROWSCEN1I6IXZVXWNFSY76K" hidden="1">#REF!</definedName>
    <definedName name="BExGOT6UXUX5FVTAYL9SOBZ1D0II" hidden="1">#REF!</definedName>
    <definedName name="BExGOXJDHUDPDT8I8IVGVW9J0R5Q" hidden="1">#REF!</definedName>
    <definedName name="BExGP8H4QTUWB9ALM5TAYJWE2TKV" hidden="1">#REF!</definedName>
    <definedName name="BExGPB0QWZQYZ4O1B28QZMIZK4R5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PXSRN30S01DKLJCMKI0W3V57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K9YISWZAZUPTSSVKF2EP97O" hidden="1">#REF!</definedName>
    <definedName name="BExGQOX5SC3QE5GND2P8HAHC7ZN6" hidden="1">#REF!</definedName>
    <definedName name="BExGQP2M90PWKZU8RDMLC9SJN90J" hidden="1">#REF!</definedName>
    <definedName name="BExGQPO7ENFEQC0NC6MC9OZR2LHY" hidden="1">#REF!</definedName>
    <definedName name="BExGQRM9NCME1AQA8RNH8GRKBEY8" hidden="1">#REF!</definedName>
    <definedName name="BExGQVNZ1AERCQC9VUJ593J6SYM5" hidden="1">#REF!</definedName>
    <definedName name="BExGQX0H4EZMXBJTKJJE4ICJWN5O" hidden="1">#REF!</definedName>
    <definedName name="BExGR23WEFG8G3CHQC5Q2M1VP9Q0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HZROC86IFGNDBDWZNBH5Q2V" hidden="1">#REF!</definedName>
    <definedName name="BExGRUKVVKDL8483WI70VN2QZDGD" hidden="1">#REF!</definedName>
    <definedName name="BExGRVMR62A0AMZX1IEVX3DXBX04" hidden="1">#REF!</definedName>
    <definedName name="BExGRWOG8H774BWL55XHDM510RIO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IBXBRHGM97ZX6GBA4ZDQ79C" hidden="1">#REF!</definedName>
    <definedName name="BExGUKQF75YKT6AYXH4ZAROIH0UQ" hidden="1">#REF!</definedName>
    <definedName name="BExGUM8D91UNPCOO4TKP9FGX85TF" hidden="1">#REF!</definedName>
    <definedName name="BExGUQF9N9FKI7S0H30WUAEB5LPD" hidden="1">#REF!</definedName>
    <definedName name="BExGUQVJE1MV019H8EUN9O73RXA9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FWDKW8LO48OL2ZZUGFJFDDA" hidden="1">#REF!</definedName>
    <definedName name="BExGVV6OOLDQ3TXZK51TTF3YX0WN" hidden="1">#REF!</definedName>
    <definedName name="BExGW0KVOL93Z29HD7AAKNQ59I24" hidden="1">#REF!</definedName>
    <definedName name="BExGW0KVS7U0C87XFZ78QW991IEV" hidden="1">#REF!</definedName>
    <definedName name="BExGW2Z7AMPG6H9EXA9ML6EZVGGA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453OMLZPGJF63K8PNB8EDJJ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NGZ6ZOVIUMV9589XMXNJCCA" hidden="1">#REF!</definedName>
    <definedName name="BExGXQGVELUHEDSBNLEGTLOGNVS5" hidden="1">#REF!</definedName>
    <definedName name="BExGXWB73RJ4BASBQTQ8EY0EC1EB" hidden="1">#REF!</definedName>
    <definedName name="BExGXZ0ABB43C7SMRKZHWOSU9EQX" hidden="1">#REF!</definedName>
    <definedName name="BExGY0T0UPBWF73OV2QYIOSP1VVJ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HAGH0IZT9WAS43U752U84WI" hidden="1">#REF!</definedName>
    <definedName name="BExGYOS6TV2C72PLRFU8RP1I58GY" hidden="1">#REF!</definedName>
    <definedName name="BExGYXXCM53K2H84S4WZTHTHZPHE" hidden="1">#REF!</definedName>
    <definedName name="BExGYY2PBI68I55GPNKXV5RYR1WF" hidden="1">#REF!</definedName>
    <definedName name="BExGZ0MC1XT4VWABFT1UK2UMI0CP" hidden="1">#REF!</definedName>
    <definedName name="BExGZ7NXZ0IBS44C2NZ9VMD6T6K2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GZSN96MC2HMMYQ3BMZ50490SJ" hidden="1">#REF!</definedName>
    <definedName name="BExGZYXS0GTA29TRAW6KAUBGG6D4" hidden="1">#REF!</definedName>
    <definedName name="BExH004YKOUZOXDTTL0SCJ89JPF3" hidden="1">#REF!</definedName>
    <definedName name="BExH00L21GZX5YJJGVMOAWBERLP5" hidden="1">#REF!</definedName>
    <definedName name="BExH02ZD6VAY1KQLAQYBBI6WWIZB" hidden="1">#REF!</definedName>
    <definedName name="BExH07XC83E8WXF2O7EJTNS1DOZD" hidden="1">#REF!</definedName>
    <definedName name="BExH08Z6LQCGGSGSAILMHX4X7JMD" hidden="1">#REF!</definedName>
    <definedName name="BExH0KT9Z8HEVRRQRGQ8YHXRLIJA" hidden="1">#REF!</definedName>
    <definedName name="BExH0KTA6PC3C1H961G6G3WB4ROD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0Y5JGUO7Z6TD8HXAB8MDIXSA" hidden="1">#REF!</definedName>
    <definedName name="BExH12Y4WX542WI3ZEM15AK4UM9J" hidden="1">#REF!</definedName>
    <definedName name="BExH151O1GA1C6BXT0L4325YJ0SS" hidden="1">#REF!</definedName>
    <definedName name="BExH1AFVY3DFB10LXJXXA05EU6X8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NRXNXU0WLQASP81I62087ON" hidden="1">#REF!</definedName>
    <definedName name="BExH1QMD1UU8X5NZERDZ7OIP3IBI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UHF0QTJG107MULYB16WBJM9" hidden="1">#REF!</definedName>
    <definedName name="BExH2VU17ZSQ6UMFZ9FOP753TT9E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BPW245WVGA1K1DGTL1XWDCH" hidden="1">#REF!</definedName>
    <definedName name="BExH3E9HZ3QJCDZW7WI7YACFQCHE" hidden="1">#REF!</definedName>
    <definedName name="BExH3IRB6764RQ5HBYRLH6XCT29X" hidden="1">#REF!</definedName>
    <definedName name="BExH4HTPYPQ91XIJ8IWIMHWOB0RA" hidden="1">#REF!</definedName>
    <definedName name="BExIG2U8V6RSB47SXLCQG3Q68YRO" hidden="1">#REF!</definedName>
    <definedName name="BExIG9FMY6OOSODNTWQJ2F28Y2FK" hidden="1">#REF!</definedName>
    <definedName name="BExIGJBO8R13LV7CZ7C1YCP974NN" hidden="1">#REF!</definedName>
    <definedName name="BExIGWT86FPOEYTI8GXCGU5Y3KGK" hidden="1">#REF!</definedName>
    <definedName name="BExIH51URLQJA6KNX5CJKIUIR5UQ" hidden="1">#REF!</definedName>
    <definedName name="BExIHBHXA7E7VUTBVHXXXCH3A5CL" hidden="1">#REF!</definedName>
    <definedName name="BExIHNMT9P59WY619GEWB1XONTAE" hidden="1">#REF!</definedName>
    <definedName name="BExIHNMTY8HBM7KQDSTMXEM6MHL4" hidden="1">#REF!</definedName>
    <definedName name="BExIHPQCQTGEW8QOJVIQ4VX0P6DX" hidden="1">#REF!</definedName>
    <definedName name="BExIHU2VSXTKRMO3RHJI6RZ206Q5" hidden="1">#REF!</definedName>
    <definedName name="BExIHZ6ALVREAYK4T741OOLGXOZA" hidden="1">#REF!</definedName>
    <definedName name="BExII1KN91Q7DLW0UB7W2TJ5ACT9" hidden="1">#REF!</definedName>
    <definedName name="BExII20QQ1K3GHOPL1ZQX5SL618M" hidden="1">#REF!</definedName>
    <definedName name="BExII50LI8I0CDOOZEMIVHVA2V95" hidden="1">#REF!</definedName>
    <definedName name="BExIIG95JM2I5JFGS65M4412QHDB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8Q4WWPTKVONF0FPLTD4L7CH" hidden="1">#REF!</definedName>
    <definedName name="BExIJ9MI8QNCVF6L1SK4ZWC4CPJ7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JZP8AKK000EFDGK7KZ1YKRXT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45UAJTQCLO0PRR3OAT4FUN0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LI8Z41WP1I83L06KGRLKLGUL" hidden="1">#REF!</definedName>
    <definedName name="BExILJ558DU4VWYTKQGUZWNZN6KS" hidden="1">#REF!</definedName>
    <definedName name="BExIM02UP3RCUWZ2RO86WO6595EZ" hidden="1">#REF!</definedName>
    <definedName name="BExIM9DBUB7ZGF4B20FVUO9QGOX2" hidden="1">#REF!</definedName>
    <definedName name="BExIMGK9Z94TFPWWZFMD10HV0IF6" hidden="1">#REF!</definedName>
    <definedName name="BExIMIT427CJSYOCFG8JGTIJC8EC" hidden="1">#REF!</definedName>
    <definedName name="BExIMPEGKG18TELVC33T4OQTNBWC" hidden="1">#REF!</definedName>
    <definedName name="BExIMTAR1TFV3DP2D7HWECJEOYUG" hidden="1">#REF!</definedName>
    <definedName name="BExIN3SELWXIGE9EWSK9QJ3RHFPD" hidden="1">#REF!</definedName>
    <definedName name="BExIN4OR435DL1US13JQPOQK8GD5" hidden="1">#REF!</definedName>
    <definedName name="BExIN8FK0VJT3CRRWGRO3XE26YZS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O0MM0VFZGX84AO4LV2VTJSL" hidden="1">#REF!</definedName>
    <definedName name="BExINP2H4KI05FRFV5PKZFE00HKO" hidden="1">#REF!</definedName>
    <definedName name="BExINVT50DNQFXWZEBLEC0HIJDBS" hidden="1">#REF!</definedName>
    <definedName name="BExINYT1S9HTKX12F6T1MBDFL53T" hidden="1">#REF!</definedName>
    <definedName name="BExINZELVWYGU876QUUZCIMXPBQC" hidden="1">#REF!</definedName>
    <definedName name="BExIOCQUQHKUU1KONGSDOLQTQEIC" hidden="1">#REF!</definedName>
    <definedName name="BExIOEUDLMQULYKSXV94CO63QD9I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3EYMLXYSYD644AIULVB4SM4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CNG2M6L73ES2UQI5310WB7" hidden="1">#REF!</definedName>
    <definedName name="BExIPKNFUDPDKOSH5GHDVNA8D66S" hidden="1">#REF!</definedName>
    <definedName name="BExIPLJTRJRKOL7VVP0PEP05W0QL" hidden="1">#REF!</definedName>
    <definedName name="BExIPYFR9Q89IRAL0HPOES7623H9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CDFFALELXAMMR1ZQBGNV1HO" hidden="1">#REF!</definedName>
    <definedName name="BExIQCTILU1D6OD8XR0K44Z9OTI8" hidden="1">#REF!</definedName>
    <definedName name="BExIQE65LVXUOF3UZFO7SDHFJH22" hidden="1">#REF!</definedName>
    <definedName name="BExIQG9OO2KKBOWTMD1OXY36TEGA" hidden="1">#REF!</definedName>
    <definedName name="BExIQIII4MABGPDVFEBH294F5JBS" hidden="1">#REF!</definedName>
    <definedName name="BExIQX1XBB31HZTYEEVOBSE3C5A6" hidden="1">#REF!</definedName>
    <definedName name="BExIQYP5T1TPAQYW7QU1Q98BKX7W" hidden="1">#REF!</definedName>
    <definedName name="BExIQZAQJYKZOKHI58TOYN8ISYR5" hidden="1">#REF!</definedName>
    <definedName name="BExIR2ALYRP9FW99DK2084J7IIDC" hidden="1">#REF!</definedName>
    <definedName name="BExIR3SLGXKTXI4THJ4UYT53ZYI2" hidden="1">#REF!</definedName>
    <definedName name="BExIR8FQETPTQYW37DBVDWG3J4JW" hidden="1">#REF!</definedName>
    <definedName name="BExIRKA1THK63STKXJFC0H3QC68H" hidden="1">#REF!</definedName>
    <definedName name="BExIRRBGTY01OQOI3U5SW59RFDFI" hidden="1">#REF!</definedName>
    <definedName name="BExIRRGYG8G7XY7E9FYBRP37D5IR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J6WFYQKE0RGTDWHAWUAE1AP" hidden="1">#REF!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2IT2V9GEHP8BOT7V4TQL64A" hidden="1">#REF!</definedName>
    <definedName name="BExITBNYANV2S8KD56GOGCKW393R" hidden="1">#REF!</definedName>
    <definedName name="BExIUB6GMB0SK1G4X7OS9A0AYW30" hidden="1">#REF!</definedName>
    <definedName name="BExIUD4OJGH65NFNQ4VMCE3R4J1X" hidden="1">#REF!</definedName>
    <definedName name="BExIUGKO3DFB6288SC7JFY5XQXBS" hidden="1">#REF!</definedName>
    <definedName name="BExIULYTKJ6F74ZZ6GFR3H0502B9" hidden="1">#REF!</definedName>
    <definedName name="BExIUTB5OAAXYW0OFMP0PS40SPOB" hidden="1">#REF!</definedName>
    <definedName name="BExIUUT2MHIOV6R3WHA0DPM1KBKY" hidden="1">#REF!</definedName>
    <definedName name="BExIUXI7T2XUZCSZE9GKUIN8NC2X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HVWLE97GSYXI5MCGEPG5OPB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X2DMJCFY68X9XPKX7A9YBWQV" hidden="1">#REF!</definedName>
    <definedName name="BExIX34PM5DBTRHRQWP6PL6WIX88" hidden="1">#REF!</definedName>
    <definedName name="BExIX4S01VKH0V2KWQZGAY2FUFFS" hidden="1">#REF!</definedName>
    <definedName name="BExIX5OAP9KSUE5SIZCW9P39Q4WE" hidden="1">#REF!</definedName>
    <definedName name="BExIXGRJPVJMUDGSG7IHPXPNO69B" hidden="1">#REF!</definedName>
    <definedName name="BExIXM5R87ZL3FHALWZXYCPHGX3E" hidden="1">#REF!</definedName>
    <definedName name="BExIXS036ZCKT2Z8XZKLZ8PFWQGL" hidden="1">#REF!</definedName>
    <definedName name="BExIXY5CF9PFM0P40AZ4U51TMWV0" hidden="1">#REF!</definedName>
    <definedName name="BExIY08OMYWG0GICIPGAOP8IJNN3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N67RQ6EJS1EY0C5K8MNME9V" hidden="1">#REF!</definedName>
    <definedName name="BExIYOO4P2NLI0GTES3GN8FDL0US" hidden="1">#REF!</definedName>
    <definedName name="BExIYP9Q6FV9T0R9G3UDKLS4TTYX" hidden="1">#REF!</definedName>
    <definedName name="BExIYRTCOZA1OQ7D46XDWMCW6RFR" hidden="1">#REF!</definedName>
    <definedName name="BExIYZGLDQ1TN7BIIN4RLDP31GIM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42GOUC2P92D8UI7KEHKL" hidden="1">#REF!</definedName>
    <definedName name="BExJ08KBRR2XMWW3VZMPSQKXHZUH" hidden="1">#REF!</definedName>
    <definedName name="BExJ0DYJWXGE7DA39PYL3WM05U9O" hidden="1">#REF!</definedName>
    <definedName name="BExJ0JCRE7HP1J5ICCTGR58SY007" hidden="1">#REF!</definedName>
    <definedName name="BExJ0MY8SY5J5V50H3UKE78ODTVB" hidden="1">#REF!</definedName>
    <definedName name="BExJ0YC98G37ML4N8FLP8D95EFRF" hidden="1">#REF!</definedName>
    <definedName name="BExJ11MY9B0F7RFESFSORX1Z25QM" hidden="1">#REF!</definedName>
    <definedName name="BExKCCREBIWYDT3KYY47J6PKFUJC" hidden="1">#REF!</definedName>
    <definedName name="BExKCDYKAEV45AFXHVHZZ62E5BM3" hidden="1">#REF!</definedName>
    <definedName name="BExKDJBKAJPY1RL4WY6D99TGYHCW" hidden="1">#REF!</definedName>
    <definedName name="BExKDKO0W4AGQO1V7K6Q4VM750FT" hidden="1">#REF!</definedName>
    <definedName name="BExKDLF10G7W77J87QWH3ZGLUCLW" hidden="1">#REF!</definedName>
    <definedName name="BExKDO45GL6PAZQR3PAOWFVA6WLZ" hidden="1">#REF!</definedName>
    <definedName name="BExKE400P7WOFSUK628BT91CWB4H" hidden="1">#REF!</definedName>
    <definedName name="BExKEKMRQLC0TPETMUVPBOHVEK6D" hidden="1">#REF!</definedName>
    <definedName name="BExKEKXK6E6QX339ELPXDIRZSJE0" hidden="1">#REF!</definedName>
    <definedName name="BExKEOOIBMP7N8033EY2CJYCBX6H" hidden="1">#REF!</definedName>
    <definedName name="BExKES9ZA5L22XTSO9Y8GAI2RIIH" hidden="1">#REF!</definedName>
    <definedName name="BExKEW0RR5LA3VC46A2BEOOMQE56" hidden="1">#REF!</definedName>
    <definedName name="BExKF02HYBPMKRSPJGAK1MWM2V4R" hidden="1">#REF!</definedName>
    <definedName name="BExKFA3VI1CZK21SM0N3LZWT9LA1" hidden="1">#REF!</definedName>
    <definedName name="BExKFFCLKPHRT0GUGRXG8HJV8T6G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G4DLJF9J4XPL7JLUAS1D5IWX" hidden="1">#REF!</definedName>
    <definedName name="BExKG4IYHBKQQ8J8FN10GB2IKO33" hidden="1">#REF!</definedName>
    <definedName name="BExKG8KO0T2K2PJKN0MY59LZRPC0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RLR18I5PDSYVLAEKX5CEB8E" hidden="1">#REF!</definedName>
    <definedName name="BExKGV77YH9YXIQTRKK2331QGYKF" hidden="1">#REF!</definedName>
    <definedName name="BExKGWUGUAZ9RHGMMEHY6AG0GBZC" hidden="1">#REF!</definedName>
    <definedName name="BExKH0ANKNJUT5MEASVBDV24PB47" hidden="1">#REF!</definedName>
    <definedName name="BExKH3FTZ5VGTB86W9M4AB39R0G8" hidden="1">#REF!</definedName>
    <definedName name="BExKH3FV5U5O6XZM7STS3NZKQFGJ" hidden="1">#REF!</definedName>
    <definedName name="BExKH6L8BUEGZ1O7ZYFE7R04MJJV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KDK2PRBCUJS8TEDP8K3VODQ" hidden="1">#REF!</definedName>
    <definedName name="BExKHPM9XA0ADDK7TUR0N38EXWEP" hidden="1">#REF!</definedName>
    <definedName name="BExKI4076KXCDE5KXL79KT36OKLO" hidden="1">#REF!</definedName>
    <definedName name="BExKI703H6LLQ9SUAO1Q66RXBCFT" hidden="1">#REF!</definedName>
    <definedName name="BExKI7LO70WYISR7Q0Y1ZDWO9M3B" hidden="1">#REF!</definedName>
    <definedName name="BExKIB75BY7VYZ31Z71GPYZY3YS6" hidden="1">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QBXXCQTD6AC5R4UOQSZ7MIS" hidden="1">#REF!</definedName>
    <definedName name="BExKIU87ZKSOC2DYZWFK6SAK9I8E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1342JP8KM0FPSGNLL9FWN4B" hidden="1">#REF!</definedName>
    <definedName name="BExKK8VP5RS3D0UXZVKA37C4SYBP" hidden="1">#REF!</definedName>
    <definedName name="BExKKCMFZ11K2QMT8Z2GWTI06JHD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RWRAU2LZZWVZIYY79SO2BXM" hidden="1">#REF!</definedName>
    <definedName name="BExKKUGD2HMJWQEYZ8H3X1BMXFS9" hidden="1">#REF!</definedName>
    <definedName name="BExKKX05KCZZZPKOR1NE5A8RGVT4" hidden="1">#REF!</definedName>
    <definedName name="BExKL002TQQTZZ9BETERCDLUDV0K" hidden="1">#REF!</definedName>
    <definedName name="BExKLEZK32L28GYJWVO63BZ5E1JD" hidden="1">#REF!</definedName>
    <definedName name="BExKLGBZ8D7W1HW672WZB4ZK47TN" hidden="1">#REF!</definedName>
    <definedName name="BExKLLKVVHT06LA55JB2FC871DC5" hidden="1">#REF!</definedName>
    <definedName name="BExKLO4OJ4LE6YA3WZB02FDH4ZBC" hidden="1">#REF!</definedName>
    <definedName name="BExKLWYWL8HEKZRA5IGCCM60HYID" hidden="1">#REF!</definedName>
    <definedName name="BExKLX9OMIZRVELEESUGRFHXM0CU" hidden="1">#REF!</definedName>
    <definedName name="BExKM1RJP9E5M811GA6S94X1RPW4" hidden="1">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M3TO8JLDR94J4BKF7TE6872" hidden="1">#REF!</definedName>
    <definedName name="BExKNV8UOHVWEHDJWI2WMJ9X6QHZ" hidden="1">#REF!</definedName>
    <definedName name="BExKNYUAYWR68YCUOIW6WYVNJ198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BVR6FBO1U02GWCHZEQEFC13" hidden="1">#REF!</definedName>
    <definedName name="BExKODIZGWW2EQD0FEYW6WK6XLCM" hidden="1">#REF!</definedName>
    <definedName name="BExKOEA1HY8RIY04636RSKF38SDX" hidden="1">#REF!</definedName>
    <definedName name="BExKOPO2HPWVQGAKW8LOZMPIDEFG" hidden="1">#REF!</definedName>
    <definedName name="BExKP8ECS3SLOUZC3KHUEGIQ6HOE" hidden="1">#REF!</definedName>
    <definedName name="BExKPEZP0QTKOTLIMMIFSVTHQEEK" hidden="1">#REF!</definedName>
    <definedName name="BExKPX4EDTHX3GREFJJQL0SJQI1B" hidden="1">#REF!</definedName>
    <definedName name="BExKPX9VZ1J5021Q98K60HMPJU58" hidden="1">#REF!</definedName>
    <definedName name="BExKQJ01GRP9KX7BHWUGSV76KSSN" hidden="1">#REF!</definedName>
    <definedName name="BExKQJGAAWNM3NT19E9I0CQDBTU0" hidden="1">#REF!</definedName>
    <definedName name="BExKQKNG1WDHLAUB2BVXHFODD0DD" hidden="1">#REF!</definedName>
    <definedName name="BExKQM5GJ1ZN5REKFE7YVBQ0KXWF" hidden="1">#REF!</definedName>
    <definedName name="BExKQO3G0R230211GSQXEUMGOJJH" hidden="1">#REF!</definedName>
    <definedName name="BExKQOEA7HV9U5DH9C8JXFD62EKH" hidden="1">#REF!</definedName>
    <definedName name="BExKQQ71278061G7ZFYGPWOMOMY2" hidden="1">#REF!</definedName>
    <definedName name="BExKQROXFHOAXZAJ9P338TCB51AS" hidden="1">#REF!</definedName>
    <definedName name="BExKQTXRG3ECU8NT47UR7643LO5G" hidden="1">#REF!</definedName>
    <definedName name="BExKQVL7HPOIZ4FHANDFMVOJLEPR" hidden="1">#REF!</definedName>
    <definedName name="BExKR32XG1WY77WDT8KW9FJPGQTU" hidden="1">#REF!</definedName>
    <definedName name="BExKR8RZSEHW184G0Z56B4EGNU72" hidden="1">#REF!</definedName>
    <definedName name="BExKRS3TU9ZISEFNAGIP4D2THSPK" hidden="1">#REF!</definedName>
    <definedName name="BExKRVUSQ6PA7ZYQSTEQL3X7PB9P" hidden="1">#REF!</definedName>
    <definedName name="BExKRY3KZ7F7RB2KH8HXSQ85IEQO" hidden="1">#REF!</definedName>
    <definedName name="BExKSA37DZTCK6H13HPIKR0ZFVL8" hidden="1">#REF!</definedName>
    <definedName name="BExKSAJ9PLFSAM5DGYLJ0LGWBOCJ" hidden="1">#REF!</definedName>
    <definedName name="BExKSFHEJYQU3MJ64AXH349TS3AS" hidden="1">#REF!</definedName>
    <definedName name="BExKSFMOMSZYDE0WNC94F40S6636" hidden="1">#REF!</definedName>
    <definedName name="BExKSHFKSIPIGUXHPNBH9EH64III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MDKVAO0A43CLVBQQD41BXOS" hidden="1">#REF!</definedName>
    <definedName name="BExKSR66M8VX6DOVY5XKESJ3UH2N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GHU41U7OXQNLCH9L528CTKN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I99FEUIZLODXJDOJC96CQ" hidden="1">#REF!</definedName>
    <definedName name="BExKUDM0DFSCM3D91SH0XLXJSL18" hidden="1">#REF!</definedName>
    <definedName name="BExKUEIEGD9JH03Q4QGCL2ZVM2AQ" hidden="1">#REF!</definedName>
    <definedName name="BExKULEKJLA77AUQPDUHSM94Y76Z" hidden="1">#REF!</definedName>
    <definedName name="BExKUPASS3H5268MTUCTQGAWNU4C" hidden="1">#REF!</definedName>
    <definedName name="BExKV08R85MKI3MAX9E2HERNQUNL" hidden="1">#REF!</definedName>
    <definedName name="BExKV4AAUNNJL5JWD7PX6BFKVS6O" hidden="1">#REF!</definedName>
    <definedName name="BExKV8S497WD25N3LA72PSCGO8G3" hidden="1">#REF!</definedName>
    <definedName name="BExKV9DPVPH7F6XHNHMCWZMNZH6L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VXYFOPCEUIOQ3XQROB218ZV8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9UQN0TIL2QB8BQX5YK9L7EW9" hidden="1">#REF!</definedName>
    <definedName name="BExMA64MW1S18NH8DCKPCCEI5KCB" hidden="1">#REF!</definedName>
    <definedName name="BExMALEWFUEM8Y686IT03ECURUBR" hidden="1">#REF!</definedName>
    <definedName name="BExMAR3XSK6RSFLHP7ZX1EWGHASI" hidden="1">#REF!</definedName>
    <definedName name="BExMAXJS82ZJ8RS22VLE0V0LDUII" hidden="1">#REF!</definedName>
    <definedName name="BExMB2Y08ZQ6ES53Z1Z85LK1XPJG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97DMNZ73BZATLEROPTMJPA1" hidden="1">#REF!</definedName>
    <definedName name="BExMCA96YR10V72G2R0SCIKPZLIZ" hidden="1">#REF!</definedName>
    <definedName name="BExMCAPB2KR2CNKS8MYVWTH5MOT2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QACGERJ5Q0CGJI018KWD2ZI" hidden="1">#REF!</definedName>
    <definedName name="BExMCRSC61GNE2C255DR0NN6NYI0" hidden="1">#REF!</definedName>
    <definedName name="BExMCS8EF2W3FS9QADNKREYSI8P0" hidden="1">#REF!</definedName>
    <definedName name="BExMCUS7GSOM96J0HJ7EH0FFM2AC" hidden="1">#REF!</definedName>
    <definedName name="BExMCXMMDFHHNJDRURMCXF1DGUOM" hidden="1">#REF!</definedName>
    <definedName name="BExMCYTT6TVDWMJXO1NZANRTVNAN" hidden="1">#REF!</definedName>
    <definedName name="BExMD5F6IAV108XYJLXUO9HD0IT6" hidden="1">#REF!</definedName>
    <definedName name="BExMD963673NTBXBO0VDNBAG9YWM" hidden="1">#REF!</definedName>
    <definedName name="BExMDANV66W9T3XAXID40XFJ0J93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Q3NI3GV1A8JDHIRIL4YLESR" hidden="1">#REF!</definedName>
    <definedName name="BExMDUWAATB6AI7BI1UYVBD6BVVO" hidden="1">#REF!</definedName>
    <definedName name="BExMDUWB7VWHFFR266QXO46BNV2S" hidden="1">#REF!</definedName>
    <definedName name="BExMDV1QOID46TFE2L61QWYECIRN" hidden="1">#REF!</definedName>
    <definedName name="BExMDVSO20ADTTVCKT513NZBKC0Q" hidden="1">#REF!</definedName>
    <definedName name="BExME0FYHY8XW3FC8W177UI5HUB0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KTHIM47ERJ7ML7M759FF32G" hidden="1">#REF!</definedName>
    <definedName name="BExMEOV9YFRY5C3GDLU60GIX10BY" hidden="1">#REF!</definedName>
    <definedName name="BExMEY095ELVR1FY94CBBWCTD3ND" hidden="1">#REF!</definedName>
    <definedName name="BExMEY09ESM4H2YGKEQQRYUD114R" hidden="1">#REF!</definedName>
    <definedName name="BExMF4G4IUPQY1Y5GEY5N3E04CL6" hidden="1">#REF!</definedName>
    <definedName name="BExMF6ZXTQSMM282022NEF9AOLH3" hidden="1">#REF!</definedName>
    <definedName name="BExMF9UIGYMOAQK0ELUWP0S0HZZY" hidden="1">#REF!</definedName>
    <definedName name="BExMFDLBSWFMRDYJ2DZETI3EXKN2" hidden="1">#REF!</definedName>
    <definedName name="BExMFFJCU2N6QOC5V50II5WTLPAF" hidden="1">#REF!</definedName>
    <definedName name="BExMFH6SWBYCN98LEO4HJ8MYBMEV" hidden="1">#REF!</definedName>
    <definedName name="BExMFLDTMRTCHKA37LQW67BG8D5C" hidden="1">#REF!</definedName>
    <definedName name="BExMFQ102FN53YEFF1Q73O5PKTN2" hidden="1">#REF!</definedName>
    <definedName name="BExMFY4B5JW31L4PL9F4S16LTC8G" hidden="1">#REF!</definedName>
    <definedName name="BExMG9NSK30KD01QX0UBN2VNRTG4" hidden="1">#REF!</definedName>
    <definedName name="BExMGFSWSVUC8O4EM6ZP6T82VC1A" hidden="1">#REF!</definedName>
    <definedName name="BExMGG3PFIHPHX7NXB7HDFI3N12L" hidden="1">#REF!</definedName>
    <definedName name="BExMH3H9TW5TJCNU5Z1EWXP3BAEP" hidden="1">#REF!</definedName>
    <definedName name="BExMHOWPB34KPZ76M2KIX2C9R2VB" hidden="1">#REF!</definedName>
    <definedName name="BExMHSCTOXW94UHJ6NBBAHXOFQJQ" hidden="1">#REF!</definedName>
    <definedName name="BExMHSSYC6KVHA3QDTSYPN92TWMI" hidden="1">#REF!</definedName>
    <definedName name="BExMHW3M953LXKDV5R8HGJJL4TQ4" hidden="1">#REF!</definedName>
    <definedName name="BExMI0WA793SF41LQ40A28U8OXQY" hidden="1">#REF!</definedName>
    <definedName name="BExMI3AJ9477KDL4T9DHET4LJJTW" hidden="1">#REF!</definedName>
    <definedName name="BExMI3QOZTYEQUF0SE6AK4HHWJO7" hidden="1">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IQ5MBWSIHTFWAQADXMZC22Q" hidden="1">#REF!</definedName>
    <definedName name="BExMIKZ5EDDZDK5D6GTXJPH9XWND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51XJZN31B84NVPI18J3CWTB" hidden="1">#REF!</definedName>
    <definedName name="BExMJA01LCAWUR1OX7H4E7JGNN3W" hidden="1">#REF!</definedName>
    <definedName name="BExMJA5CMJ8G7FX6TIE9VI700WFP" hidden="1">#REF!</definedName>
    <definedName name="BExMJNC8ZFB9DRFOJ961ZAJ8U3A8" hidden="1">#REF!</definedName>
    <definedName name="BExMJTBV8A3D31W2IQHP9RDFPPHQ" hidden="1">#REF!</definedName>
    <definedName name="BExMJZ6D3DWP28GJJXRWJ1PRIJ58" hidden="1">#REF!</definedName>
    <definedName name="BExMK0OA4CYPHQFXIOZFG5E4Y027" hidden="1">#REF!</definedName>
    <definedName name="BExMK2RTXN4QJWEUNX002XK8VQP8" hidden="1">#REF!</definedName>
    <definedName name="BExMKCYNGBTEMK702YHCXEIKUKNW" hidden="1">#REF!</definedName>
    <definedName name="BExMKGK5FJUC0AU8MABRGDC5ZM70" hidden="1">#REF!</definedName>
    <definedName name="BExMKOI0IEYQSWL82F4MI37J9NZ3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MZTDDCFDHK0GU54VF8EVH99F" hidden="1">#REF!</definedName>
    <definedName name="BExMN87H2VMV8ILHH2G8K58Z3L3L" hidden="1">#REF!</definedName>
    <definedName name="BExMNDR4V2VG5RFZDGTAGD3Q9PPG" hidden="1">#REF!</definedName>
    <definedName name="BExMNHSR90D75TAJCU6GBNU23AAM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OOUUEL9JNHL3LAXO1PUTKRL" hidden="1">#REF!</definedName>
    <definedName name="BExMNQ1J7QX20FWV4DQ41E6S4T2W" hidden="1">#REF!</definedName>
    <definedName name="BExMNQMY2IUP61KESI720VOMTAJ1" hidden="1">#REF!</definedName>
    <definedName name="BExMNR38HMPLWAJRQ9MMS3ZAZ9IU" hidden="1">#REF!</definedName>
    <definedName name="BExMNRDZULKJMVY2VKIIRM2M5A1M" hidden="1">#REF!</definedName>
    <definedName name="BExMNUZHMKFZ814RTA641MNKZ7HQ" hidden="1">#REF!</definedName>
    <definedName name="BExMNW6NIOK4PW2K16RX2DT8BCKP" hidden="1">#REF!</definedName>
    <definedName name="BExMO9IOWKTWHO8LQJJQI5P3INWY" hidden="1">#REF!</definedName>
    <definedName name="BExMOI29DOEK5R1A5QZPUDKF7N6T" hidden="1">#REF!</definedName>
    <definedName name="BExMOJ9GY6AQGI153FV703AE296H" hidden="1">#REF!</definedName>
    <definedName name="BExMP06Y7JRUYXTNBLZEZIIFMP8Z" hidden="1">#REF!</definedName>
    <definedName name="BExMPAJ5AJAXGKGK3F6H3ODS6RF4" hidden="1">#REF!</definedName>
    <definedName name="BExMPD2X55FFBVJ6CBUKNPROIOEU" hidden="1">#REF!</definedName>
    <definedName name="BExMPGTVPYQ1ACGV1RRRS5LYB125" hidden="1">#REF!</definedName>
    <definedName name="BExMPGZ848E38FUH1JBQN97DGWAT" hidden="1">#REF!</definedName>
    <definedName name="BExMPJDJAHDLML9N53TMVTK0HQL0" hidden="1">#REF!</definedName>
    <definedName name="BExMPLBKFPJM4GF27I2D45X0U9QF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4GUTFCN4RD7H81IOKECLEG3" hidden="1">#REF!</definedName>
    <definedName name="BExMR8IFJM3HCQC5YJPTGWVVLZ8N" hidden="1">#REF!</definedName>
    <definedName name="BExMR8YQHA7N77HGHY4Y6R30I3XT" hidden="1">#REF!</definedName>
    <definedName name="BExMRENOIARWRYOIVPDIEBVNRDO7" hidden="1">#REF!</definedName>
    <definedName name="BExMRP5C9V3XNIT2DRA9I6G73H2V" hidden="1">#REF!</definedName>
    <definedName name="BExMRPG54LNH7HRC92MBSUT6UL6L" hidden="1">#REF!</definedName>
    <definedName name="BExMRQHUEHGF2FS4LCB0THFELGDI" hidden="1">#REF!</definedName>
    <definedName name="BExMRRJNUMGRSDD5GGKKGEIZ6FTS" hidden="1">#REF!</definedName>
    <definedName name="BExMRU3ACIU0RD2BNWO55LH5U2BR" hidden="1">#REF!</definedName>
    <definedName name="BExMSM9I7XZ0BC793Y8GWVJNG1V9" hidden="1">#REF!</definedName>
    <definedName name="BExMSQRCC40AP8BDUPL2I2DNC210" hidden="1">#REF!</definedName>
    <definedName name="BExO4J9LR712G00TVA82VNTG8O7H" hidden="1">#REF!</definedName>
    <definedName name="BExO4P9G3CC5P66YXQJ1MQZE3Q3L" hidden="1">#REF!</definedName>
    <definedName name="BExO4Q5T1IO39TUFXG41PZPWD8H5" hidden="1">#REF!</definedName>
    <definedName name="BExO55G2KVZ7MIJ30N827CLH0I2A" hidden="1">#REF!</definedName>
    <definedName name="BExO5A8PZD9EUHC5CMPU6N3SQ15L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7A0RAM8VLJ9WVOS0CNSGVOZA" hidden="1">#REF!</definedName>
    <definedName name="BExO7OUQS3XTUQ2LDKGQ8AAQ3OJJ" hidden="1">#REF!</definedName>
    <definedName name="BExO7RUSODZC2NQZMT2AFSMV2ONF" hidden="1">#REF!</definedName>
    <definedName name="BExO7S041J3CCBWX6FU7N6A5EI5J" hidden="1">#REF!</definedName>
    <definedName name="BExO7TNDHMJ5CKWUAYOBW0XN3D65" hidden="1">#REF!</definedName>
    <definedName name="BExO7W1PSMP8KLLJ6LI9QUDVQEVV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TM4L261JTCSQ24FHE73242J" hidden="1">#REF!</definedName>
    <definedName name="BExO8TM5V5CFSV5A13AYOWY4NGRS" hidden="1">#REF!</definedName>
    <definedName name="BExO8UTAGQWDBQZEEF4HUNMLQCVU" hidden="1">#REF!</definedName>
    <definedName name="BExO937E20IHMGQOZMECL3VZC7OX" hidden="1">#REF!</definedName>
    <definedName name="BExO94UTJKQQ7TJTTJRTSR70YVJC" hidden="1">#REF!</definedName>
    <definedName name="BExO97UQJZUPF97U6VZ9OKGFGY6F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A8PPAT6BFKDHD9OQK39O9RSG" hidden="1">#REF!</definedName>
    <definedName name="BExOAFR6JHRK4AP8O7TB9UDEAVJL" hidden="1">#REF!</definedName>
    <definedName name="BExOAGCX9ISY83KMXO02KFMKR8OW" hidden="1">#REF!</definedName>
    <definedName name="BExOAJCNAZ63F2QP31JWMQ68CN65" hidden="1">#REF!</definedName>
    <definedName name="BExOAQ3GKCT7YZW1EMVU3EILSZL2" hidden="1">#REF!</definedName>
    <definedName name="BExOATOZ1ADP21Y95NUKRMLEAP7G" hidden="1">#REF!</definedName>
    <definedName name="BExOB886RIKYRO6D0LXJDAB2M84Z" hidden="1">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NNWXJI9Y0IQ9VT4NMZCB3SW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BYLMYCYZ1NJLHJCPLA3PVKYK" hidden="1">#REF!</definedName>
    <definedName name="BExOBYLO8NTLBKV3569Y2UNNIV1K" hidden="1">#REF!</definedName>
    <definedName name="BExOC08Y6OIMB5N7XH5Q1IR1M20Q" hidden="1">#REF!</definedName>
    <definedName name="BExOC3UEHB1CZNINSQHZANWJYKR8" hidden="1">#REF!</definedName>
    <definedName name="BExOC7LCVAJC36Q60I8PKPCD0T1S" hidden="1">#REF!</definedName>
    <definedName name="BExOCBSF3XGO9YJ23LX2H78VOUR7" hidden="1">#REF!</definedName>
    <definedName name="BExOCKXFMOW6WPFEVX1I7R7FNDSS" hidden="1">#REF!</definedName>
    <definedName name="BExOCQX7MZG1R6UPBHNGI606SL8K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NLAA1L7WQ9ZQX6A1ZOXK9VR" hidden="1">#REF!</definedName>
    <definedName name="BExODWFIJU03PMWYJWE8JE962KVM" hidden="1">#REF!</definedName>
    <definedName name="BExODZFEIWV26E8RFU7XQYX1J458" hidden="1">#REF!</definedName>
    <definedName name="BExOE89QWLYZ033JJYOXL9EN126C" hidden="1">#REF!</definedName>
    <definedName name="BExOEBKG55EROA2VL360A06LKASE" hidden="1">#REF!</definedName>
    <definedName name="BExOEC0KNWT2VFJDQRBV622W46AC" hidden="1">#REF!</definedName>
    <definedName name="BExOEOG8PC4U44IJP5HXWVRO7YXY" hidden="1">#REF!</definedName>
    <definedName name="BExOERG5LWXYYEN1DY1H2FWRJS9T" hidden="1">#REF!</definedName>
    <definedName name="BExOEV1S6JJVO5PP4BZ20SNGZR7D" hidden="1">#REF!</definedName>
    <definedName name="BExOEXW73LQGJBN7S5NV5XAO8OYE" hidden="1">#REF!</definedName>
    <definedName name="BExOF5ZJR1UJ9IQRGDTEZM7GPQX4" hidden="1">#REF!</definedName>
    <definedName name="BExOFEDNCYI2TPTMQ8SJN3AW4YMF" hidden="1">#REF!</definedName>
    <definedName name="BExOFJH1W33H5R9GH680DNXTZ0ZN" hidden="1">#REF!</definedName>
    <definedName name="BExOFN2CCI1J0EUWG6CV07EKJOT7" hidden="1">#REF!</definedName>
    <definedName name="BExOFOKGM1IICR2UF1SUN678HD1K" hidden="1">#REF!</definedName>
    <definedName name="BExOFVLXVD6RVHSQO8KZOOACSV24" hidden="1">#REF!</definedName>
    <definedName name="BExOG1AZCK9QN09SNEN2DTTFFCLJ" hidden="1">#REF!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L32MFYOO4MCEAOJ4PUOE80N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GYVEAJFUXQVT8YQO2U7YT5OY" hidden="1">#REF!</definedName>
    <definedName name="BExOH262ZG7AO8N6IYYYD4YJ3W21" hidden="1">#REF!</definedName>
    <definedName name="BExOH2GVFOFXDG3YQK89NSKG7WJG" hidden="1">#REF!</definedName>
    <definedName name="BExOH7KB5HAPBB5K1Z3DIW5LCRSI" hidden="1">#REF!</definedName>
    <definedName name="BExOH9ICZ13C1LAW8OTYTR9S7ZP3" hidden="1">#REF!</definedName>
    <definedName name="BExOHBB43JS54D6MARIQR5PJNUDG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N9ETPA87K6NINBIFRSWHK4C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7047J44DNHCYPT0AUY98OQ8" hidden="1">#REF!</definedName>
    <definedName name="BExOKCECQSFWA99RY6KEDPH30KT6" hidden="1">#REF!</definedName>
    <definedName name="BExOKDAQ31PVS0Q7NXOF66C24GYL" hidden="1">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KZMN8382XWL8I2ZLJOVKFW8C" hidden="1">#REF!</definedName>
    <definedName name="BExOL0Z3Z7IAMHPB91EO2MF49U57" hidden="1">#REF!</definedName>
    <definedName name="BExOL7KH12VAR0LG741SIOJTLWFD" hidden="1">#REF!</definedName>
    <definedName name="BExOLB5SC7VD8OG53K8II93SAENQ" hidden="1">#REF!</definedName>
    <definedName name="BExOLD411QWFX4FN11349510DRJ8" hidden="1">#REF!</definedName>
    <definedName name="BExOLICXFHJLILCJVFMJE5MGGWKR" hidden="1">#REF!</definedName>
    <definedName name="BExOLOI0WJS3QC12I3ISL0D9AWOF" hidden="1">#REF!</definedName>
    <definedName name="BExOLYZNCQU9YFRCJTSR1R7098U7" hidden="1">#REF!</definedName>
    <definedName name="BExOLYZNG5RBD0BTS1OEZJNU92Q5" hidden="1">#REF!</definedName>
    <definedName name="BExOM3HIJ3UZPOKJI68KPBJAHPDC" hidden="1">#REF!</definedName>
    <definedName name="BExOMBFCBGGM6KO5RX1LMJ0M22S4" hidden="1">#REF!</definedName>
    <definedName name="BExOMI672TH8VPB5MGW4I7CD339Q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53IUBCMR1E4ZOACEM8LDRCI" hidden="1">#REF!</definedName>
    <definedName name="BExON8UB96J8UZO1ZX4IVWLM8DGA" hidden="1">#REF!</definedName>
    <definedName name="BExONB3A7CO4YD8RB41PHC93BQ9M" hidden="1">#REF!</definedName>
    <definedName name="BExONFL4TFXSXWK3WNKGBKED9MO0" hidden="1">#REF!</definedName>
    <definedName name="BExONFQH6UUXF8V0GI4BRIST9RFO" hidden="1">#REF!</definedName>
    <definedName name="BExONI4TA6HUR2I1AEDGBH540NS2" hidden="1">#REF!</definedName>
    <definedName name="BExONIL1EPN8W1SVF4S473NVT9G0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NVBIXX436X1BG1TMAO4S9LD0" hidden="1">#REF!</definedName>
    <definedName name="BExOO1WWIZSGB0YTGKESB45TSVMZ" hidden="1">#REF!</definedName>
    <definedName name="BExOO4B8FPAFYPHCTYTX37P1TQM5" hidden="1">#REF!</definedName>
    <definedName name="BExOOAGGVECHB4YGA7Q3R79AVYV7" hidden="1">#REF!</definedName>
    <definedName name="BExOOIULUDOJRMYABWV5CCL906X6" hidden="1">#REF!</definedName>
    <definedName name="BExOORE1DP6UVW28XJX2VS05649B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PJV0G43Z50LNI0UWME9NPU9S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1FD6KISGYU1JWEQ4G243ZPVD" hidden="1">#REF!</definedName>
    <definedName name="BExQ1X1RE71HCCMKWV64X8HPHR0R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1BOL730OSEM60CEMAMP4ARQ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7Q3NN5PZMR9C0YCQ9KMIUO" hidden="1">#REF!</definedName>
    <definedName name="BExQ4BTBSHPHVEDRCXC2ROW8PLFC" hidden="1">#REF!</definedName>
    <definedName name="BExQ4DGKF54SRKQUTUT4B1CZSS62" hidden="1">#REF!</definedName>
    <definedName name="BExQ4FPLCD3UQG02PUV6B2MO8CD6" hidden="1">#REF!</definedName>
    <definedName name="BExQ4T74LQ5PYTV1MUQUW75A4BDY" hidden="1">#REF!</definedName>
    <definedName name="BExQ4U8T0O6DHP89KBB1IOMS389U" hidden="1">#REF!</definedName>
    <definedName name="BExQ4XJHD7EJCNH7S1MJDZJ2MNWG" hidden="1">#REF!</definedName>
    <definedName name="BExQ5039ZCEWBUJHU682G4S89J03" hidden="1">#REF!</definedName>
    <definedName name="BExQ53U1WPQDQWX1BVV1GSXRBF6E" hidden="1">#REF!</definedName>
    <definedName name="BExQ56Z9W6YHZHRXOFFI8EFA7CDI" hidden="1">#REF!</definedName>
    <definedName name="BExQ5I2NED8YQ5LRZVHQAX7W6SBK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5VEQEIJO7YY80OJTA3XRQYJ9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JJ6GQ820H268M24Q000VLS5" hidden="1">#REF!</definedName>
    <definedName name="BExQ6M2YXJ8AMRJF3QGHC40ADAHZ" hidden="1">#REF!</definedName>
    <definedName name="BExQ6M8B0X44N9TV56ATUVHGDI00" hidden="1">#REF!</definedName>
    <definedName name="BExQ6NKT7GLCK5DO3FT99FA0VH7Y" hidden="1">#REF!</definedName>
    <definedName name="BExQ6PIZEB3532T46HXOTSDMM8XR" hidden="1">#REF!</definedName>
    <definedName name="BExQ6POH065GV0I74XXVD0VUPBJW" hidden="1">#REF!</definedName>
    <definedName name="BExQ6UX8C2QW9YF3ACU928HI140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AYDKZJM0QGND2HSRWBSDH94" hidden="1">#REF!</definedName>
    <definedName name="BExQ7B3V9MGDK2OIJ61XXFBFLJFZ" hidden="1">#REF!</definedName>
    <definedName name="BExQ7CB046NVPF9ZXDGA7OXOLSLX" hidden="1">#REF!</definedName>
    <definedName name="BExQ7I5CPRWNRD8ZPMXYI27DUI73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U95JXE2ZGDDWOEHH46ENO5L" hidden="1">#REF!</definedName>
    <definedName name="BExQ8UUP7KQWLXPL81ZMF3AC1K7V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DQATTM64NGUOQWM96CIR7J1" hidden="1">#REF!</definedName>
    <definedName name="BExQ9DVR0WJQK432BJFWT5WHPMRB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9HZIN9XEMHEEVHT99UU9Z82" hidden="1">#REF!</definedName>
    <definedName name="BExQACHWFNH6G5J3V0DR1H3QBTNT" hidden="1">#REF!</definedName>
    <definedName name="BExQAELFYH92K8CJL155181UDORO" hidden="1">#REF!</definedName>
    <definedName name="BExQAG8PP8R5NJKNQD1U4QOSD6X5" hidden="1">#REF!</definedName>
    <definedName name="BExQB1IRL2HMCMT0Y8S7C5ZZZH5S" hidden="1">#REF!</definedName>
    <definedName name="BExQBDICMZTSA1X73TMHNO4JSFLN" hidden="1">#REF!</definedName>
    <definedName name="BExQBEER6CRCRPSSL61S0OMH57ZA" hidden="1">#REF!</definedName>
    <definedName name="BExQBGI98WMG785OPB0PSLP478U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5TWT21CGBKD0IHAXTIN2QB8" hidden="1">#REF!</definedName>
    <definedName name="BExQC94JL9F5GW4S8DQCAF4WB2DA" hidden="1">#REF!</definedName>
    <definedName name="BExQCI9M5F9BX0WO90T8KQKXJECZ" hidden="1">#REF!</definedName>
    <definedName name="BExQCKTD8AT0824LGWREXM1B5D1X" hidden="1">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6IAA3QFZ6TX9BXPJISLE0Q1" hidden="1">#REF!</definedName>
    <definedName name="BExQEAJWIWVVLTZ8YNUZW38R80PP" hidden="1">#REF!</definedName>
    <definedName name="BExQEC7BRIJ30PTU3UPFOIP2HPE3" hidden="1">#REF!</definedName>
    <definedName name="BExQEJUD5RQJ325ULPV2E4W8QAL6" hidden="1">#REF!</definedName>
    <definedName name="BExQEMUA4HEFM4OVO8M8MA8PIAW1" hidden="1">#REF!</definedName>
    <definedName name="BExQENW351OJ04OASM7UKDRD9FO0" hidden="1">#REF!</definedName>
    <definedName name="BExQEQ4XZQFIKUXNU9H7WE7AMZ1U" hidden="1">#REF!</definedName>
    <definedName name="BExQEU17I43F7XP5E46U7TK7BJTG" hidden="1">#REF!</definedName>
    <definedName name="BExQF00ZDAC842R706797DN4H4HE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MNOOBC2XE1R03V1MF8QJSDG" hidden="1">#REF!</definedName>
    <definedName name="BExQFNPE0JNBFPGM91B5GNSDG31N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FKTOP6WGJAF2OI8PXQPMWT4" hidden="1">#REF!</definedName>
    <definedName name="BExQGMM9RZL83B2Z0ZZPHKUY6VTK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MFKX38LTV0SLI5JB39EIYC5" hidden="1">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HZGZ5JZ4AE00IROC5LG5734F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CT281Q1E6HHLEIC7LOYTR4F" hidden="1">#REF!</definedName>
    <definedName name="BExQIDUXFRRQTUP42M6V5KODFDPZ" hidden="1">#REF!</definedName>
    <definedName name="BExQIEWM4YHWE15RFGAT8AWBZ25Y" hidden="1">#REF!</definedName>
    <definedName name="BExQIFYAFMVXSXZGZ5PKRZ3KKGEL" hidden="1">#REF!</definedName>
    <definedName name="BExQIII2YKNNBPUFZNOC88FK394S" hidden="1">#REF!</definedName>
    <definedName name="BExQINW95C7N048P3U0KM5A2Q0VU" hidden="1">#REF!</definedName>
    <definedName name="BExQIS8O6R36CI01XRY9ISM99TW9" hidden="1">#REF!</definedName>
    <definedName name="BExQIVJB9MJ25NDUHTCVMSODJY2C" hidden="1">#REF!</definedName>
    <definedName name="BExQJ7IXTYN8ELZIUSOUURFAP5Z5" hidden="1">#REF!</definedName>
    <definedName name="BExQJBF7LAX128WR7VTMJC88ZLPG" hidden="1">#REF!</definedName>
    <definedName name="BExQJEVCKX6KZHNCLYXY7D0MX5KN" hidden="1">#REF!</definedName>
    <definedName name="BExQJIBCENFZ4FNIPQ8IC1PBMHA9" hidden="1">#REF!</definedName>
    <definedName name="BExQJJYSDX8B0J1QGF2HL071KKA3" hidden="1">#REF!</definedName>
    <definedName name="BExQJX019VWBQMW1HCV154DP9287" hidden="1">#REF!</definedName>
    <definedName name="BExQK1HV6SQQ7CP8H8IUKI9TYXTD" hidden="1">#REF!</definedName>
    <definedName name="BExQK1SODHG66277P2K5V2W6173O" hidden="1">#REF!</definedName>
    <definedName name="BExQK3LE5CSBW1E4H4KHW548FL2R" hidden="1">#REF!</definedName>
    <definedName name="BExQKG6LD6PLNDGNGO9DJXY865BR" hidden="1">#REF!</definedName>
    <definedName name="BExQLE1TOW3A287TQB0AVWENT8O1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K9RAHMM0ZLTNSK7A4LDC42D" hidden="1">#REF!</definedName>
    <definedName name="BExRZOGSR69INI6GAEPHDWSNK5Q4" hidden="1">#REF!</definedName>
    <definedName name="BExS02PDU3RIYDBR02EV6VUXEVN6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0OFJP9U31UMVKTFO7JZWQ0BG" hidden="1">#REF!</definedName>
    <definedName name="BExS0UFCKI6Z4BDWL0C1TI1UZA8D" hidden="1">#REF!</definedName>
    <definedName name="BExS152B2LFCRAUHSLI5T6QRNII0" hidden="1">#REF!</definedName>
    <definedName name="BExS15IJV0WW662NXQUVT3FGP4ST" hidden="1">#REF!</definedName>
    <definedName name="BExS16PROWSNHW3MZQBGQNQU7S8R" hidden="1">#REF!</definedName>
    <definedName name="BExS194110MR25BYJI3CJ2EGZ8XT" hidden="1">#REF!</definedName>
    <definedName name="BExS1BNVGNSGD4EP90QL8WXYWZ66" hidden="1">#REF!</definedName>
    <definedName name="BExS1F3TW1AL0ZPOEWTWR3OCCUEK" hidden="1">#REF!</definedName>
    <definedName name="BExS1UE39N6NCND7MAARSBWXS6HU" hidden="1">#REF!</definedName>
    <definedName name="BExS1VQKWZC7SM0UY7BWIPST3VU3" hidden="1">#REF!</definedName>
    <definedName name="BExS1VQLLQDPVJ497PLSWW45WPW0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OT61VXS58SSI0I90Z76DFCQ" hidden="1">#REF!</definedName>
    <definedName name="BExS2QB5FS5LYTFYO4BROTWG3OV5" hidden="1">#REF!</definedName>
    <definedName name="BExS2RIBMZPBDB3W6PKRNHUM06WI" hidden="1">#REF!</definedName>
    <definedName name="BExS2TLU1HONYV6S3ZD9T12D7CIG" hidden="1">#REF!</definedName>
    <definedName name="BExS318UV9I2FXPQQWUKKX00QLPJ" hidden="1">#REF!</definedName>
    <definedName name="BExS38AHQWKT950DKJR1SJAY5NKD" hidden="1">#REF!</definedName>
    <definedName name="BExS3BL7KZUM0PK7UW1Y6M98ZKXC" hidden="1">#REF!</definedName>
    <definedName name="BExS3LBS0SMTHALVM4NRI1BAV1NP" hidden="1">#REF!</definedName>
    <definedName name="BExS3MDHWFX9SBSKHTTN7AWRCUGT" hidden="1">#REF!</definedName>
    <definedName name="BExS3MTQ75VBXDGEBURP6YT8RROE" hidden="1">#REF!</definedName>
    <definedName name="BExS3OH5XH1H0NEUDJGB0D1EF3C6" hidden="1">#REF!</definedName>
    <definedName name="BExS3OMGYO0DFN5186UFKEXZ2RX3" hidden="1">#REF!</definedName>
    <definedName name="BExS3SDERJ27OER67TIGOVZU13A2" hidden="1">#REF!</definedName>
    <definedName name="BExS3WV2VQ19L2A1DJ73AUFN7SRX" hidden="1">#REF!</definedName>
    <definedName name="BExS46R5WDNU5KL04FKY5LHJUCB8" hidden="1">#REF!</definedName>
    <definedName name="BExS4ASWKM93XA275AXHYP8AG6SU" hidden="1">#REF!</definedName>
    <definedName name="BExS4IAMWTT1CKFNHGN8SPWSD3QR" hidden="1">#REF!</definedName>
    <definedName name="BExS4JN3Y6SVBKILQK0R9HS45Y52" hidden="1">#REF!</definedName>
    <definedName name="BExS4MHOUDA8ILVKWGYTFA5ZLNBG" hidden="1">#REF!</definedName>
    <definedName name="BExS4P6S41O6Z6BED77U3GD9PNH1" hidden="1">#REF!</definedName>
    <definedName name="BExS4UFKWNI7QAX0PTOVVBUB0LP8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BYO19H5ZKO75ERO60KF7DQH" hidden="1">#REF!</definedName>
    <definedName name="BExS5DRER9US6NXY9ATYT41KZII3" hidden="1">#REF!</definedName>
    <definedName name="BExS5L3TGB8JVW9ROYWTKYTUPW27" hidden="1">#REF!</definedName>
    <definedName name="BExS5SG3GBHVDR15MOYHV230A4BG" hidden="1">#REF!</definedName>
    <definedName name="BExS5TY0F5R1ZXIVJHAAVVG81G5H" hidden="1">#REF!</definedName>
    <definedName name="BExS621CQ0O260PLFRGPIOFNDY0V" hidden="1">#REF!</definedName>
    <definedName name="BExS6GKQ96EHVLYWNJDWXZXUZW90" hidden="1">#REF!</definedName>
    <definedName name="BExS6ITKSZFRR01YD5B0F676SYN7" hidden="1">#REF!</definedName>
    <definedName name="BExS6IYVVGGZJXGGYPX7UNAQOB2X" hidden="1">#REF!</definedName>
    <definedName name="BExS6KGU63BUOXCPJ9TSCDS9ZY2T" hidden="1">#REF!</definedName>
    <definedName name="BExS6N0LI574IAC89EFW6CLTCQ33" hidden="1">#REF!</definedName>
    <definedName name="BExS6WRDBF3ST86ZOBBUL3GTCR11" hidden="1">#REF!</definedName>
    <definedName name="BExS6XNRKR0C3MTA0LV5B60UB908" hidden="1">#REF!</definedName>
    <definedName name="BExS79HUY1GAJJP4VMMZHU8UJI6O" hidden="1">#REF!</definedName>
    <definedName name="BExS7DU7IOWG5MHL28Z4KOM2V434" hidden="1">#REF!</definedName>
    <definedName name="BExS7G38ASJVTDO2IAPA36EB2SPF" hidden="1">#REF!</definedName>
    <definedName name="BExS7HQI0PBQNP39JUZ69RMC7M7N" hidden="1">#REF!</definedName>
    <definedName name="BExS7TKQYLRZGM93UY3ZJZJBQNFJ" hidden="1">#REF!</definedName>
    <definedName name="BExS7TVIHJQ54K2Q7S5TI60WWB6A" hidden="1">#REF!</definedName>
    <definedName name="BExS7Y2LNGVHSIBKC7C3R6X4LDR6" hidden="1">#REF!</definedName>
    <definedName name="BExS7Y7VU5EZ415ETRW9T1QAAVKO" hidden="1">#REF!</definedName>
    <definedName name="BExS80RP8GCPNFHHGN85D3RLJQWW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LQTNX922FCMI8FORKMV1ZCD" hidden="1">#REF!</definedName>
    <definedName name="BExS8R51C8RM2FS6V6IRTYO9GA4A" hidden="1">#REF!</definedName>
    <definedName name="BExS8W8G0X4RIQXAZCCLUM05FF9P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70VMB40OE1CEB7FR2ZHFGZ0" hidden="1">#REF!</definedName>
    <definedName name="BExS97MGMLT44Z4Y8G703ZHCZZYS" hidden="1">#REF!</definedName>
    <definedName name="BExS98OB4321YCHLCQ022PXKTT2W" hidden="1">#REF!</definedName>
    <definedName name="BExS994F1AN0G98EE5OUSEQY8JX6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WI0A6PSEB8N9GPXF2Z7MWHM" hidden="1">#REF!</definedName>
    <definedName name="BExSA5HP306TN9XJS0TU619DLRR7" hidden="1">#REF!</definedName>
    <definedName name="BExSAA4TQVBEW9YTSAC7IB9WGR0N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T5WZEM6Z4GG7X374JPK349Y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85KN04TZL8NCRIZY86RCW0L" hidden="1">#REF!</definedName>
    <definedName name="BExSBLHMDPAU7TLJHXOGAD2L0A74" hidden="1">#REF!</definedName>
    <definedName name="BExSBMOS41ZRLWYLOU29V6Y7YORR" hidden="1">#REF!</definedName>
    <definedName name="BExSBO6QJLIUCK4M8TX0LQVU0K6U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9M353D3EKCXI5GRYJZYPZYZ" hidden="1">#REF!</definedName>
    <definedName name="BExSCDD2KMS37TPNTJHOWXTHOTHP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16RWPJ4BKJERNVKGA3W1V8N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J5ZE3T46HSF6W0OXL80TXQG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DVZOU6ECYR7DQCK2BDLLGPQ" hidden="1">#REF!</definedName>
    <definedName name="BExSEEHK1VLWD7JBV9SVVVIKQZ3I" hidden="1">#REF!</definedName>
    <definedName name="BExSEJKZLX37P3V33TRTFJ30BFRK" hidden="1">#REF!</definedName>
    <definedName name="BExSEP9UVOAI6TMXKNK587PQ3328" hidden="1">#REF!</definedName>
    <definedName name="BExSERZ34ETZF8OI93MYIVZX4RDV" hidden="1">#REF!</definedName>
    <definedName name="BExSF07QFLZCO4P6K6QF05XG7PH1" hidden="1">#REF!</definedName>
    <definedName name="BExSF4ETMT91BX1QESAC3EYZ516B" hidden="1">#REF!</definedName>
    <definedName name="BExSFELNPJYUZX393PKWKNNZYV1N" hidden="1">#REF!</definedName>
    <definedName name="BExSFJ8ZAGQ63A4MVMZRQWLVRGQ5" hidden="1">#REF!</definedName>
    <definedName name="BExSFKQRST2S9KXWWLCXYLKSF4G1" hidden="1">#REF!</definedName>
    <definedName name="BExSFRMWWECFI3MH1EGC4H8XCQ7T" hidden="1">#REF!</definedName>
    <definedName name="BExSFYDRRTAZVPXRWUF5PDQ97WFF" hidden="1">#REF!</definedName>
    <definedName name="BExSFZA3O0CU23GUDGUU3H9OR5FV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EEWSM6V6B3J3F29MN7WAH14" hidden="1">#REF!</definedName>
    <definedName name="BExSGJT4LF1CNH5RN5GZ373ISW9D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P7CK6YAV5BH7ZHOMKC65BM5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3QPNRX84OBMG8TANJUBW7ET" hidden="1">#REF!</definedName>
    <definedName name="BExSH4HLTQVL4MI545VJL4WFN9U2" hidden="1">#REF!</definedName>
    <definedName name="BExSH4HMJS0TXSYHRWJRFTJ7NOSN" hidden="1">#REF!</definedName>
    <definedName name="BExSHAHFHS7MMNJR8JPVABRGBVIT" hidden="1">#REF!</definedName>
    <definedName name="BExSHDS3RJMD6MEJ67RL63M0SEIC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UKBQVT2G9G0K9ORVIJO6TU8" hidden="1">#REF!</definedName>
    <definedName name="BExSHVGPIAHXI97UBLI9G4I4M29F" hidden="1">#REF!</definedName>
    <definedName name="BExSI0K2YL3HTCQAD8A7TR4QCUR6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OOMC43GH95KQ1PJ86MN9XDF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GPIQZ99YFXUC8OONUX5BD42" hidden="1">#REF!</definedName>
    <definedName name="BExTVTLH2E1SH7Z2XBYHUOQBWWLI" hidden="1">#REF!</definedName>
    <definedName name="BExTVZQLP9VFLEYQ9280W13X7E8K" hidden="1">#REF!</definedName>
    <definedName name="BExTWB4LA1PODQOH4LDTHQKBN16K" hidden="1">#REF!</definedName>
    <definedName name="BExTWFX8OYD9IX59PTP73YAC8O9G" hidden="1">#REF!</definedName>
    <definedName name="BExTWI0Q8AWXUA3ZN7I5V3QK2KM1" hidden="1">#REF!</definedName>
    <definedName name="BExTWI0R31187AOWYLZ1W1WNI84K" hidden="1">#REF!</definedName>
    <definedName name="BExTWJTGTEM42YMMOXES1DOPT9UG" hidden="1">#REF!</definedName>
    <definedName name="BExTWJTIA3WUW1PUWXAOP9O8NKLZ" hidden="1">#REF!</definedName>
    <definedName name="BExTWTERU1SE8R3LRC2C4HQMOIB1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XY5Z1H6FSRE6RIUNGXLSI33K" hidden="1">#REF!</definedName>
    <definedName name="BExTY1WXTBXUD0M1NWE12NMAUGCO" hidden="1">#REF!</definedName>
    <definedName name="BExTY5T62H651VC86QM4X7E28JVA" hidden="1">#REF!</definedName>
    <definedName name="BExTY8T41OBZ32MRCWT76H4XO1YE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50XLF7QI10WFX6K12S6W6W9" hidden="1">#REF!</definedName>
    <definedName name="BExTZ7F71SNTOX4LLZCK5R9VUMIJ" hidden="1">#REF!</definedName>
    <definedName name="BExTZ7VBI7JI8OS5Y4LX2QPLNE94" hidden="1">#REF!</definedName>
    <definedName name="BExTZ8X5G9S3PA4FPSNK7T69W7QT" hidden="1">#REF!</definedName>
    <definedName name="BExTZ97Y0RMR8V5BI9F2H4MFB77O" hidden="1">#REF!</definedName>
    <definedName name="BExTZJESSH2HJT3TLUYZ38UBRJUP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Y8TDV4U7FQL7O10G6VKWKPJ" hidden="1">#REF!</definedName>
    <definedName name="BExU02QNT4LT7H9JPUC4FXTLVGZT" hidden="1">#REF!</definedName>
    <definedName name="BExU091A10QVE7583Q5CAHW138RD" hidden="1">#REF!</definedName>
    <definedName name="BExU0BFJJQO1HJZKI14QGOQ6JROO" hidden="1">#REF!</definedName>
    <definedName name="BExU0FH5WTGW8MRFUFMDDSMJ6YQ5" hidden="1">#REF!</definedName>
    <definedName name="BExU0FMLYKBHXH0JHAD0FA64EF92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DN4RELJSQTQUF8YK7BNGXKO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1YRWV23AEQQXSKJX80GN1T13" hidden="1">#REF!</definedName>
    <definedName name="BExU2941Z7GTMQ5O1VVPEU7YRR7P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3OMIFMJAMW3VLDIIZHOZKWG" hidden="1">#REF!</definedName>
    <definedName name="BExU3B66MCKJFSKT3HL8B5EJGVX0" hidden="1">#REF!</definedName>
    <definedName name="BExU3D9R4DRJADX0E7E2OZ3T6J9D" hidden="1">#REF!</definedName>
    <definedName name="BExU3HX1IEJGNDJI6N6CLR8ZJK9D" hidden="1">#REF!</definedName>
    <definedName name="BExU3MPP4CP9FQC2YIUKUZMEG189" hidden="1">#REF!</definedName>
    <definedName name="BExU3QWQVA35KFNEQYRLU0ZG2TZ0" hidden="1">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LH36IQF38XM5IAIJKZTBPX3" hidden="1">#REF!</definedName>
    <definedName name="BExU4MIZMMFZZWTK4WHGFZSMWPS8" hidden="1">#REF!</definedName>
    <definedName name="BExU4NA00RRRBGRT6TOB0MXZRCRZ" hidden="1">#REF!</definedName>
    <definedName name="BExU4XWZRGDFLCPK6HI2B3EXIQNU" hidden="1">#REF!</definedName>
    <definedName name="BExU51IFNZXPBDES28457LR8X60M" hidden="1">#REF!</definedName>
    <definedName name="BExU529CJ5AWHU0WNPZUYLVVT9GO" hidden="1">#REF!</definedName>
    <definedName name="BExU529I6YHVOG83TJHWSILIQU1S" hidden="1">#REF!</definedName>
    <definedName name="BExU5N8L0E2WDEBA4ITD4A8FT8ON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6KMFBAP8JCVG9VM1RD1TNFF" hidden="1">#REF!</definedName>
    <definedName name="BExU67BIP4IDGLTCZMUKNEA7DFWZ" hidden="1">#REF!</definedName>
    <definedName name="BExU68IOM3CB3TACNAE9565TW7SH" hidden="1">#REF!</definedName>
    <definedName name="BExU6AM82KN21E82HMWVP3LWP9IL" hidden="1">#REF!</definedName>
    <definedName name="BExU6D0JO6PQAOJOO13XS9UTP9B5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MWL30NHY8I1G97R2SU1TD1Y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7L1ZM2BRJB4M5RWTLREPRBO" hidden="1">#REF!</definedName>
    <definedName name="BExU7BBTUF8BQ42DSGM94X5TG5GF" hidden="1">#REF!</definedName>
    <definedName name="BExU7DVMNLPZ8DIZKTOS0GLZESXN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7VUWIK7942LR3XULMKX3BJWZ" hidden="1">#REF!</definedName>
    <definedName name="BExU80I6AE5OU7P7F5V7HWIZBJ4P" hidden="1">#REF!</definedName>
    <definedName name="BExU85AUW6RSKQIVXFO60KKE5T20" hidden="1">#REF!</definedName>
    <definedName name="BExU86NB26MCPYIISZ36HADONGT2" hidden="1">#REF!</definedName>
    <definedName name="BExU885EZZNSZV3GP298UJ8LB7OL" hidden="1">#REF!</definedName>
    <definedName name="BExU89XZ24NAEGSD8GN6NKO3596G" hidden="1">#REF!</definedName>
    <definedName name="BExU8FSAUP9TUZ1NO9WXK80QPHWV" hidden="1">#REF!</definedName>
    <definedName name="BExU8FSGATXULCM675VF1KYAHGP1" hidden="1">#REF!</definedName>
    <definedName name="BExU8KFLAN778MBN93NYZB0FV30G" hidden="1">#REF!</definedName>
    <definedName name="BExU8S2O68RLH6LUDGJKFXMKKE5J" hidden="1">#REF!</definedName>
    <definedName name="BExU8UX9JX3XLB47YZ8GFXE0V7R2" hidden="1">#REF!</definedName>
    <definedName name="BExU8V2QEONF9R0X2D3R15MZ0GVY" hidden="1">#REF!</definedName>
    <definedName name="BExU8WKP7O3Q8J7AIZRJ8KUTA8US" hidden="1">#REF!</definedName>
    <definedName name="BExU91DC3DGKPZD6LTER2IRTF89C" hidden="1">#REF!</definedName>
    <definedName name="BExU96M1J7P9DZQ3S9H0C12KGYTW" hidden="1">#REF!</definedName>
    <definedName name="BExU9B98E0WUJ89KDTIKL2K0JEM7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X8WS5OPVLCDXRGKTU2QMTFO" hidden="1">#REF!</definedName>
    <definedName name="BExUB33FJHDI3XKPQSVL75HO9RQ3" hidden="1">#REF!</definedName>
    <definedName name="BExUB3JHDL430WKBOVB9KNTSWU3Q" hidden="1">#REF!</definedName>
    <definedName name="BExUB8HLEXSBVPZ5AXNQEK96F1N4" hidden="1">#REF!</definedName>
    <definedName name="BExUBCDVZIEA7YT0LPSMHL5ZSERQ" hidden="1">#REF!</definedName>
    <definedName name="BExUBKXB7QG3PLSULH6WNTWK1WUV" hidden="1">#REF!</definedName>
    <definedName name="BExUBKXBUCN760QYU7Q8GESBWOQH" hidden="1">#REF!</definedName>
    <definedName name="BExUBL83ED0P076RN9RJ8P1MZ299" hidden="1">#REF!</definedName>
    <definedName name="BExUBN64LPXX4Z738WO97YQ5MXMX" hidden="1">#REF!</definedName>
    <definedName name="BExUBNRVHXRIJBHKA2TWL10IFYUF" hidden="1">#REF!</definedName>
    <definedName name="BExUBPV8GB3LLCKQZCK9OFOFPN4G" hidden="1">#REF!</definedName>
    <definedName name="BExUC623BDYEODBN0N4DO6PJQ7NU" hidden="1">#REF!</definedName>
    <definedName name="BExUC8WH8TCKBB5313JGYYQ1WFLT" hidden="1">#REF!</definedName>
    <definedName name="BExUCAEGQZ6PB4AG64761OAR17RY" hidden="1">#REF!</definedName>
    <definedName name="BExUCBG4CWKPYJ9PTTW570O3JNGX" hidden="1">#REF!</definedName>
    <definedName name="BExUCFCDK6SPH86I6STXX8X3WMC4" hidden="1">#REF!</definedName>
    <definedName name="BExUCLC6AQ5KR6LXSAXV4QQ8ASVG" hidden="1">#REF!</definedName>
    <definedName name="BExUD4IOJ12X3PJG5WXNNGDRCKAP" hidden="1">#REF!</definedName>
    <definedName name="BExUD9WX9BWK72UWVSLYZJLAY5VY" hidden="1">#REF!</definedName>
    <definedName name="BExUDB9JVQ82ASY2GPZNM13SURSA" hidden="1">#REF!</definedName>
    <definedName name="BExUDBEUJH9IACZDBL1VAUWPG0QW" hidden="1">#REF!</definedName>
    <definedName name="BExUDEV0CYVO7Y5IQQBEJ6FUY9S6" hidden="1">#REF!</definedName>
    <definedName name="BExUDQ3JPLF15XXZMZ6T43VLXCV3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QIVCLS3R5SLBOYP9PU40HAQV" hidden="1">#REF!</definedName>
    <definedName name="BExVQTYKT5POABG9ZLHEBAYNN0AS" hidden="1">#REF!</definedName>
    <definedName name="BExVR15ITEN8TF2H5MGLG77YNGFE" hidden="1">#REF!</definedName>
    <definedName name="BExVR8NAH73TVNEQ6TXX8GAYA4RX" hidden="1">#REF!</definedName>
    <definedName name="BExVS6TAND82CBJNY4L4SO9LKEMV" hidden="1">#REF!</definedName>
    <definedName name="BExVSA9ACM70GZW06FCHVC70TIV0" hidden="1">#REF!</definedName>
    <definedName name="BExVSL787C8E4HFQZ2NVLT35I2XV" hidden="1">#REF!</definedName>
    <definedName name="BExVSTFTVV14SFGHQUOJL5SQ5TX9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UAYUR922VXBNO4MN569BULR" hidden="1">#REF!</definedName>
    <definedName name="BExVTW3OZ04QHKTFPPDM5JDNT6C1" hidden="1">#REF!</definedName>
    <definedName name="BExVTXLMYR87BC04D1ERALPUFVPG" hidden="1">#REF!</definedName>
    <definedName name="BExVU6QMM5J49S1312H8AMNK3Y8U" hidden="1">#REF!</definedName>
    <definedName name="BExVUL9V3H8ZF6Y72LQBBN639YAA" hidden="1">#REF!</definedName>
    <definedName name="BExVV5T14N2HZIK7HQ4P2KG09U0J" hidden="1">#REF!</definedName>
    <definedName name="BExVV7R410VYLADLX9LNG63ID6H1" hidden="1">#REF!</definedName>
    <definedName name="BExVVA033OB71P301YYKYS90S2LK" hidden="1">#REF!</definedName>
    <definedName name="BExVVCEED4JEKF59OV0G3T4XFMFO" hidden="1">#REF!</definedName>
    <definedName name="BExVVLJF3CVZXI6SOZBRRXIG3N8W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3YV5XGIVJ97UUPDJGJ2P15B" hidden="1">#REF!</definedName>
    <definedName name="BExVW49O72GR0HW2UIDFSJM33Z8Z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YU8EK669NP172GEIGCTVPPA" hidden="1">#REF!</definedName>
    <definedName name="BExVX3HJPV9ZPAY12RMBV261NE68" hidden="1">#REF!</definedName>
    <definedName name="BExVX3MVJ0GHWPP1EL59ZQNKMX0B" hidden="1">#REF!</definedName>
    <definedName name="BExVX3XN2DRJKL8EDBIG58RYQ36R" hidden="1">#REF!</definedName>
    <definedName name="BExVX5AB47AY3WOZC05K6ZVLSFYZ" hidden="1">#REF!</definedName>
    <definedName name="BExVXC6GL0S0L1ED4XC9GUSF6OKA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7N7APOSX562C86T41J73BNN" hidden="1">#REF!</definedName>
    <definedName name="BExVY7XZS7ZEEEI66TWUYUKRGMHJ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ESW4KWQ72XZ6AAT3JSAGMMO" hidden="1">#REF!</definedName>
    <definedName name="BExVZJQVO5LQ0BJH5JEN5NOBIAF6" hidden="1">#REF!</definedName>
    <definedName name="BExVZNXWS91RD7NXV5NE2R3C8WW7" hidden="1">#REF!</definedName>
    <definedName name="BExW032PIRWR0PLGLGVKLESY7T0G" hidden="1">#REF!</definedName>
    <definedName name="BExW0386REQRCQCVT9BCX80UPTRY" hidden="1">#REF!</definedName>
    <definedName name="BExW08X7MUCAUZUT84HH2K0HG8JM" hidden="1">#REF!</definedName>
    <definedName name="BExW0FYP4WXY71CYUG40SUBG9UWU" hidden="1">#REF!</definedName>
    <definedName name="BExW0HBAR94L0RTT4FLGEJ88FO94" hidden="1">#REF!</definedName>
    <definedName name="BExW0HBC1RMZ2GDGOGDTNAOOFO74" hidden="1">#REF!</definedName>
    <definedName name="BExW0PJY0QT1YYHEOQPDHHNJJOC5" hidden="1">#REF!</definedName>
    <definedName name="BExW0RI61B4VV0ARXTFVBAWRA1C5" hidden="1">#REF!</definedName>
    <definedName name="BExW0ZFZK22WVH1ET2MVEUVKIIWF" hidden="1">#REF!</definedName>
    <definedName name="BExW136YDEM2AICDG3X1SRRR01UY" hidden="1">#REF!</definedName>
    <definedName name="BExW1BVUYQTKMOR56MW7RVRX4L1L" hidden="1">#REF!</definedName>
    <definedName name="BExW1F1220628FOMTW5UAATHRJHK" hidden="1">#REF!</definedName>
    <definedName name="BExW1J84E20HHXJIWZHCKXL8ZRA0" hidden="1">#REF!</definedName>
    <definedName name="BExW1TKA0Z9OP2DTG50GZR5EG8C7" hidden="1">#REF!</definedName>
    <definedName name="BExW1U0JLKQ094DW5MMOI8UHO09V" hidden="1">#REF!</definedName>
    <definedName name="BExW1W9JN0738CPPE7HRN1TBNG7D" hidden="1">#REF!</definedName>
    <definedName name="BExW22PGTQTO5C5TK1RQUWPR4X8X" hidden="1">#REF!</definedName>
    <definedName name="BExW27CKTHXIQCUL3RSLAFEQV8VT" hidden="1">#REF!</definedName>
    <definedName name="BExW283NP9D366XFPXLGSCI5UB0L" hidden="1">#REF!</definedName>
    <definedName name="BExW29WF535OHEG91SW5OF7MQBU2" hidden="1">#REF!</definedName>
    <definedName name="BExW2H3C8WJSBW5FGTFKVDVJC4CL" hidden="1">#REF!</definedName>
    <definedName name="BExW2MSCKPGF5K3I7TL4KF5ISUOL" hidden="1">#REF!</definedName>
    <definedName name="BExW2SMO90FU9W8DVVES6Q4E6BZR" hidden="1">#REF!</definedName>
    <definedName name="BExW35YV9V70DFOPLUGI2W7IYOU2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3YW08495PLOOZR5SONB72YYL" hidden="1">#REF!</definedName>
    <definedName name="BExW4217ZHL9VO39POSTJOD090WU" hidden="1">#REF!</definedName>
    <definedName name="BExW4GPW71EBF8XPS2QGVQHBCDX3" hidden="1">#REF!</definedName>
    <definedName name="BExW4JKC5837JBPCOJV337ZVYYY3" hidden="1">#REF!</definedName>
    <definedName name="BExW4JPSJ4TJU6NXJZII9OI2WYF3" hidden="1">#REF!</definedName>
    <definedName name="BExW4L7R1NVUKEQSVWZPXWCI6NVN" hidden="1">#REF!</definedName>
    <definedName name="BExW4QR9FV9MP5K610THBSM51RYO" hidden="1">#REF!</definedName>
    <definedName name="BExW4S980QVHHT7SZ0CMVH1Z25PN" hidden="1">#REF!</definedName>
    <definedName name="BExW4W5HHUEZ3O9DYN9KJZWC1FEL" hidden="1">#REF!</definedName>
    <definedName name="BExW4Z029R9E19ZENN3WEA3VDAD1" hidden="1">#REF!</definedName>
    <definedName name="BExW5AZNT6IAZGNF2C879ODHY1B8" hidden="1">#REF!</definedName>
    <definedName name="BExW5EFO6R6U4UQLT4G2G4W9SX94" hidden="1">#REF!</definedName>
    <definedName name="BExW5LBTO00IFJ8490RGATLXPYJE" hidden="1">#REF!</definedName>
    <definedName name="BExW5WPU27WD4NWZOT0ZEJIDLX5J" hidden="1">#REF!</definedName>
    <definedName name="BExW5X64UZDAB8GEIIQBWQV66NV9" hidden="1">#REF!</definedName>
    <definedName name="BExW61NYOHBXEBCZ80ZJTB38E7BS" hidden="1">#REF!</definedName>
    <definedName name="BExW64T5GUYKW4V1314DJGUR4ABG" hidden="1">#REF!</definedName>
    <definedName name="BExW653XGG0G5VHAP5XMNHGLF2Q0" hidden="1">#REF!</definedName>
    <definedName name="BExW660AV1TUV2XNUPD65RZR3QOO" hidden="1">#REF!</definedName>
    <definedName name="BExW66LVVZK656PQY1257QMHP2AY" hidden="1">#REF!</definedName>
    <definedName name="BExW68PFXSYQIGAVAWNMRRW59PVF" hidden="1">#REF!</definedName>
    <definedName name="BExW6EJPHAP1TWT380AZLXNHR22P" hidden="1">#REF!</definedName>
    <definedName name="BExW6G1PJ38H10DVLL8WPQ736OEB" hidden="1">#REF!</definedName>
    <definedName name="BExW6QE0VJ5RRAQZB4SWWF8JTHCL" hidden="1">#REF!</definedName>
    <definedName name="BExW6WJ2VW51JNF32JZF98WJDRR3" hidden="1">#REF!</definedName>
    <definedName name="BExW74MG1WIOS7FRGX4CXWYNPZV1" hidden="1">#REF!</definedName>
    <definedName name="BExW782LBJUIVCV6ACRLJBIKVJFQ" hidden="1">#REF!</definedName>
    <definedName name="BExW794A74Z5F2K8LVQLD6VSKXUE" hidden="1">#REF!</definedName>
    <definedName name="BExW7NSY9CQA1O23DAZ9TYTC0PAO" hidden="1">#REF!</definedName>
    <definedName name="BExW7OPCZJFPG2XU3J9BMCSBJIP3" hidden="1">#REF!</definedName>
    <definedName name="BExW7Q79RJWXCSWJIY4GLGGQXX5G" hidden="1">#REF!</definedName>
    <definedName name="BExW89DT2OUQ24LOFUS7BMP44P4B" hidden="1">#REF!</definedName>
    <definedName name="BExW8E6GON0ASNPCE83XQFNUFECH" hidden="1">#REF!</definedName>
    <definedName name="BExW8K0SSIPSKBVP06IJ71600HJZ" hidden="1">#REF!</definedName>
    <definedName name="BExW8NM8DJJESE7GF7VGTO2XO6P1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G39X58B5FGJEE8EY65TJ80A" hidden="1">#REF!</definedName>
    <definedName name="BExW9HAFISWZE8TUT2Y8OZPOOVBZ" hidden="1">#REF!</definedName>
    <definedName name="BExW9JZK2CSFMKED1TX7YD9FRDO3" hidden="1">#REF!</definedName>
    <definedName name="BExW9POK1KIOI0ALS5MZIKTDIYMA" hidden="1">#REF!</definedName>
    <definedName name="BExW9TVLB7OIHTG98I7I4EXBL61S" hidden="1">#REF!</definedName>
    <definedName name="BExXLDE6PN4ESWT3LXJNQCY94NE4" hidden="1">#REF!</definedName>
    <definedName name="BExXLDOYNIS8GLKISUIBXIOW06CA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JBHX2T4LFGCRQFMT7OFER7J" hidden="1">#REF!</definedName>
    <definedName name="BExXNPM24UN2PGVL9D1TUBFRIKR4" hidden="1">#REF!</definedName>
    <definedName name="BExXNRUWHTVKJZUNKVBFHLNVSDV2" hidden="1">#REF!</definedName>
    <definedName name="BExXNSLYWITH4246M4YVOUIV04ZJ" hidden="1">#REF!</definedName>
    <definedName name="BExXNWYB165VO9MHARCL5WLCHWS0" hidden="1">#REF!</definedName>
    <definedName name="BExXO1G5TG80TSHNS86X0DXO6YHY" hidden="1">#REF!</definedName>
    <definedName name="BExXO278QHQN8JDK5425EJ615ECC" hidden="1">#REF!</definedName>
    <definedName name="BExXO6E9ABFOYA2LVN6RLW4BO9G6" hidden="1">#REF!</definedName>
    <definedName name="BExXO6ZP85325PSLSXWM38N73O6V" hidden="1">#REF!</definedName>
    <definedName name="BExXOBHOP0WGFHI2Y9AO4L440UVQ" hidden="1">#REF!</definedName>
    <definedName name="BExXOHSAD2NSHOLLMZ2JWA4I3I1R" hidden="1">#REF!</definedName>
    <definedName name="BExXOJQBVBDGLVEYZAE7AL8F0VWX" hidden="1">#REF!</definedName>
    <definedName name="BExXOMQ9421Y32TZ81U6YGIP35QU" hidden="1">#REF!</definedName>
    <definedName name="BExXP80B5FGA00JCM7UXKPI3PB7Y" hidden="1">#REF!</definedName>
    <definedName name="BExXP85M4WXYVN1UVHUTOEKEG5XS" hidden="1">#REF!</definedName>
    <definedName name="BExXPCSXS67LJ6SR7PWT2MLGZZ4Y" hidden="1">#REF!</definedName>
    <definedName name="BExXPDUMN4B85QFXGPSJPII52QR3" hidden="1">#REF!</definedName>
    <definedName name="BExXPELOTHOAG0OWILLAH94OZV5J" hidden="1">#REF!</definedName>
    <definedName name="BExXPS31W1VD2NMIE4E37LHVDF0L" hidden="1">#REF!</definedName>
    <definedName name="BExXPUMU4BLFWI2L0MHMM5F3OUPL" hidden="1">#REF!</definedName>
    <definedName name="BExXPZKYEMVF5JOC14HYOOYQK6JK" hidden="1">#REF!</definedName>
    <definedName name="BExXQ06J7OF0O2FO4WR0QK93RJ17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HPNAFE4M6C2HYRCQNIU9D31" hidden="1">#REF!</definedName>
    <definedName name="BExXQIRBLQSLAJTFL7224FCFUTKH" hidden="1">#REF!</definedName>
    <definedName name="BExXQJIEF5R3QQ6D8HO3NGPU0IQC" hidden="1">#REF!</definedName>
    <definedName name="BExXQMYEOGRO69K9BLZF14USRMVP" hidden="1">#REF!</definedName>
    <definedName name="BExXQS1SGPIQX0ESRMCECOYMUQQJ" hidden="1">#REF!</definedName>
    <definedName name="BExXQSNEX2HF6RTJ3ZD6D8PRK0U9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HIY77F53DUYX7CMZPXGRDAG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BY0S70HRJ1R0POASBK3RJTG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446TWB4V6YIZCWOQ12KX4HB" hidden="1">#REF!</definedName>
    <definedName name="BExXTHLRNL82GN7KZY3TOLO508N7" hidden="1">#REF!</definedName>
    <definedName name="BExXTINEGPKZ75DCUCEF3QOV6OES" hidden="1">#REF!</definedName>
    <definedName name="BExXTKAV4Y4JQ7D62LKGD89F9WMF" hidden="1">#REF!</definedName>
    <definedName name="BExXTKG6GDR43QGZW0THBHRQSUSD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1HWKTB46UXT08JLMPP8P4SP" hidden="1">#REF!</definedName>
    <definedName name="BExXV6FWG4H3S2QEUJZYIXILNGJ7" hidden="1">#REF!</definedName>
    <definedName name="BExXVK87BMMO6LHKV0CFDNIQVIBS" hidden="1">#REF!</definedName>
    <definedName name="BExXVKZ9WXPGL6IVY6T61IDD771I" hidden="1">#REF!</definedName>
    <definedName name="BExXVMXBFLR2ODN1S2H8B4SN521J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CEFPM2UFC3LC37H8GSMA5GA" hidden="1">#REF!</definedName>
    <definedName name="BExXWFP5AYE7EHYTJWBZSQ8PQ0YX" hidden="1">#REF!</definedName>
    <definedName name="BExXWVFIBQT8OY1O41FRFPFGXQHK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VZUJYGREFDJR89SPNN49X51" hidden="1">#REF!</definedName>
    <definedName name="BExXXZQNZY6IZI45DJXJK0MQZWA7" hidden="1">#REF!</definedName>
    <definedName name="BExXY0SAZOPJMDG9GOR625UDCCS8" hidden="1">#REF!</definedName>
    <definedName name="BExXY2FR7PFLXNGA6J0Z6IQF8TYJ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2PAYERG9Y8DHPAPVS4RMF0W" hidden="1">#REF!</definedName>
    <definedName name="BExXZ3WEYVVV9XKKD5E86QEX5U57" hidden="1">#REF!</definedName>
    <definedName name="BExXZ4CKWN3R9HA311KINBA3R2K4" hidden="1">#REF!</definedName>
    <definedName name="BExXZ6QU5C0UMWY7U4BHVZNIPANK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M14XID3OAA88OURJ7QSZW1E" hidden="1">#REF!</definedName>
    <definedName name="BExXZNJ2X1TK2LRK5ZY3MX49H5T7" hidden="1">#REF!</definedName>
    <definedName name="BExXZOVPCEP495TQSON6PSRQ8XCY" hidden="1">#REF!</definedName>
    <definedName name="BExXZXKH7NBARQQAZM69Z57IH1MM" hidden="1">#REF!</definedName>
    <definedName name="BExY05T95YHBLI9ZYWFFT2O2B871" hidden="1">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4VNLVUUHJGAHGH19VDOWUYI" hidden="1">#REF!</definedName>
    <definedName name="BExY180UKNW5NIAWD6ZUYTFEH8QS" hidden="1">#REF!</definedName>
    <definedName name="BExY1CDE2KOBV9GGRB99W3S09NTI" hidden="1">#REF!</definedName>
    <definedName name="BExY1DPTV4LSY9MEOUGXF8X052NA" hidden="1">#REF!</definedName>
    <definedName name="BExY1FIMLW9L499KIE7ZJ706UYLM" hidden="1">#REF!</definedName>
    <definedName name="BExY1GK9ELBEKDD7O6HR6DUO8YGO" hidden="1">#REF!</definedName>
    <definedName name="BExY1NWOXXFV9GGZ3PX444LZ8TVX" hidden="1">#REF!</definedName>
    <definedName name="BExY1ONMI973LYH6W67SZIDXWDA0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3BUHF49HBMC20Z30YPLFCPS7" hidden="1">#REF!</definedName>
    <definedName name="BExY3C59PDF2BON135CH8LLYNO9W" hidden="1">#REF!</definedName>
    <definedName name="BExY3FAME3HIN2RXBJJ7BFZOQELW" hidden="1">#REF!</definedName>
    <definedName name="BExY3HOSK7YI364K15OX70AVR6F1" hidden="1">#REF!</definedName>
    <definedName name="BExY3JXT10HDV8IRQXYNHEEU49VD" hidden="1">#REF!</definedName>
    <definedName name="BExY3PS9FF16S8QWSYU89GM4E8VB" hidden="1">#REF!</definedName>
    <definedName name="BExY3T89AUR83SOAZZ3OMDEJDQ39" hidden="1">#REF!</definedName>
    <definedName name="BExY3YMHKXSM8ZA6J2QVK2F5QV01" hidden="1">#REF!</definedName>
    <definedName name="BExY4DRA1NB56I6KHB22C0U0NKPH" hidden="1">#REF!</definedName>
    <definedName name="BExY4MG771JQ84EMIVB6HQGGHZY7" hidden="1">#REF!</definedName>
    <definedName name="BExY4PQUTBYZGBCOH80JJH5VLRD6" hidden="1">#REF!</definedName>
    <definedName name="BExY4PWCSFB8P3J3TBQB2MD67263" hidden="1">#REF!</definedName>
    <definedName name="BExY4RZW3KK11JLYBA4DWZ92M6LQ" hidden="1">#REF!</definedName>
    <definedName name="BExY4SW8AV0ZS8G2TZLIRJTOBSGD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3ONZVMQF5W42KT3EB3QZVH6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BXBLQUW4SOF44M3WMGHRNE2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5SPI5VIY7HA6IY6BBVF5RH89" hidden="1">#REF!</definedName>
    <definedName name="BExY5TB2VAI3GHKCPXMCVIOM8B8W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J7I9T8XU4MZRKJ1VVU76V2LZ" hidden="1">#REF!</definedName>
    <definedName name="BExZJA22HQFUO0AXG89KJGS2WE03" hidden="1">#REF!</definedName>
    <definedName name="BExZJGY88SNM0JEZE89XFC17VJO3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JU4ZJUO53Z0ZDKXRX3KI682X" hidden="1">#REF!</definedName>
    <definedName name="BExZK34NR4BAD7HJAP7SQ926UQP3" hidden="1">#REF!</definedName>
    <definedName name="BExZK3FGPHH5H771U7D5XY7XBS6E" hidden="1">#REF!</definedName>
    <definedName name="BExZK6FDDYEJO0L4EF68ADWKSY7H" hidden="1">#REF!</definedName>
    <definedName name="BExZKGRIH1C8XY2R7Z1LHBXCBRJC" hidden="1">#REF!</definedName>
    <definedName name="BExZKHYORG3O8C772XPFHM1N8T80" hidden="1">#REF!</definedName>
    <definedName name="BExZKJRF2IRR57DG9CLC7MSHWNNN" hidden="1">#REF!</definedName>
    <definedName name="BExZLCDWOXSAL3E45Y87GOH1NUUX" hidden="1">#REF!</definedName>
    <definedName name="BExZLGVLMKTPFXG42QYT0PO81G7F" hidden="1">#REF!</definedName>
    <definedName name="BExZLHRZMB1LAT56CZDZRRPS2Q5E" hidden="1">#REF!</definedName>
    <definedName name="BExZLKMK7LRK14S09WLMH7MXSQXM" hidden="1">#REF!</definedName>
    <definedName name="BExZLT5ZPFGYISDYWOPOK90JLRBR" hidden="1">#REF!</definedName>
    <definedName name="BExZLYK6856OU4FJNVM11JMFCOZQ" hidden="1">#REF!</definedName>
    <definedName name="BExZM7JVLG0W8EG5RBU915U3SKBY" hidden="1">#REF!</definedName>
    <definedName name="BExZM85FOVUFF110XMQ9O2ODSJUK" hidden="1">#REF!</definedName>
    <definedName name="BExZM9SVSULPO4Q4EZRM61BU6CWH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H3VISFF4NQI11BZDP5IQ7VG" hidden="1">#REF!</definedName>
    <definedName name="BExZNIB2Z0PW4MJVTRVEDQX8NTGC" hidden="1">#REF!</definedName>
    <definedName name="BExZNJ1Y8RSOGU7HCLNI4JJ9WA8U" hidden="1">#REF!</definedName>
    <definedName name="BExZNJYCFYVMAOI62GB2BABK1ELE" hidden="1">#REF!</definedName>
    <definedName name="BExZNT3IENBP4PJ3O1VRGS96XB1T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EIVPQXLMQIOFZKVB6QU4PL2" hidden="1">#REF!</definedName>
    <definedName name="BExZOETNB1CJ3Y2RKLI1ZK0S8Z6H" hidden="1">#REF!</definedName>
    <definedName name="BExZOGBLV9VKIJSZA9FTH6F6I902" hidden="1">#REF!</definedName>
    <definedName name="BExZOL9K1RUXBTLZ6FJ65BIE9G5R" hidden="1">#REF!</definedName>
    <definedName name="BExZOREMVSK4E5VSWM838KHUB8AI" hidden="1">#REF!</definedName>
    <definedName name="BExZOTCW09AAK3Y9FG68NE79Y1BF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FU3AP7RASS5X21Q6MTP5DI1" hidden="1">#REF!</definedName>
    <definedName name="BExZPQ0XY507N8FJMVPKCTK8HC9H" hidden="1">#REF!</definedName>
    <definedName name="BExZPUO3WXZZLJS5CMNV98Z7IUYV" hidden="1">#REF!</definedName>
    <definedName name="BExZPWBJ4H8RND8XVKNCJ474L2J6" hidden="1">#REF!</definedName>
    <definedName name="BExZQ37OVBR25U32CO2YYVPZOMR5" hidden="1">#REF!</definedName>
    <definedName name="BExZQ3IHNAFF2HI20IH754T349LH" hidden="1">#REF!</definedName>
    <definedName name="BExZQ3NT7H06VO0AR48WHZULZB93" hidden="1">#REF!</definedName>
    <definedName name="BExZQ7PJU07SEJMDX18U9YVDC2GU" hidden="1">#REF!</definedName>
    <definedName name="BExZQ97GRS1JT451BUNZG7OVGF7Q" hidden="1">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CBGJNMCXOSJUR3UZT2XYA2W" hidden="1">#REF!</definedName>
    <definedName name="BExZRGD1603X5ACFALUUDKCD7X48" hidden="1">#REF!</definedName>
    <definedName name="BExZRGNSUPG6TBX2L292MP1PLVMU" hidden="1">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RYN6TKLS1N70DLRI2IKWN37Q" hidden="1">#REF!</definedName>
    <definedName name="BExZS1CBTC8QC8S2HIB93A2TPFQA" hidden="1">#REF!</definedName>
    <definedName name="BExZS2OY9JTSSP01ZQ6V2T2LO5R9" hidden="1">#REF!</definedName>
    <definedName name="BExZSI9USDLZAN8LI8M4YYQL24GZ" hidden="1">#REF!</definedName>
    <definedName name="BExZSS0LA2JY4ZLJ1Z5YCMLJJZCH" hidden="1">#REF!</definedName>
    <definedName name="BExZSYRAL38T8SFTHLEC94VZAPTB" hidden="1">#REF!</definedName>
    <definedName name="BExZSZ21VX9ESDG8PFXHDLT82KLO" hidden="1">#REF!</definedName>
    <definedName name="BExZT099CSLD6DJMIKJKIXDO8GD5" hidden="1">#REF!</definedName>
    <definedName name="BExZT4G9XWEXQ18D0PEKSEHI6WID" hidden="1">#REF!</definedName>
    <definedName name="BExZTAQV2QVSZY5Y3VCCWUBSBW9P" hidden="1">#REF!</definedName>
    <definedName name="BExZTC8S1L60TW34BLBQLDKD9RH4" hidden="1">#REF!</definedName>
    <definedName name="BExZTCP3AS1RQUH3NNZGOJY7ORHW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TYQ1JEJ7OY2XU5OVPIV2ST7B" hidden="1">#REF!</definedName>
    <definedName name="BExZU2BHYAOKSCBM3C5014ZF6IXS" hidden="1">#REF!</definedName>
    <definedName name="BExZU2RMJTXOCS0ROPMYPE6WTD87" hidden="1">#REF!</definedName>
    <definedName name="BExZU9CYGB5BXLD7PQZODD9YXEZF" hidden="1">#REF!</definedName>
    <definedName name="BExZUF7G8FENTJKH9R1XUWXM6CWD" hidden="1">#REF!</definedName>
    <definedName name="BExZUK03DIQPCV4MKONN9KUROAVN" hidden="1">#REF!</definedName>
    <definedName name="BExZUNARUJBIZ08VCAV3GEVBIR3D" hidden="1">#REF!</definedName>
    <definedName name="BExZUSZSJZU49WES7TCI0N0HW4M5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UYZKLKI0SDL3SRRI4ON0YSHN" hidden="1">#REF!</definedName>
    <definedName name="BExZV2QD5ZDK3AGDRULLA7JB46C3" hidden="1">#REF!</definedName>
    <definedName name="BExZV4OFC4E044NV2AK8G2UA1XAF" hidden="1">#REF!</definedName>
    <definedName name="BExZVBQ29OM0V8XAL3HL0JIM0MMU" hidden="1">#REF!</definedName>
    <definedName name="BExZVCRRWDAEMKOMWLKW8Y589BTB" hidden="1">#REF!</definedName>
    <definedName name="BExZVEPYS6HYXG8RN9GMWZTHDEMK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VSYE60P9BFRBEVVX63YFMM5F" hidden="1">#REF!</definedName>
    <definedName name="BExZVW92BIGOE7S7BGNAK369OBAA" hidden="1">#REF!</definedName>
    <definedName name="BExZVY7A2WGZIDGHSHLYG6L0LB9V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KZ5N3RDXU8MZ8HQVYYD8O0F" hidden="1">#REF!</definedName>
    <definedName name="BExZWO4ITR24TI60TY7ZB4VTJJ3K" hidden="1">#REF!</definedName>
    <definedName name="BExZWSMC9T48W74GFGQCIUJ8ZPP3" hidden="1">#REF!</definedName>
    <definedName name="BExZWTO13WI5HYOD923V9HWRJYKJ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1WSR48BBWSFW7QP7EUMPQM7" hidden="1">#REF!</definedName>
    <definedName name="BExZX2T6ZT2DZLYSDJJBPVIT5OK2" hidden="1">#REF!</definedName>
    <definedName name="BExZX8I6XYE9MJFC5JUG3ZJE9YCS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A4YA3LROELPDUCJ8SP9YM0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Z24YQOBUJTDPVU4JE2DI81OU" hidden="1">#REF!</definedName>
    <definedName name="BExZZC6HAIITD2LG9VYL7VF2213L" hidden="1">#REF!</definedName>
    <definedName name="BExZZCHAVHW8C2H649KRGVQ0WVRT" hidden="1">#REF!</definedName>
    <definedName name="BExZZTK54OTLF2YB68BHGOS27GEN" hidden="1">#REF!</definedName>
    <definedName name="BExZZX5LNMXWHX5WKP9XRZI1YZA1" hidden="1">#REF!</definedName>
    <definedName name="BExZZXB3JQQG4SIZS4MRU6NNW7HI" hidden="1">#REF!</definedName>
    <definedName name="BExZZZEMIIFKMLLV4DJKX5TB9R5V" hidden="1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CABLE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ccz" hidden="1">#REF!</definedName>
    <definedName name="CIUDAD">#REF!</definedName>
    <definedName name="Cmo" hidden="1">#REF!</definedName>
    <definedName name="COPIA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dffa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dfg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dfg6789edfhj" hidden="1">#REF!</definedName>
    <definedName name="dfgdd" hidden="1">#REF!</definedName>
    <definedName name="DFHJF7890" hidden="1">#REF!</definedName>
    <definedName name="DGBXCST679" hidden="1">#REF!</definedName>
    <definedName name="dhfkd" hidden="1">#REF!</definedName>
    <definedName name="DIVISIONES">#REF!</definedName>
    <definedName name="eddd" hidden="1">#REF!</definedName>
    <definedName name="efgh67" hidden="1">#REF!</definedName>
    <definedName name="fasggse" hidden="1">#REF!</definedName>
    <definedName name="Fcst_1H_2015" hidden="1">#REF!</definedName>
    <definedName name="FCST_Apr_2015" hidden="1">#REF!</definedName>
    <definedName name="FCST_Feb_2015" hidden="1">#REF!</definedName>
    <definedName name="FCST_Jan_2015" hidden="1">#REF!</definedName>
    <definedName name="FCST_July_2015" hidden="1">#REF!</definedName>
    <definedName name="FCST_July_LCD_2015" hidden="1">#REF!</definedName>
    <definedName name="FCST_June_2015" hidden="1">#REF!</definedName>
    <definedName name="FCST_Mar_2015" hidden="1">#REF!</definedName>
    <definedName name="FCST_May_2015" hidden="1">#REF!</definedName>
    <definedName name="fghhsdg456" hidden="1">#REF!</definedName>
    <definedName name="fwe" hidden="1">#REF!</definedName>
    <definedName name="g56778gjkgjlll" hidden="1">#REF!</definedName>
    <definedName name="ggggg" hidden="1">{"Retail Divisional",#N/A,FALSE,"DCIConsol";"Discovery Stores PL",#N/A,FALSE,"DCIConsol";"Flagship PL",#N/A,FALSE,"DCIConsol"}</definedName>
    <definedName name="HHH" hidden="1">#REF!</definedName>
    <definedName name="JHON_FREDY">#REF!</definedName>
    <definedName name="JHON_FREDY_GUEVARA">#REF!</definedName>
    <definedName name="jkl" hidden="1">{"DAI PL",#N/A,FALSE,"Int'l"}</definedName>
    <definedName name="KEY" hidden="1">#REF!</definedName>
    <definedName name="kkekhlgl3455" hidden="1">#REF!</definedName>
    <definedName name="LEY">#REF!</definedName>
    <definedName name="LLLL" hidden="1">#REF!</definedName>
    <definedName name="MANUFACTURER">#REF!</definedName>
    <definedName name="MDDD" hidden="1">#REF!</definedName>
    <definedName name="mmm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MP04_1H_2015" hidden="1">#REF!</definedName>
    <definedName name="MP04_1Q_2015" hidden="1">#REF!</definedName>
    <definedName name="MP04_2H_2015" hidden="1">#REF!</definedName>
    <definedName name="MP04_2Q_2015" hidden="1">#REF!</definedName>
    <definedName name="MP04_3Q_2015" hidden="1">#REF!</definedName>
    <definedName name="MP04_4Q_2015" hidden="1">#REF!</definedName>
    <definedName name="MP04_April_2015" hidden="1">#REF!</definedName>
    <definedName name="MP04_Aug_2015" hidden="1">#REF!</definedName>
    <definedName name="MP04_Dec_2015" hidden="1">#REF!</definedName>
    <definedName name="MP04_Feb_2015" hidden="1">#REF!</definedName>
    <definedName name="MP04_Jan_2015" hidden="1">#REF!</definedName>
    <definedName name="MP04_July_2015" hidden="1">#REF!</definedName>
    <definedName name="MP04_June_2015" hidden="1">#REF!</definedName>
    <definedName name="MP04_March_2015" hidden="1">#REF!</definedName>
    <definedName name="MP04_May_2015" hidden="1">#REF!</definedName>
    <definedName name="MP04_Nov_2015" hidden="1">#REF!</definedName>
    <definedName name="MP04_Oct_2015" hidden="1">#REF!</definedName>
    <definedName name="MP04_Sep_2015" hidden="1">#REF!</definedName>
    <definedName name="MP04_Total_2015" hidden="1">#REF!</definedName>
    <definedName name="nn" hidden="1">{"Retail Divisional",#N/A,FALSE,"DCIConsol";"Discovery Stores PL",#N/A,FALSE,"DCIConsol";"Flagship PL",#N/A,FALSE,"DCIConsol"}</definedName>
    <definedName name="ok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PERIODOS">#REF!</definedName>
    <definedName name="prensa" hidden="1">{#N/A,#N/A,FALSE,"Pauta Prensa"}</definedName>
    <definedName name="qawd">#REF!</definedName>
    <definedName name="qee" hidden="1">#REF!</definedName>
    <definedName name="qer" hidden="1">#REF!</definedName>
    <definedName name="qwda" hidden="1">{"Retail Divisional",#N/A,FALSE,"DCIConsol";"Discovery Stores PL",#N/A,FALSE,"DCIConsol";"Flagship PL",#N/A,FALSE,"DCIConsol"}</definedName>
    <definedName name="qwe">#REF!</definedName>
    <definedName name="RADIO1" hidden="1">{"DAI PL",#N/A,FALSE,"Int'l"}</definedName>
    <definedName name="RANGE_INCHES">#REF!</definedName>
    <definedName name="RANGE_PRICE">#REF!</definedName>
    <definedName name="rrrrrft" hidden="1">#REF!</definedName>
    <definedName name="sad" hidden="1">{"Retail Divisional",#N/A,FALSE,"DCIConsol";"Discovery Stores PL",#N/A,FALSE,"DCIConsol";"Flagship PL",#N/A,FALSE,"DCIConsol"}</definedName>
    <definedName name="SAPBEXdnldView" hidden="1">"A0W9L0JJ8G4ATSLUCFEUL5U3H"</definedName>
    <definedName name="SAPBEXhrIndnt" hidden="1">"Wide"</definedName>
    <definedName name="SAPBEXsysID" hidden="1">"BWP"</definedName>
    <definedName name="SAPsysID" hidden="1">"708C5W7SBKP804JT78WJ0JNKI"</definedName>
    <definedName name="SAPwbID" hidden="1">"ARS"</definedName>
    <definedName name="sdfasdfasd" hidden="1">#REF!</definedName>
    <definedName name="SegmentaciónDeDatos_CADENA">#N/A</definedName>
    <definedName name="SegmentaciónDeDatos_CATEGORIA">#N/A</definedName>
    <definedName name="SegmentaciónDeDatos_CIUDAD">#N/A</definedName>
    <definedName name="SegmentaciónDeDatos_COORDINADOR">#N/A</definedName>
    <definedName name="SegmentaciónDeDatos_DIVISION">#N/A</definedName>
    <definedName name="SegmentaciónDeDatos_GRUPO">#N/A</definedName>
    <definedName name="SegmentaciónDeDatos_NOVEDAD">#N/A</definedName>
    <definedName name="SegmentaciónDeDatos_REGION">#N/A</definedName>
    <definedName name="SegmentaciónDeDatos_SUPERVISOR">#N/A</definedName>
    <definedName name="sel.column">#REF!</definedName>
    <definedName name="sel.row">#REF!</definedName>
    <definedName name="SelCol">#REF!</definedName>
    <definedName name="SelRow">#REF!</definedName>
    <definedName name="sfdgdx" hidden="1">#REF!</definedName>
    <definedName name="Target__T07_3Q_2015" hidden="1">#REF!</definedName>
    <definedName name="Target__T08_3Q_2015" hidden="1">#REF!</definedName>
    <definedName name="Target_T01_Jan_2015" hidden="1">#REF!</definedName>
    <definedName name="Target_T02_1Q_2015" hidden="1">#REF!</definedName>
    <definedName name="Target_T02_Feb_2015" hidden="1">#REF!</definedName>
    <definedName name="Target_T03_1Q_2015" hidden="1">#REF!</definedName>
    <definedName name="Target_T03_March_2015" hidden="1">#REF!</definedName>
    <definedName name="Target_T04_Apr_2015" hidden="1">#REF!</definedName>
    <definedName name="Target_T05_May_2015" hidden="1">#REF!</definedName>
    <definedName name="Target_T06_1H_2015" hidden="1">#REF!</definedName>
    <definedName name="Target_T06_2Q_2015" hidden="1">#REF!</definedName>
    <definedName name="Target_T06_June_2015" hidden="1">#REF!</definedName>
    <definedName name="Target_T07_2H_2015" hidden="1">#REF!</definedName>
    <definedName name="Target_T07_4Q_2015" hidden="1">#REF!</definedName>
    <definedName name="Target_T07_Aug_2015" hidden="1">#REF!</definedName>
    <definedName name="Target_T07_Dec_2015" hidden="1">#REF!</definedName>
    <definedName name="Target_T07_July_2015" hidden="1">#REF!</definedName>
    <definedName name="Target_T07_Nov_2015" hidden="1">#REF!</definedName>
    <definedName name="Target_T07_Oct_2015" hidden="1">#REF!</definedName>
    <definedName name="Target_T07_Sep_2015" hidden="1">#REF!</definedName>
    <definedName name="Target_T08_2H_2015" hidden="1">#REF!</definedName>
    <definedName name="Target_T08_4Q_2015" hidden="1">#REF!</definedName>
    <definedName name="Target_T08_Aug_2015" hidden="1">#REF!</definedName>
    <definedName name="Target_T08_Aug_LCD_2015" hidden="1">#REF!</definedName>
    <definedName name="Target_T08_Dec_2015" hidden="1">#REF!</definedName>
    <definedName name="Target_T08_Dec_LCD_2015" hidden="1">#REF!</definedName>
    <definedName name="Target_T08_Nov_2015" hidden="1">#REF!</definedName>
    <definedName name="Target_T08_Nov_LCD_2015" hidden="1">#REF!</definedName>
    <definedName name="Target_T08_Oct_2015" hidden="1">#REF!</definedName>
    <definedName name="Target_T08_Oct_LCD_2015" hidden="1">#REF!</definedName>
    <definedName name="Target_T08_Sep_2015" hidden="1">#REF!</definedName>
    <definedName name="Target_T08_Sep_LCD_2015" hidden="1">#REF!</definedName>
    <definedName name="telecom" hidden="1">{#N/A,#N/A,FALSE,"Pauta Prensa"}</definedName>
    <definedName name="ttio3" hidden="1">{"Retail Divisional",#N/A,FALSE,"DCIConsol";"Discovery Stores PL",#N/A,FALSE,"DCIConsol";"Flagship PL",#N/A,FALSE,"DCIConsol"}</definedName>
    <definedName name="turno">#REF!</definedName>
    <definedName name="turno2">#REF!</definedName>
    <definedName name="UNIFIED_TECHNOLOGY">#REF!</definedName>
    <definedName name="V" hidden="1">{"Retail Divisional",#N/A,FALSE,"DCIConsol";"Discovery Stores PL",#N/A,FALSE,"DCIConsol";"Flagship PL",#N/A,FALSE,"DCIConsol"}</definedName>
    <definedName name="VIEW_1">#REF!</definedName>
    <definedName name="VIEW_2">#REF!</definedName>
    <definedName name="vm">#REF!</definedName>
    <definedName name="vovo" hidden="1">{#N/A,#N/A,FALSE,"Pauta Prensa"}</definedName>
    <definedName name="W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er" hidden="1">#REF!</definedName>
    <definedName name="wrn.All._.Assumptions." hidden="1">{"DSC Assumptions",#N/A,FALSE,"domnets";"TLC Assumptions",#N/A,FALSE,"domnets";"Animal Planet Assumptions",#N/A,FALSE,"domnets";"Showcase Assumptions",#N/A,FALSE,"domnets";"Discovery Stores Assumptions",#N/A,FALSE,"DCIConsol";"Flagship Assumptions",#N/A,FALSE,"DCIConsol";"Multimedia Assumptions",#N/A,FALSE,"Interactive";"Home Video Assumptions",#N/A,FALSE,"Consumer";"Consumer Other Assumptions",#N/A,FALSE,"Consumer";"DCOL Assumptions",#N/A,FALSE,"Interactive";"Planet Explorer Assumptions",#N/A,FALSE,"Interactive";"Education Assumption",#N/A,FALSE,"DEWOther";"Global Library Assumptions",#N/A,FALSE,"Library";"IMAX Assumptions",#N/A,FALSE,"Library"}</definedName>
    <definedName name="wrn.All._.P._.and._.Ls." hidden="1">{"DCI Consolidated",#N/A,FALSE,"DCIConsol";"IRR Analysis",#N/A,FALSE,"DCIConsol";"Domestic Nets Divisional",#N/A,FALSE,"domnets";"DSC PL",#N/A,FALSE,"domnets";"TLC PL",#N/A,FALSE,"domnets";"Animal Planet PL",#N/A,FALSE,"domnets";"Showcase PL",#N/A,FALSE,"domnets";"Retail Divisional",#N/A,FALSE,"DCIConsol";"Discovery Stores PL",#N/A,FALSE,"DCIConsol";"Flagship PL",#N/A,FALSE,"DCIConsol";"DEW Divisional",#N/A,FALSE,"DEWConsol";"Multimedia PL",#N/A,FALSE,"Interactive";"Planet Explorer PL",#N/A,FALSE,"Interactive";"Home Video PL",#N/A,FALSE,"Consumer";"Consumer Other PL",#N/A,FALSE,"Consumer";"Education PL",#N/A,FALSE,"DEWOther";"DCOL PL",#N/A,FALSE,"Interactive";"Global Library Divisional",#N/A,FALSE,"Library";"Global Library PL",#N/A,FALSE,"Library";"IMAX PL",#N/A,FALSE,"Library";"Theatrical PL",#N/A,FALSE,"Library";"Corporate Services",#N/A,FALSE,"G&amp;A";"Capital Expenditures",#N/A,FALSE,"Capital"}</definedName>
    <definedName name="wrn.DCI._.Consolidated._.and._.Divisional.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wrn.Intl._.Division." hidden="1">{"DAI PL",#N/A,FALSE,"Int'l"}</definedName>
    <definedName name="wrn.Pauta._.Prensa." hidden="1">{#N/A,#N/A,FALSE,"Pauta Prensa"}</definedName>
    <definedName name="wrn.Pauta._.Prensa._.Real._.Publicado." hidden="1">{#N/A,#N/A,FALSE,"Pauta Real Publicado"}</definedName>
    <definedName name="WRN.PAUTACABLE" hidden="1">{#N/A,#N/A,FALSE,"Pauta Real Publicado"}</definedName>
    <definedName name="wrn.Retail._.Division." hidden="1">{"Retail Divisional",#N/A,FALSE,"DCIConsol";"Discovery Stores PL",#N/A,FALSE,"DCIConsol";"Flagship PL",#N/A,FALSE,"DCIConsol"}</definedName>
    <definedName name="xls" hidden="1">{"DCI Consolidated",#N/A,FALSE,"DCIConsol";"Retail Divisional",#N/A,FALSE,"DCIConsol";"Domestic Nets Divisional",#N/A,FALSE,"domnets";"IRR Analysis",#N/A,FALSE,"DCIConsol";"Intl Divisional",#N/A,FALSE,"Int'l";"DEW Divisional",#N/A,FALSE,"DEWConsol";"Global Library Divisional",#N/A,FALSE,"Library"}</definedName>
    <definedName name="XMO" hidden="1">{"Retail Divisional",#N/A,FALSE,"DCIConsol";"Discovery Stores PL",#N/A,FALSE,"DCIConsol";"Flagship PL",#N/A,FALSE,"DCIConsol"}</definedName>
    <definedName name="ㅁㅇㄹㄴ" hidden="1">#REF!</definedName>
    <definedName name="ㅇㄹ허8" hidden="1">#REF!</definedName>
  </definedNames>
  <calcPr calcId="191028"/>
  <pivotCaches>
    <pivotCache cacheId="193" r:id="rId6"/>
    <pivotCache cacheId="194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59" l="1"/>
  <c r="F15" i="159" l="1"/>
  <c r="A15" i="159"/>
  <c r="A16" i="159"/>
  <c r="A17" i="159"/>
  <c r="A4" i="159"/>
  <c r="A5" i="159"/>
  <c r="A6" i="159"/>
  <c r="A7" i="159"/>
  <c r="A8" i="159"/>
  <c r="A9" i="159"/>
  <c r="A10" i="159"/>
  <c r="A11" i="159"/>
  <c r="A12" i="159"/>
  <c r="A13" i="159"/>
  <c r="A14" i="159"/>
  <c r="A3" i="159"/>
  <c r="F4" i="159"/>
  <c r="F5" i="159"/>
  <c r="F6" i="159"/>
  <c r="F7" i="159"/>
  <c r="F8" i="159"/>
  <c r="F9" i="159"/>
  <c r="F10" i="159"/>
  <c r="F11" i="159"/>
  <c r="F12" i="159"/>
  <c r="F13" i="159"/>
  <c r="F14" i="159"/>
  <c r="F3" i="15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5972F1-0309-4AAB-A632-37FD097B7D10}" keepAlive="1" name="Consulta - NHC_78" description="Conexión a la consulta 'NHC_78' en el libro." type="5" refreshedVersion="0" background="1" saveData="1">
    <dbPr connection="Provider=Microsoft.Mashup.OleDb.1;Data Source=$Workbook$;Location=NHC_78;Extended Properties=&quot;&quot;" command="SELECT * FROM [NHC_78]"/>
  </connection>
  <connection id="2" xr16:uid="{E7A50453-938F-473C-A732-EE7BF8EBFEB1}" keepAlive="1" name="Consulta - Tabla1_1" description="Conexión a la consulta 'Tabla1_1' en el libro." type="5" refreshedVersion="8" background="1" saveData="1">
    <dbPr connection="Provider=Microsoft.Mashup.OleDb.1;Data Source=$Workbook$;Location=Tabla1_1;Extended Properties=&quot;&quot;" command="SELECT * FROM [Tabla1_1]"/>
  </connection>
</connections>
</file>

<file path=xl/sharedStrings.xml><?xml version="1.0" encoding="utf-8"?>
<sst xmlns="http://schemas.openxmlformats.org/spreadsheetml/2006/main" count="21503" uniqueCount="1915">
  <si>
    <t>CATEGORIA</t>
  </si>
  <si>
    <t>CONSULTOR</t>
  </si>
  <si>
    <t>ESTADO</t>
  </si>
  <si>
    <t>(Todas)</t>
  </si>
  <si>
    <t>VACANTE</t>
  </si>
  <si>
    <t>DIVISION</t>
  </si>
  <si>
    <t>CIUDAD</t>
  </si>
  <si>
    <t>NOMBRE POS</t>
  </si>
  <si>
    <t>MX</t>
  </si>
  <si>
    <t>VD</t>
  </si>
  <si>
    <t>EB</t>
  </si>
  <si>
    <t>BOGOTA</t>
  </si>
  <si>
    <t>HA</t>
  </si>
  <si>
    <t>MEDELLIN</t>
  </si>
  <si>
    <t>NO APLICA</t>
  </si>
  <si>
    <t>CARTAGENA</t>
  </si>
  <si>
    <t>OS</t>
  </si>
  <si>
    <t>CUCUTA</t>
  </si>
  <si>
    <t>EXITO SAN MATEO CUCUTA</t>
  </si>
  <si>
    <t>Total general</t>
  </si>
  <si>
    <t>NEIVA</t>
  </si>
  <si>
    <t>MOSQUERA</t>
  </si>
  <si>
    <t>ALKOSTO MOSQUERA</t>
  </si>
  <si>
    <t>SINCELEJO</t>
  </si>
  <si>
    <t>CLARO CAV TITAN PLAZA</t>
  </si>
  <si>
    <t>IPIALES</t>
  </si>
  <si>
    <t>ALKOSTO PASTO IPIALES</t>
  </si>
  <si>
    <t>TULUA</t>
  </si>
  <si>
    <t>EXITO TULUA</t>
  </si>
  <si>
    <t>VILLAVICENCIO</t>
  </si>
  <si>
    <t>ARMENIA</t>
  </si>
  <si>
    <t>ALKOMPRAR Armenia ALARM</t>
  </si>
  <si>
    <t>EXITO CLLE 80</t>
  </si>
  <si>
    <t>FALABELLA UNICENTRO</t>
  </si>
  <si>
    <t>FALABELLA COLINA</t>
  </si>
  <si>
    <t>FALABELLA TITAN</t>
  </si>
  <si>
    <t>CALI</t>
  </si>
  <si>
    <t>SODIMAC Homecenter Cali Sur</t>
  </si>
  <si>
    <t>DIST ELECTROJAPONES AREA - 91 MAYOREO</t>
  </si>
  <si>
    <t>ARPESOD PRINCIPAL CALI 20101</t>
  </si>
  <si>
    <t>SODIMAC Homecenter Cali Norte</t>
  </si>
  <si>
    <t>ALKOMPRAR UNICO</t>
  </si>
  <si>
    <t>K-TRONIX ALKOSTO EL TESORO</t>
  </si>
  <si>
    <t>K-TRONIX ALKOSTO POBLADO</t>
  </si>
  <si>
    <t>TUNJA</t>
  </si>
  <si>
    <t>EXITO VIVA TUNJA</t>
  </si>
  <si>
    <t>SUPERVISOR</t>
  </si>
  <si>
    <t>NOVEDAD</t>
  </si>
  <si>
    <t>NOMBRE</t>
  </si>
  <si>
    <t>INCAPACIDAD</t>
  </si>
  <si>
    <t>SUPERNUMERARIO</t>
  </si>
  <si>
    <t>CHILAMA CRUZ MILLER ARMANDO</t>
  </si>
  <si>
    <t>GARCIA ALVAREZ WILBERTO</t>
  </si>
  <si>
    <t>OLARTE QUIROZ ESTEFANIA</t>
  </si>
  <si>
    <t>SARMIENTO SEGURA JULY ALEXANDRA</t>
  </si>
  <si>
    <t>CHAVES CALIXTO LUIS MANUEL</t>
  </si>
  <si>
    <t>VEGA HERREÑO DIANA PATRICIA</t>
  </si>
  <si>
    <t>CONSULTOR ESPECIALISTA</t>
  </si>
  <si>
    <t>DIRECTOR CUENTA</t>
  </si>
  <si>
    <t>CONSULTOR EXPERTO</t>
  </si>
  <si>
    <t>CONSULTOR MASTER</t>
  </si>
  <si>
    <t>CONSULTOR PROFESIONAL</t>
  </si>
  <si>
    <t>VISUAL DISPLAY MASTER</t>
  </si>
  <si>
    <t>COORDINADOR ESPECIALISTA</t>
  </si>
  <si>
    <t>ENTRENADOR ESPECIALISTA</t>
  </si>
  <si>
    <t>COORDINADOR MASTER</t>
  </si>
  <si>
    <t>ENTRENADOR EXPERTO</t>
  </si>
  <si>
    <t>ENTRENADOR MASTER</t>
  </si>
  <si>
    <t>EXPERTO PRODUCTO</t>
  </si>
  <si>
    <t>SUPERVISOR ESPECIALISTA</t>
  </si>
  <si>
    <t>SUPERVISOR EXPERTO</t>
  </si>
  <si>
    <t>SUPERVISOR MASTER</t>
  </si>
  <si>
    <t>GRUPO</t>
  </si>
  <si>
    <t>CADENA</t>
  </si>
  <si>
    <t xml:space="preserve"> CUPOS</t>
  </si>
  <si>
    <t>ALKOSTO</t>
  </si>
  <si>
    <t>ALKOMPRAR</t>
  </si>
  <si>
    <t>ALKOMPRAR APARTADO</t>
  </si>
  <si>
    <t>ALKOMPRAR BARRANCABERMEJA</t>
  </si>
  <si>
    <t>ALKOMPRAR BELLO</t>
  </si>
  <si>
    <t>ALKOMPRAR BUCARAMANGA 1</t>
  </si>
  <si>
    <t>ALKOMPRAR ELECTRO BUCARAMANGA 2</t>
  </si>
  <si>
    <t>ALKOMPRAR FLORIDA</t>
  </si>
  <si>
    <t>ALKOMPRAR IBAGUE</t>
  </si>
  <si>
    <t>ALKOMPRAR MAYORCA</t>
  </si>
  <si>
    <t>ALKOMPRAR MOLINOS</t>
  </si>
  <si>
    <t>ALKOMPRAR MONTERIA</t>
  </si>
  <si>
    <t>ALKOMPRAR NEIVA</t>
  </si>
  <si>
    <t>ALKOMPRAR PEREIRA ALPER</t>
  </si>
  <si>
    <t>ALKOMPRAR PIEDECUESTA</t>
  </si>
  <si>
    <t>ALKOMPRAR RIONEGRO</t>
  </si>
  <si>
    <t>ALKOMPRAR VALLEDUPAR 2</t>
  </si>
  <si>
    <t>ALKOMPRAR Alkomprar Cúcuta</t>
  </si>
  <si>
    <t>Alkomprar Fabricato</t>
  </si>
  <si>
    <t>ALKOSTO BARRANQUILLA</t>
  </si>
  <si>
    <t>ALKOSTO CALI</t>
  </si>
  <si>
    <t>ALKOSTO CALI NORTE</t>
  </si>
  <si>
    <t>ALKOSTO CRA 30</t>
  </si>
  <si>
    <t>ALKOSTO FLORIDABLANCA</t>
  </si>
  <si>
    <t>ALKOSTO PEREIRA</t>
  </si>
  <si>
    <t>ALKOSTO SINCELEJO</t>
  </si>
  <si>
    <t>ALKOSTO VENECIA</t>
  </si>
  <si>
    <t>ALKOSTO VILLAVICENCIO</t>
  </si>
  <si>
    <t>ALKOSTO YOPAL</t>
  </si>
  <si>
    <t>ALKOSTO CALLE 170</t>
  </si>
  <si>
    <t>ALKOSTO AVENIDA 68</t>
  </si>
  <si>
    <t>ALKOSTO AKEDE El Edén</t>
  </si>
  <si>
    <t>KTRONIX</t>
  </si>
  <si>
    <t>ALKOSTO - KTRONIX ALLEGRA</t>
  </si>
  <si>
    <t>K-TRONIX ALKOSTO PLAZA DE LAS AMÉRICAS</t>
  </si>
  <si>
    <t>K-TRONIX ALKOSTO VILLAVICENCIO</t>
  </si>
  <si>
    <t>K-TRONIX ALKOSTO CENTROMAYOR</t>
  </si>
  <si>
    <t>K-TRONIX ALKOSTO UNICENTRO KRA 15</t>
  </si>
  <si>
    <t>K-TRONIX ALKOSTO 94</t>
  </si>
  <si>
    <t>ALKOSTO Ktronix Tunja (KTTUN)</t>
  </si>
  <si>
    <t>K-TRONIX ALKOSTO MANIZALEZ</t>
  </si>
  <si>
    <t>K-TRONIX ALKOSTO FONTANAR CHÍA</t>
  </si>
  <si>
    <t>ALKOSTO Ktronix Ktronix Mall Plaza</t>
  </si>
  <si>
    <t>K-TRONIX ALKOSTO MOSQUERA</t>
  </si>
  <si>
    <t>K-TRONIX ALKOSTO SALITRE</t>
  </si>
  <si>
    <t>ALKOSTO K-Tronix Soacha CC Antares</t>
  </si>
  <si>
    <t>ALKOSTO KTFUS (K-TronixFusa)</t>
  </si>
  <si>
    <t>K-TRONIX ALKOSTO SUBA</t>
  </si>
  <si>
    <t>K-TRONIX ALKOSTO BUCARAMANGA</t>
  </si>
  <si>
    <t>K-TRONIX ALKOSTO CALI CHIPICHAPE</t>
  </si>
  <si>
    <t xml:space="preserve">SUPERVISOR </t>
  </si>
  <si>
    <t>RANGO</t>
  </si>
  <si>
    <t>Total VD</t>
  </si>
  <si>
    <t>CE</t>
  </si>
  <si>
    <t>Total CE</t>
  </si>
  <si>
    <t>Total EB</t>
  </si>
  <si>
    <t>OBSERVACIONES</t>
  </si>
  <si>
    <t xml:space="preserve"> % CUPOS</t>
  </si>
  <si>
    <t>TIPO</t>
  </si>
  <si>
    <t>MIGRADO</t>
  </si>
  <si>
    <t>SIN NOVEDAD</t>
  </si>
  <si>
    <t>CUPO FIJO</t>
  </si>
  <si>
    <t>NUEVO</t>
  </si>
  <si>
    <t>LLAVE</t>
  </si>
  <si>
    <t>ACTIVO</t>
  </si>
  <si>
    <t>CEDULA</t>
  </si>
  <si>
    <t>TELEFONOS</t>
  </si>
  <si>
    <t>MAIL</t>
  </si>
  <si>
    <t>DISPERSION DE CUPOS</t>
  </si>
  <si>
    <t>DIRECTOR DE CUENTA</t>
  </si>
  <si>
    <t xml:space="preserve">COORDINADOR </t>
  </si>
  <si>
    <t>BARRANQUILLA</t>
  </si>
  <si>
    <t>IN HOUSE</t>
  </si>
  <si>
    <t>BUCARAMANGA</t>
  </si>
  <si>
    <t>IBAGUE</t>
  </si>
  <si>
    <t>PASTO</t>
  </si>
  <si>
    <t>PEREIRA</t>
  </si>
  <si>
    <t>ENTRENADOR</t>
  </si>
  <si>
    <t>SIN ASIGNAR</t>
  </si>
  <si>
    <t>MONTERIA</t>
  </si>
  <si>
    <t>VALLEDUPAR</t>
  </si>
  <si>
    <t>1105788522</t>
  </si>
  <si>
    <t>RODRIGUEZ LOZADA JAIRO IVAN</t>
  </si>
  <si>
    <t xml:space="preserve">jairo.rodriguez@visionymarketing.com.co </t>
  </si>
  <si>
    <t>1143424569</t>
  </si>
  <si>
    <t>MORENO GONZALEZ MILENA BEATRIZ</t>
  </si>
  <si>
    <t>milena.moreno@visionymarketing.com.co</t>
  </si>
  <si>
    <t>1069719793</t>
  </si>
  <si>
    <t>GOMEZ SANDOVAL JOSE GUSTAVO</t>
  </si>
  <si>
    <t>jose.gomez@visionymarketing.com.co</t>
  </si>
  <si>
    <t>91498870</t>
  </si>
  <si>
    <t>GOMEZ OSCAR</t>
  </si>
  <si>
    <t>oscar.gomez@visionymarketing.com.co</t>
  </si>
  <si>
    <t>32777245</t>
  </si>
  <si>
    <t>MERCADO OJEDA LILIANA PATRICIA</t>
  </si>
  <si>
    <t>Liliana.mercado@visionymarketing.com.co</t>
  </si>
  <si>
    <t>1022408879</t>
  </si>
  <si>
    <t>CLAVIJO VEGA JOHN ALEXANDER</t>
  </si>
  <si>
    <t xml:space="preserve">John.clavijo@visionymarketing.com.co </t>
  </si>
  <si>
    <t>1039449593</t>
  </si>
  <si>
    <t>ZAPATA AGUDELO KATHERIN</t>
  </si>
  <si>
    <t xml:space="preserve">katherin.agudelo@visionymarketing.com.co </t>
  </si>
  <si>
    <t>41960973</t>
  </si>
  <si>
    <t xml:space="preserve">Diana.vega@visionymarketing.com.co </t>
  </si>
  <si>
    <t>1000758114</t>
  </si>
  <si>
    <t>ARBOLEDA PARRA MANUELA</t>
  </si>
  <si>
    <t>manuela.parra@visionymarketing.com.co</t>
  </si>
  <si>
    <t>8358331</t>
  </si>
  <si>
    <t>VEGA HIDALGO CAMILO ANDRES</t>
  </si>
  <si>
    <t>camilo.vega@visionymarketing.com.co</t>
  </si>
  <si>
    <t>1143458873</t>
  </si>
  <si>
    <t>GOMEZ GUTIERREZ HEIDY</t>
  </si>
  <si>
    <t>heidy.gomez@visionymarketing.com.co</t>
  </si>
  <si>
    <t>1143242514</t>
  </si>
  <si>
    <t>MORA ARIAS MAYERLI</t>
  </si>
  <si>
    <t>mayerli.mora@visionymarketing.com.co</t>
  </si>
  <si>
    <t>1020767454</t>
  </si>
  <si>
    <t>BARRERA VEGA DANIEL FERNANDO</t>
  </si>
  <si>
    <t>1035428765</t>
  </si>
  <si>
    <t>CORREA PINEDO JOHN EDISON</t>
  </si>
  <si>
    <t>john.correa@visionymarketing.com.co</t>
  </si>
  <si>
    <t>1012318351</t>
  </si>
  <si>
    <t xml:space="preserve">july.sarmiento@visionymarketing.com.co </t>
  </si>
  <si>
    <t>1130600732</t>
  </si>
  <si>
    <t>ORDOÑEZ VERGARA LEIDY ANDREA</t>
  </si>
  <si>
    <t>leidy.ordonez@visionymarketing.com.co</t>
  </si>
  <si>
    <t>1019093142</t>
  </si>
  <si>
    <t>OLAYA GUERRERO JUAN DAVID</t>
  </si>
  <si>
    <t xml:space="preserve">Juan.olaya@visionymarketing.com.co </t>
  </si>
  <si>
    <t>1012354374</t>
  </si>
  <si>
    <t>PINZON PACHON RAFAEL RICARDO</t>
  </si>
  <si>
    <t xml:space="preserve">Rafael.pinzon@visionymarketing.com.co </t>
  </si>
  <si>
    <t>80738291</t>
  </si>
  <si>
    <t>PARRA BAUTISTA JULIAN CAMILO</t>
  </si>
  <si>
    <t xml:space="preserve">julian.parra@visionymarketing.com.co </t>
  </si>
  <si>
    <t>1121823147</t>
  </si>
  <si>
    <t>CRUZ BOBADILLA NIDYA MILENA</t>
  </si>
  <si>
    <t xml:space="preserve">nidya.cruz@visionymarketing.com.co </t>
  </si>
  <si>
    <t>87068177</t>
  </si>
  <si>
    <t>miller.chilama@visionymarketing.com.co</t>
  </si>
  <si>
    <t>1038768902</t>
  </si>
  <si>
    <t>ARDILA BERMUDEZ ELIANA MARIA</t>
  </si>
  <si>
    <t>eliana.ardila@visionymarketing.com.co</t>
  </si>
  <si>
    <t>1012383841</t>
  </si>
  <si>
    <t>GARCIA BUITRAGO KELYN VIVIANA</t>
  </si>
  <si>
    <t xml:space="preserve">kelyn.garcia@visionymarketing.com.co </t>
  </si>
  <si>
    <t>1143843349</t>
  </si>
  <si>
    <t>ALVAREZ LONDOÑO JOHNNY</t>
  </si>
  <si>
    <t>johnny.alvarez@visionymarketing.com.co</t>
  </si>
  <si>
    <t>1036617104</t>
  </si>
  <si>
    <t>LOPEZ PALACIO PABLO EMILIO</t>
  </si>
  <si>
    <t xml:space="preserve">pablo.lopez@visionymarketing.com.co </t>
  </si>
  <si>
    <t>1010210279</t>
  </si>
  <si>
    <t>RAMIREZ ANGULO JUAN SEBASTIAN</t>
  </si>
  <si>
    <t xml:space="preserve">juansebastian.ramirez@visionymarketing.com.co  </t>
  </si>
  <si>
    <t>80188369</t>
  </si>
  <si>
    <t>GAVIRIA FERRO DIEGO MAURICIO</t>
  </si>
  <si>
    <t xml:space="preserve">diego.gaviria@visionymarketing.com.co </t>
  </si>
  <si>
    <t>72274366</t>
  </si>
  <si>
    <t>PRENT SAMPAYO ANDERSON GUILLERMO</t>
  </si>
  <si>
    <t xml:space="preserve">anderson.prent@visionymarketing.com.co </t>
  </si>
  <si>
    <t>1024484467</t>
  </si>
  <si>
    <t>ROMERO ARENAS DANNY MAURICIO</t>
  </si>
  <si>
    <t>danny.romero@visionymarketing.com.co</t>
  </si>
  <si>
    <t>VISUAL DISPLAY</t>
  </si>
  <si>
    <t>1043137275</t>
  </si>
  <si>
    <t>GRANADOS NAVARRO YEFERSON ORLANDO</t>
  </si>
  <si>
    <t>yeferson.granados@visionymarketing.com.co</t>
  </si>
  <si>
    <t>29685706</t>
  </si>
  <si>
    <t>IRLANDA VEGA YENNIFER</t>
  </si>
  <si>
    <t>yennifer.irlanda@visionymarketing.com.co</t>
  </si>
  <si>
    <t>1079186800</t>
  </si>
  <si>
    <t>PASTUSO ACHICUE CLAUDIA PATRICIA</t>
  </si>
  <si>
    <t>claudia.pastuso@visionymarketing.com.co</t>
  </si>
  <si>
    <t>1024518007</t>
  </si>
  <si>
    <t>MUÑOZ CLAVIJO BRAYAN DAVID</t>
  </si>
  <si>
    <t>Brayan.munoz@visionymarketing.com.co</t>
  </si>
  <si>
    <t>ANALISTA</t>
  </si>
  <si>
    <t>ANALISTA BI</t>
  </si>
  <si>
    <t>1030553121</t>
  </si>
  <si>
    <t>CARREÑO GOMEZ DIANA MARCELA</t>
  </si>
  <si>
    <t>diana.carreno@visionymarketing.com.co</t>
  </si>
  <si>
    <t>COD POS</t>
  </si>
  <si>
    <t>DIRECCION POS</t>
  </si>
  <si>
    <t>CANAL</t>
  </si>
  <si>
    <t>DEPARTAMENTO</t>
  </si>
  <si>
    <t>REGION</t>
  </si>
  <si>
    <t>VISUAL MERCHANDISER</t>
  </si>
  <si>
    <t>COORDINADOR</t>
  </si>
  <si>
    <t>TOTAL DE CUPOS</t>
  </si>
  <si>
    <t>FECHA DE INGRESO</t>
  </si>
  <si>
    <t>DATE SENIORITY</t>
  </si>
  <si>
    <t>LENGHT OF SERVICE</t>
  </si>
  <si>
    <t>SENIORITY RANGE CE</t>
  </si>
  <si>
    <t>TIPO DE POS</t>
  </si>
  <si>
    <t>TIPO DE POS GENERAL</t>
  </si>
  <si>
    <t>LINEA CORPORATIVA</t>
  </si>
  <si>
    <t>STATUS LINEA</t>
  </si>
  <si>
    <t>POWER STORE / PARETO</t>
  </si>
  <si>
    <t>CUNDINAMARCA</t>
  </si>
  <si>
    <t>CENTRO</t>
  </si>
  <si>
    <t>OK LINEA</t>
  </si>
  <si>
    <t>META</t>
  </si>
  <si>
    <t>CENTRO LLANOS</t>
  </si>
  <si>
    <t>SANTANDER</t>
  </si>
  <si>
    <t>NARIÑO</t>
  </si>
  <si>
    <t>SUR</t>
  </si>
  <si>
    <t>VALLE DEL CAUCA</t>
  </si>
  <si>
    <t>ATLANTICO</t>
  </si>
  <si>
    <t>HUILA</t>
  </si>
  <si>
    <t>ANTIOQUIA</t>
  </si>
  <si>
    <t>TOLIMA</t>
  </si>
  <si>
    <t>CESAR</t>
  </si>
  <si>
    <t>BOLIVAR</t>
  </si>
  <si>
    <t>RISARALDA</t>
  </si>
  <si>
    <t>NORTE DE SANTANDER</t>
  </si>
  <si>
    <t>A</t>
  </si>
  <si>
    <t>SI</t>
  </si>
  <si>
    <t>C</t>
  </si>
  <si>
    <t>B</t>
  </si>
  <si>
    <t>NO</t>
  </si>
  <si>
    <t>SOACHA</t>
  </si>
  <si>
    <t>C813_00000000000012</t>
  </si>
  <si>
    <t>CARRERA 48 # 32 B SUR 139 MEDELLIN ANTIOQUIA</t>
  </si>
  <si>
    <t>EXITO</t>
  </si>
  <si>
    <t>C813_00000000005938</t>
  </si>
  <si>
    <t>CALLE 38 # 6 NORTE-35</t>
  </si>
  <si>
    <t>1192750429</t>
  </si>
  <si>
    <t>VILLALBA BASTIDAS MARIA ALEJANDRA</t>
  </si>
  <si>
    <t>C813_00000000000292</t>
  </si>
  <si>
    <t>CALLE 94 # 15-14 BOGOTA CUNDINAMARCA</t>
  </si>
  <si>
    <t>HIPERMERCADO</t>
  </si>
  <si>
    <t>NO DATA</t>
  </si>
  <si>
    <t>80123005</t>
  </si>
  <si>
    <t>VARGAS GARCIA EDWIN</t>
  </si>
  <si>
    <t>C813_00000000000291</t>
  </si>
  <si>
    <t>CARRERA  68 B # 25B-80 BOGOTA CUNDINAMARCA</t>
  </si>
  <si>
    <t>1094275462</t>
  </si>
  <si>
    <t>VALENCIA  ANDREA CAROLINA</t>
  </si>
  <si>
    <t>C813_00000000006329</t>
  </si>
  <si>
    <t>ANILLO VIAL KM 2 5 VIA FLORIDABLANCA GIRON FLORIDABLANCA SANTANDER</t>
  </si>
  <si>
    <t>1034277699</t>
  </si>
  <si>
    <t>AGUILAR ANDRES SANTIAGO</t>
  </si>
  <si>
    <t>C813_00000000000281</t>
  </si>
  <si>
    <t>CRA 69 # 170-15 BOGOTA</t>
  </si>
  <si>
    <t>C813_00000000001104</t>
  </si>
  <si>
    <t>CR 25 A # 1A SUR – 45 TV SUP CC EL TESORO LC 3589</t>
  </si>
  <si>
    <t>1140848361</t>
  </si>
  <si>
    <t>PELUFFO GELVEZ WILLIAN DAVID</t>
  </si>
  <si>
    <t>C813_00000000005388</t>
  </si>
  <si>
    <t>CL 98 #51B -91 BARRANQUILLA - ATLANTICO</t>
  </si>
  <si>
    <t>COSTA</t>
  </si>
  <si>
    <t>1107069231</t>
  </si>
  <si>
    <t>PATIÑO MADRID ALEXANDER</t>
  </si>
  <si>
    <t>C813_00000000001058</t>
  </si>
  <si>
    <t>CL 13 #80 - 187, CALI, VALLE DEL CAUCA</t>
  </si>
  <si>
    <t>EJE CAFETERO</t>
  </si>
  <si>
    <t>C813_00000000000284</t>
  </si>
  <si>
    <t>CALLE 45 SUR #51-90 BOGOTA</t>
  </si>
  <si>
    <t>C813_00000000004678</t>
  </si>
  <si>
    <t>CARRERA 15 # 123-08 BOGOTA CUNDINAMARCA</t>
  </si>
  <si>
    <t>1088352109</t>
  </si>
  <si>
    <t>OTERO BETANCUR DAVID ALEJANDRO</t>
  </si>
  <si>
    <t>C813_00000000000297</t>
  </si>
  <si>
    <t>AV AMERICAS # 46-03 PEREIRA RISARALDA</t>
  </si>
  <si>
    <t>C813_00000000000296</t>
  </si>
  <si>
    <t>CARRERA 43 A # 1 SUR - 272 MEDELLIN ANTIOQUIA</t>
  </si>
  <si>
    <t>1049637540</t>
  </si>
  <si>
    <t>LOPEZ RUBIO MILTON ANDRES</t>
  </si>
  <si>
    <t>C813_00000000006343</t>
  </si>
  <si>
    <t>AV UNIVERSITARIA # 50-21 CENTRO COMERCIAL VIVA LOCAL 209 TUNJA BOYACA</t>
  </si>
  <si>
    <t>BOYACA</t>
  </si>
  <si>
    <t>1127611037</t>
  </si>
  <si>
    <t>HERRERA ZAMBRANO DIEGO EDUARDO</t>
  </si>
  <si>
    <t>C813_00000000004415</t>
  </si>
  <si>
    <t>KM 25 VÍA CHÍA CAJICÁ COSTADO ORIENTAL LC 2 - 49B CC FONTANAR</t>
  </si>
  <si>
    <t>CHIA</t>
  </si>
  <si>
    <t>79845047</t>
  </si>
  <si>
    <t xml:space="preserve">GARAY BERMUDEZ CARLOS ANDRES </t>
  </si>
  <si>
    <t>C813_00000000000936</t>
  </si>
  <si>
    <t>AV CRA 27 # 38A-83 SUR LOCALES 13 14 15 16 Y 17 BOGOTA</t>
  </si>
  <si>
    <t>C813_00000000000923</t>
  </si>
  <si>
    <t>TV 71D # 26 - 94 SUR / CC PLAZA DE LAS AMÉRICAS L1902 - B</t>
  </si>
  <si>
    <t>75104779</t>
  </si>
  <si>
    <t>FLOREZ TANGARIFE JHONY ANDRES</t>
  </si>
  <si>
    <t>C813_00000000006278</t>
  </si>
  <si>
    <t>AV KEVIN ANGEL # 55D-251 MANIZALES CALDAS</t>
  </si>
  <si>
    <t>MANIZALES</t>
  </si>
  <si>
    <t>CALDAS</t>
  </si>
  <si>
    <t>1024590115</t>
  </si>
  <si>
    <t>COSSIO DUARTE INGRID VANESSA</t>
  </si>
  <si>
    <t>C813_00000000000282</t>
  </si>
  <si>
    <t>AK 68 # 72-43 BOGOTA</t>
  </si>
  <si>
    <t>C813_00000000000285</t>
  </si>
  <si>
    <t>CRA 31 # 31-95 VILLAVICENCIO META</t>
  </si>
  <si>
    <t>C813_00000000004980</t>
  </si>
  <si>
    <t>CALLE 7 # 45  185 VILLAVICENCIO META</t>
  </si>
  <si>
    <t>1012441145</t>
  </si>
  <si>
    <t>CAMARGO VALENCIA JUAN DIEGO</t>
  </si>
  <si>
    <t>1143826082</t>
  </si>
  <si>
    <t>ARBOLEDA STEVEN CAMILO</t>
  </si>
  <si>
    <t>C813_00000000006896</t>
  </si>
  <si>
    <t>CARRERA 1 # 66 63</t>
  </si>
  <si>
    <t>C813_00000000000015</t>
  </si>
  <si>
    <t>AVENIDA PASO ANCHO CALLE 13 # 100-00 CALI VALLE DEL CAUCA</t>
  </si>
  <si>
    <t>C813_00000000006491</t>
  </si>
  <si>
    <t>CARRERA 55 # 98A-15 CENTRO COMERCIAL MALL PLAZA BUENAVISTA</t>
  </si>
  <si>
    <t>FALABELLA</t>
  </si>
  <si>
    <t>C813_00000000000744</t>
  </si>
  <si>
    <t>CRA 3 # 52-126 CC UNICO LOCAL 10-07 CALI VALLE DEL CAUCA</t>
  </si>
  <si>
    <t>C813_00000000000102</t>
  </si>
  <si>
    <t>EXITO LAURELES</t>
  </si>
  <si>
    <t>CRA 81 # 37-100 MEDELLIN ANTIOQUIA</t>
  </si>
  <si>
    <t>C813_00000000000431</t>
  </si>
  <si>
    <t>ELECTROFERIA CENTRO MEDELLIN</t>
  </si>
  <si>
    <t>CALLE 50 # 51-87 MEDELLIN ANTIOQUIA</t>
  </si>
  <si>
    <t>GROUP MEDELLIN</t>
  </si>
  <si>
    <t>ELECTROFERIA</t>
  </si>
  <si>
    <t>TRADITIONAL</t>
  </si>
  <si>
    <t>ENVIGADO</t>
  </si>
  <si>
    <t>D</t>
  </si>
  <si>
    <t>C813_00000000003118</t>
  </si>
  <si>
    <t>AGAVAL BELLO</t>
  </si>
  <si>
    <t>CRA 49 # 46-48 BELLO ANTIOQUIA</t>
  </si>
  <si>
    <t>AGAVAL</t>
  </si>
  <si>
    <t>BELLO</t>
  </si>
  <si>
    <t>C813_00000000003121</t>
  </si>
  <si>
    <t>AGAVAL ITAGUI</t>
  </si>
  <si>
    <t>CL. 51 #49-06, LOS NARANJOS, ITAGÜI, ANTIOQUIA</t>
  </si>
  <si>
    <t>ITAGUI</t>
  </si>
  <si>
    <t>MULTIELECTRO</t>
  </si>
  <si>
    <t>SPECIALITY</t>
  </si>
  <si>
    <t>SODIMAC</t>
  </si>
  <si>
    <t>C813_00000000004377</t>
  </si>
  <si>
    <t>CARRERA 100 # 16-25 CALI VALLE DEL CAUCA</t>
  </si>
  <si>
    <t>CENCOSUD</t>
  </si>
  <si>
    <t>C813_00000000000711</t>
  </si>
  <si>
    <t>EXITO LAS FLORES VALLEDUPAR</t>
  </si>
  <si>
    <t>CALLE 16 # 19 - 50 VALLEDUPAR</t>
  </si>
  <si>
    <t>C813_00000000000717</t>
  </si>
  <si>
    <t>CALLE 32 #29A-500 MAMATOCO SANTA MARTA</t>
  </si>
  <si>
    <t>SANTA MARTA</t>
  </si>
  <si>
    <t>MAGDALENA</t>
  </si>
  <si>
    <t>CUPO NUEVO</t>
  </si>
  <si>
    <t>SUCRE</t>
  </si>
  <si>
    <t>C813_00000000000947</t>
  </si>
  <si>
    <t>CALLE 24 # 28-72. C.C MORICHAL PLAZA YOPAL CASANARE</t>
  </si>
  <si>
    <t>YOPAL</t>
  </si>
  <si>
    <t>CASANARE</t>
  </si>
  <si>
    <t>BARRANCABERMEJA</t>
  </si>
  <si>
    <t>C813_00000000000510</t>
  </si>
  <si>
    <t>LUMA 1 MEDELLIN</t>
  </si>
  <si>
    <t>CALLE 50 # 53-74</t>
  </si>
  <si>
    <t>DISTRIBUIDORA COLOMBIA</t>
  </si>
  <si>
    <t>RIONEGRO</t>
  </si>
  <si>
    <t>C813_00000000000056</t>
  </si>
  <si>
    <t>EXITO AMERICAS</t>
  </si>
  <si>
    <t>AV AMERICAS # 68-94 BOGOTA</t>
  </si>
  <si>
    <t>C813_00000000004391</t>
  </si>
  <si>
    <t>CARRERA 35 #29A - 355 SANTA MARTA</t>
  </si>
  <si>
    <t>C813_00000000000031</t>
  </si>
  <si>
    <t>EXITO BELLO</t>
  </si>
  <si>
    <t>DIAGONAL 51 # 35-120 MEDELLIN ANTIOQUIA</t>
  </si>
  <si>
    <t>C813_00000000000110</t>
  </si>
  <si>
    <t>AVENIDA 3 F NORTE # 52N-46 CALI VALLE DEL CAUCA</t>
  </si>
  <si>
    <t>C813_00000000001110</t>
  </si>
  <si>
    <t>CALLE 11 # 8-58 ALVARO GUTIERREZ PBX: 889-7070 CALI VALLE DEL CAUCA</t>
  </si>
  <si>
    <t>GROUP SUROCCIDENTE</t>
  </si>
  <si>
    <t>ELECTROJAPONESA</t>
  </si>
  <si>
    <t>C813_00000000000107</t>
  </si>
  <si>
    <t>CARRERA 72 #146A - 25 BOGOTA CUNDINAMARCA</t>
  </si>
  <si>
    <t>C813_00000000000043</t>
  </si>
  <si>
    <t>EXITO VILLAVICENCIO SABANA</t>
  </si>
  <si>
    <t>CALLE 7A #45-185</t>
  </si>
  <si>
    <t>C813_00000000000283</t>
  </si>
  <si>
    <t>CARRERA 30 N ° 10-25 BOGOTA</t>
  </si>
  <si>
    <t>C813_00000000004396</t>
  </si>
  <si>
    <t>AVENIDA  68 # 80-77 BOGOTA CUNDINAMARCA</t>
  </si>
  <si>
    <t>C813_00000000000876</t>
  </si>
  <si>
    <t>MANSION 8 MONTEVIDEO</t>
  </si>
  <si>
    <t>CALLE 17A # 69F-15 BOGOTA</t>
  </si>
  <si>
    <t>MANSION</t>
  </si>
  <si>
    <t>C813_00000000000716</t>
  </si>
  <si>
    <t>CALLE 98 # 50 - 52 BARRANQUILLA</t>
  </si>
  <si>
    <t>C813_00000000007428</t>
  </si>
  <si>
    <t>DIAGONAL 3 #14A-16 MOSQUERA, CUNDINAMARCA</t>
  </si>
  <si>
    <t>C813_00000000004381</t>
  </si>
  <si>
    <t>CALLE 44 # 65-100 MEDELLIN ANTIOQUIA</t>
  </si>
  <si>
    <t>C813_00000000005031</t>
  </si>
  <si>
    <t>CARRERA 13 # 15-62  BOGOTA</t>
  </si>
  <si>
    <t>C813_00000000000688</t>
  </si>
  <si>
    <t>EXITO PEREIRA</t>
  </si>
  <si>
    <t>CRA 10 # 14-71 PEREIRA RISARALDA</t>
  </si>
  <si>
    <t>C813_00000000004531</t>
  </si>
  <si>
    <t>ELECTROMUEBLES ARAUCA</t>
  </si>
  <si>
    <t>CRA 16 # 19-29 ARAUCA ARAUCA</t>
  </si>
  <si>
    <t>GROUP NORORIENTE</t>
  </si>
  <si>
    <t>ELECTROMUEBLES</t>
  </si>
  <si>
    <t>ARAUCA</t>
  </si>
  <si>
    <t>C813_00000000000112</t>
  </si>
  <si>
    <t>CALLE 134 # 9-51 BOGOTA CUNDINAMARCA</t>
  </si>
  <si>
    <t>CORDOBA</t>
  </si>
  <si>
    <t>C813_00000000004338</t>
  </si>
  <si>
    <t>MULTIELECTRO MEDELLIN PRINCIPAL</t>
  </si>
  <si>
    <t>CALLE 50 # 53-59 MEDELLIN ANTIOQUIA</t>
  </si>
  <si>
    <t>C813_00000000000527</t>
  </si>
  <si>
    <t>MULTIELECTRO MULTIELECTRO 2</t>
  </si>
  <si>
    <t>CALLE 50 #52-35 MEDELLIN ANTIOQUIA</t>
  </si>
  <si>
    <t>C813_00000000001001</t>
  </si>
  <si>
    <t>EXITO PITALITO</t>
  </si>
  <si>
    <t>CR 15 # 19 - 31 SUR, BARRIO SOLARTE, CC GRAN PLAZA SAN ANTONIO</t>
  </si>
  <si>
    <t>PITALITO</t>
  </si>
  <si>
    <t>C813_00000000006477</t>
  </si>
  <si>
    <t>ALCA ELECTRO ASES LA 13</t>
  </si>
  <si>
    <t>CARRERA 13 # 14-74</t>
  </si>
  <si>
    <t>ALCA</t>
  </si>
  <si>
    <t>ALCA_0004</t>
  </si>
  <si>
    <t>ALCA LA 17</t>
  </si>
  <si>
    <t>CRA 13 # 15-22</t>
  </si>
  <si>
    <t>C813_00000000006505</t>
  </si>
  <si>
    <t>AV BOLIVAR # 6-02 LOCAL 117 ARMENIA QUINDIO</t>
  </si>
  <si>
    <t>QUINDIO</t>
  </si>
  <si>
    <t>C813_00000000001241</t>
  </si>
  <si>
    <t>CALLE 71 # 65-150 PARQUE COMERCIAL FLORIDA LOCAL 24-25 MEDELLIN ANTIOQUIA</t>
  </si>
  <si>
    <t>C813_00000000004384</t>
  </si>
  <si>
    <t>CARRERA 49, CL. 32B SUR #24, ENVIGADO, ANTIOQUIA</t>
  </si>
  <si>
    <t>C813_00000000000020</t>
  </si>
  <si>
    <t>EXITO IBAGUE</t>
  </si>
  <si>
    <t>CRA 5 # 80-60 IBAGUE TOLIMA</t>
  </si>
  <si>
    <t>C813_00000000001107</t>
  </si>
  <si>
    <t>CARRERA7A # 10-51 CALI VALLE DEL CAUCA</t>
  </si>
  <si>
    <t>C813_00000000000312</t>
  </si>
  <si>
    <t>CRA 9 # 24A -21 POPAYAN CAUCA</t>
  </si>
  <si>
    <t>POPAYAN</t>
  </si>
  <si>
    <t>CAUCA</t>
  </si>
  <si>
    <t>C813_00000000006817</t>
  </si>
  <si>
    <t>CARRERA  7A # 33 - 77 / 199  GIRARDOT</t>
  </si>
  <si>
    <t>GIRARDOT</t>
  </si>
  <si>
    <t>C813_00000000001113</t>
  </si>
  <si>
    <t>ELECTROJAPONESA AREA 17 PALMIRA NUEVO</t>
  </si>
  <si>
    <t>CALLE 29 # 26A-29</t>
  </si>
  <si>
    <t>PALMIRA</t>
  </si>
  <si>
    <t>C813_00000000000445</t>
  </si>
  <si>
    <t>ELECTROJAPONESA TULUA</t>
  </si>
  <si>
    <t>CRA 24 # 25-60 JOSE LUIS ARANGO PBX: 226-2909 TULUA VALLE DEL CAUCA</t>
  </si>
  <si>
    <t>C813_00000000000439</t>
  </si>
  <si>
    <t>BUGALAGRANDE</t>
  </si>
  <si>
    <t>C813_00000000000301</t>
  </si>
  <si>
    <t>CARRERA 65 # 45-85 MEDELLIN, ANTIOQUIA</t>
  </si>
  <si>
    <t>C813_00000000004378</t>
  </si>
  <si>
    <t>AVENIDA 6A NORTE # 35-00 SANTA CALI VALLE DEL CAUCA</t>
  </si>
  <si>
    <t>C813_00000000000943</t>
  </si>
  <si>
    <t>CARRERA 72 # 80 - 94 PISO 3</t>
  </si>
  <si>
    <t>C813_00000000000054</t>
  </si>
  <si>
    <t>EXITO POPAYAN</t>
  </si>
  <si>
    <t>CRA 9 # 6N-03 POPAYAN - CAUCA</t>
  </si>
  <si>
    <t>C813_00000000006481</t>
  </si>
  <si>
    <t>CALLE 34 #2-45 LOCAL L1 103</t>
  </si>
  <si>
    <t>CARTAGO</t>
  </si>
  <si>
    <t>C813_00000000001062</t>
  </si>
  <si>
    <t>EXITO UNICENTRO ARMENIA</t>
  </si>
  <si>
    <t>CRA 14 # 14-34 (CENTRO COMERCIAL UNICENTRO)  ARMENIA QUINDIO</t>
  </si>
  <si>
    <t>C813_00000000000875</t>
  </si>
  <si>
    <t>MANSION 7 DIGITAL</t>
  </si>
  <si>
    <t>CARRERA 13 # 16-15 BOGOTA CUNDINAMARCA</t>
  </si>
  <si>
    <t>C813_00000000000514</t>
  </si>
  <si>
    <t>MANSION 3 TERRITORIO</t>
  </si>
  <si>
    <t>CRA 13 # 16-06 BOGOTA</t>
  </si>
  <si>
    <t>OCCIDENTE</t>
  </si>
  <si>
    <t>C813_00000000005551</t>
  </si>
  <si>
    <t>CARRERA 7N # 30B-139 SOACHA CUNDINAMARCA</t>
  </si>
  <si>
    <t>C813_00000000000198</t>
  </si>
  <si>
    <t>CRA 5A # 19-23 NEIVA HUILA</t>
  </si>
  <si>
    <t>OLIMPICA</t>
  </si>
  <si>
    <t>C813_00000000000708</t>
  </si>
  <si>
    <t>EXITO CAUCASIA</t>
  </si>
  <si>
    <t>CRA 20 # 28-12 BARRIO LA Y CAUCASIA ANTIOQUIA</t>
  </si>
  <si>
    <t>CAUCASIA</t>
  </si>
  <si>
    <t>C813_00000000006815</t>
  </si>
  <si>
    <t>CBB BUCARAMANGA</t>
  </si>
  <si>
    <t>CARRERA 27 # 36-07</t>
  </si>
  <si>
    <t>COMBESTBUY</t>
  </si>
  <si>
    <t>C813_00000000004072</t>
  </si>
  <si>
    <t>INVERSIONES ARENAS ARSE BUCARAMANGA</t>
  </si>
  <si>
    <t>CRA 15 #37-55</t>
  </si>
  <si>
    <t>ARENAS</t>
  </si>
  <si>
    <t>C813_00000000003205</t>
  </si>
  <si>
    <t>INVERSIONES ARENAS BUCARAMANGA GAMAS</t>
  </si>
  <si>
    <t>CALLE 36 # 21-50 BUCARAMANGA SANTANDER</t>
  </si>
  <si>
    <t>C813_00000000003203</t>
  </si>
  <si>
    <t>INVERSIONES ARENAS BUCARAMANGA TECNOHOGAR</t>
  </si>
  <si>
    <t>CALLE 36 # 15-66 BUCARAMANGA SANTANDER</t>
  </si>
  <si>
    <t>C813_00000000006121</t>
  </si>
  <si>
    <t>MANSION GRANADA META</t>
  </si>
  <si>
    <t>GRANADA</t>
  </si>
  <si>
    <t>C813_00000000006933</t>
  </si>
  <si>
    <t>MALLPLAZA NQS, AV CIUDAD DE LIMA #28 – 80 LOCAL B-65, BOGOTÁ</t>
  </si>
  <si>
    <t>C813_00000000000700</t>
  </si>
  <si>
    <t>EXITO SAN PEDRO NEIVA</t>
  </si>
  <si>
    <t>CRA 26 # 39 - 50 NEIVA</t>
  </si>
  <si>
    <t>C813_00000000005097</t>
  </si>
  <si>
    <t>FALABELLA JARDIN PLAZA</t>
  </si>
  <si>
    <t>CALLE 25 # 98-416 LOCAL 229 CENTRO COMERCIAL JARDIN PLAZA CALI VALLE DEL CAUCA</t>
  </si>
  <si>
    <t>C813_00000000000740</t>
  </si>
  <si>
    <t>CARRERA 100 # 103-45 APARTADO  - ANTIOQUIA</t>
  </si>
  <si>
    <t>APARTADO</t>
  </si>
  <si>
    <t>C813_00000000000495</t>
  </si>
  <si>
    <t>JALBOR FULL HOGAR MEDELLIN 2</t>
  </si>
  <si>
    <t>CALLE 50 # 52-33 MEDELLIN ANTIOQUIA</t>
  </si>
  <si>
    <t>JALBOR</t>
  </si>
  <si>
    <t>C813_00000000000494</t>
  </si>
  <si>
    <t>CALLE 50 # 53-65 MEDELLIN ANTIOQUIA</t>
  </si>
  <si>
    <t>C813_00000000006507</t>
  </si>
  <si>
    <t>FALABELLA ARKADIA</t>
  </si>
  <si>
    <t>CRA. 70 # 1-141 MEDELLIN</t>
  </si>
  <si>
    <t>C813_00000000000146</t>
  </si>
  <si>
    <t>CALLE 93 # 45B-90 BARRANQUILLA ATLANTICO</t>
  </si>
  <si>
    <t>C813_00000000000010</t>
  </si>
  <si>
    <t>FALABELLA SANTAFE MEDELLIN</t>
  </si>
  <si>
    <t>CRA 43A # 7 SUR-170  CENTRO COMERCIAL SANTAFE MEDELLIN MEDELLIN ANTIOQUIA</t>
  </si>
  <si>
    <t>C813_00000000000288</t>
  </si>
  <si>
    <t>ALKOSTO PASTO CENTRO</t>
  </si>
  <si>
    <t>CALLE 19 # 28 - 89 PASTO NARIÑO</t>
  </si>
  <si>
    <t>ALKOSTO PASTO</t>
  </si>
  <si>
    <t>C813_00000000001132</t>
  </si>
  <si>
    <t>CRA 23 # 29-145 LOCAL 101 BUCARAMANGA SANTANDER</t>
  </si>
  <si>
    <t>C813_00000000000168</t>
  </si>
  <si>
    <t>CALLE 23 # 7-150  SANTA MARTA MAGDALENA</t>
  </si>
  <si>
    <t>C813_00000000000727</t>
  </si>
  <si>
    <t>CALLE 16 # 98 - 155 CALI VALLE DEL CAUCA</t>
  </si>
  <si>
    <t>C813_00000000000516</t>
  </si>
  <si>
    <t>AUTOPISTA NORTE # 127B BIS-05</t>
  </si>
  <si>
    <t>C813_00000000000334</t>
  </si>
  <si>
    <t>CALLE 146A # 106-20 BOGOTA</t>
  </si>
  <si>
    <t>C813_00000000001067</t>
  </si>
  <si>
    <t>EXITO FLORENCIA</t>
  </si>
  <si>
    <t>CARRERA 3A BIS # 21A-14</t>
  </si>
  <si>
    <t>FLORENCIA</t>
  </si>
  <si>
    <t>CAQUETA</t>
  </si>
  <si>
    <t>C813_00000000000131</t>
  </si>
  <si>
    <t>CALLE 30 # 30-30 BARRANQUILLA ATLANTICO</t>
  </si>
  <si>
    <t>C813_00000000000111</t>
  </si>
  <si>
    <t>EXITO CENTRO MAYOR</t>
  </si>
  <si>
    <t>CALLE 38 A SUR # 34D-51 BOGOTA</t>
  </si>
  <si>
    <t>C813_00000000000101</t>
  </si>
  <si>
    <t>EXITO SAN ANTONIO</t>
  </si>
  <si>
    <t>CALLE 48 # 46-115 MEDELLIN ANTIOQUIA</t>
  </si>
  <si>
    <t>FLORIDABLANCA</t>
  </si>
  <si>
    <t>C813_00000000000018</t>
  </si>
  <si>
    <t>CARRERA 51 B # 87-50 BARRANQUILLA ATLANTICO</t>
  </si>
  <si>
    <t>C813_00000000000009</t>
  </si>
  <si>
    <t>FALABELLA SAN DIEGO</t>
  </si>
  <si>
    <t>CRA 43 # 36-04 CENTRO COMERCIAL SANDIEGO MEDELLIN ANTIOQUIA</t>
  </si>
  <si>
    <t>C813_00000000000098</t>
  </si>
  <si>
    <t>CALLE 10 # 43E-135 MEDELLIN ANTIOQUIA</t>
  </si>
  <si>
    <t>C813_00000000000115</t>
  </si>
  <si>
    <t>EXITO BUCARAMANGA</t>
  </si>
  <si>
    <t>CARRERA 17 # 45-77 BUCARAMANGA SANTANDER</t>
  </si>
  <si>
    <t>C813_00000000000722</t>
  </si>
  <si>
    <t>EXITO CASTELLANA CARTAGENA</t>
  </si>
  <si>
    <t>AV PEDRO DE HEREDIA SECTOR VILLA SANDRA # 30-14 CARTAGENA DE INDIAS BOLIVAR</t>
  </si>
  <si>
    <t>C813_00000000000433</t>
  </si>
  <si>
    <t>ELECTROJAPONESA AREA 10 PRINCIPAL CALI</t>
  </si>
  <si>
    <t>CALLE 11 # 6-50 DIEGO TORO 889-9898 CALI VALLE DEL CAUCA</t>
  </si>
  <si>
    <t>C813_00000000001112</t>
  </si>
  <si>
    <t>CALLE 11 # 8-73 ALFONSO SIERRA FAX: 553-0566 JAMUNDI VALLE DEL CAUCA</t>
  </si>
  <si>
    <t>C813_00000000001115</t>
  </si>
  <si>
    <t>CRA 4 # 6-01 AURELIA MORALES  YUMBO VALLE DEL CAUCA</t>
  </si>
  <si>
    <t>YUMBO</t>
  </si>
  <si>
    <t>C813_00000000004452</t>
  </si>
  <si>
    <t>FALABELLA FONTANAR</t>
  </si>
  <si>
    <t>KM 2.5 VIA CHIA-CAJICA COSTADO ORIENTAL LOCAL ANCALLEA # 4 CHIA CUNDINAMARCA</t>
  </si>
  <si>
    <t>C813_00000000007030</t>
  </si>
  <si>
    <t>CALLE 8 #5-46</t>
  </si>
  <si>
    <t>DUBO</t>
  </si>
  <si>
    <t>C813_00000000002374</t>
  </si>
  <si>
    <t>HVC 2 CUCUTA ISLA DEL CONDE</t>
  </si>
  <si>
    <t>CALLE 8 # 5-48 CUCUTA NORTE DE SANTANDER</t>
  </si>
  <si>
    <t>HVC</t>
  </si>
  <si>
    <t>C813_00000000000295</t>
  </si>
  <si>
    <t>TRANVERSAL 91 # 135-56 BOGOTA CUNDINAMARCA</t>
  </si>
  <si>
    <t>C813_00000000006857</t>
  </si>
  <si>
    <t>CALLE 30 # 6B 25</t>
  </si>
  <si>
    <t>C813_00000000003070</t>
  </si>
  <si>
    <t>MERCACENTRO N10 PRINCIPAL</t>
  </si>
  <si>
    <t>CARRERA 16 SUR # 96-48 IBAGUE TOLIMA</t>
  </si>
  <si>
    <t>MERCACENTRO</t>
  </si>
  <si>
    <t>C813_00000000000517</t>
  </si>
  <si>
    <t>MERCACENTRO N1 CENTRO</t>
  </si>
  <si>
    <t>CRA 1 # 13-71 IBAGUE - TOLIMA</t>
  </si>
  <si>
    <t>C813_00000000004369</t>
  </si>
  <si>
    <t>KM 27 VIA CHIA  - CAJICA, CAJICA</t>
  </si>
  <si>
    <t>C813_00000000003120</t>
  </si>
  <si>
    <t>AGAVAL FLORIDA</t>
  </si>
  <si>
    <t>CALLE 71 # 65-150 MEDELLIN ANTIOQUIA</t>
  </si>
  <si>
    <t>C813_00000000003119</t>
  </si>
  <si>
    <t>AGAVAL ORIENTAL</t>
  </si>
  <si>
    <t>CRA 46 # 47-40 MEDELLIN ANTIOQUIA</t>
  </si>
  <si>
    <t>C813_00000000004612</t>
  </si>
  <si>
    <t>AGAVAL JUNIN</t>
  </si>
  <si>
    <t>CRA 49 # 48-46 MEDELLIN ANTIOQUIA</t>
  </si>
  <si>
    <t>C813_00000000004380</t>
  </si>
  <si>
    <t>AVENIDA LOS INDUSTRIALES # 14-135 MEDELLIN ANTIOQUIA</t>
  </si>
  <si>
    <t>C813_00000000000747</t>
  </si>
  <si>
    <t>CALLE 43 # 54 - 139 CC. SAN NICOLAS. LOCAL 1233 RIONEGRO ANTIOQUIA</t>
  </si>
  <si>
    <t>C813_00000000004946</t>
  </si>
  <si>
    <t>CRA 16 # 41-10 CENTRO COMERCIAL SAN JUAN PLAZA</t>
  </si>
  <si>
    <t>C813_00000000003556</t>
  </si>
  <si>
    <t>JL&amp;RB INTERELEC PASTO</t>
  </si>
  <si>
    <t>CALLE 19 NO 26-58 CENTRO PASTO - NARIÑO</t>
  </si>
  <si>
    <t>JL&amp;RB</t>
  </si>
  <si>
    <t>C813_00000000001059</t>
  </si>
  <si>
    <t>CRA 27 # 35-37 BUCARAMANGA SANTANDER</t>
  </si>
  <si>
    <t>C813_00000000000710</t>
  </si>
  <si>
    <t>AVENIDA DEMETRIO MENDOZA  DIAGONAL SANTANDER, CUCUTA, NORTE DE SANTANDER</t>
  </si>
  <si>
    <t>C813_00000000001103</t>
  </si>
  <si>
    <t>CRA 13 # 31-45 CHAMBACU CENTRO COMERCIAL MALL PLAZA CARTAGENA DE INDIAS BOLIVAR</t>
  </si>
  <si>
    <t>C813_00000000000785</t>
  </si>
  <si>
    <t>EXITO MANIZALES</t>
  </si>
  <si>
    <t>CRA 20 # 34-18 CENTRO COMERCIAL FUNDADORES MANIZALES CALDAS</t>
  </si>
  <si>
    <t>C813_00000000000684</t>
  </si>
  <si>
    <t>EXITO RIONEGRO</t>
  </si>
  <si>
    <t>CALLE 43 # 54 - 139 RIONEGRO CENTRO COMERCIAL SAN NICOLAS</t>
  </si>
  <si>
    <t>C813_00000000004386</t>
  </si>
  <si>
    <t>CARRERA  53 # 99-160 BARRANQUILLA  ATLANTICO</t>
  </si>
  <si>
    <t>C813_00000000000309</t>
  </si>
  <si>
    <t>CL. 29D # 22-108 CARTAGENA, BOLIVAR</t>
  </si>
  <si>
    <t>ALCA_0001</t>
  </si>
  <si>
    <t>ALCA ELECTROASES LA 14 BOGOTA</t>
  </si>
  <si>
    <t>CALLE 14# 13-58</t>
  </si>
  <si>
    <t>ALCA_0005</t>
  </si>
  <si>
    <t>ALCA PUNTO CHALLENGER</t>
  </si>
  <si>
    <t>CRA 13 # 16-98</t>
  </si>
  <si>
    <t>C813_00000000005547</t>
  </si>
  <si>
    <t>ELECTROASES TTL</t>
  </si>
  <si>
    <t>CARRERA 13 # 15-30</t>
  </si>
  <si>
    <t>C813_00000000000714</t>
  </si>
  <si>
    <t>EXITO ALAMEDAS DEL SINU MONTERIA</t>
  </si>
  <si>
    <t>CALLE 48 # 13-14  MONTERIA</t>
  </si>
  <si>
    <t>C813_00000000004677</t>
  </si>
  <si>
    <t>CRA 3RA # 15ª-57 C.C. ECO PLAZA LOCAL 255-256 MOSQUERA CUNDINAMARCA</t>
  </si>
  <si>
    <t>C813_00000000000520</t>
  </si>
  <si>
    <t>MERCACENTRO N6</t>
  </si>
  <si>
    <t>CRA 4 # 7 - 04 ESPINAL - TOLIMA</t>
  </si>
  <si>
    <t>ESPINAL</t>
  </si>
  <si>
    <t>C813_00000000000745</t>
  </si>
  <si>
    <t>CALLE 51 SUR # 48-57-SABANETA LOC # 2199-2201 MEDELLIN ANTIOQUIA</t>
  </si>
  <si>
    <t>SABANETA</t>
  </si>
  <si>
    <t>C813_00000000000138</t>
  </si>
  <si>
    <t>CALLE 53 # 46-38</t>
  </si>
  <si>
    <t>C813_00000000001237</t>
  </si>
  <si>
    <t>DIAG 56 # 18A-88 BARRANCABERMEJA SANTANDER</t>
  </si>
  <si>
    <t>C813_00000000000105</t>
  </si>
  <si>
    <t>CRA 59 A # 79-30 BOGOTA</t>
  </si>
  <si>
    <t>C813_00000000000032</t>
  </si>
  <si>
    <t>EXITO COLOMBIA</t>
  </si>
  <si>
    <t>CRA 66 No 49 - 01 MEDELLIN ANTIOQUIA</t>
  </si>
  <si>
    <t>C813_00000000000001</t>
  </si>
  <si>
    <t>FALABELLA CENTRO MAYOR</t>
  </si>
  <si>
    <t>CALLE 38 A SUR # 34D-51 MUELLE FALABELLA BOGOTA</t>
  </si>
  <si>
    <t>C813_00000000006417</t>
  </si>
  <si>
    <t>AVENIDA ANILLO VIAL ORIENTAL # 13-70 CUCUTA NORTE DE SANTANDER</t>
  </si>
  <si>
    <t>C813_00000000000287</t>
  </si>
  <si>
    <t>CALLE 22 # 6-28 PASTO NARIÑO</t>
  </si>
  <si>
    <t>C813_00000000001057</t>
  </si>
  <si>
    <t>TV 93 # 34-99 BUCARAMANGA SANTANDER</t>
  </si>
  <si>
    <t>C813_00000000000109</t>
  </si>
  <si>
    <t>EXITO SAN FERNANDO</t>
  </si>
  <si>
    <t>CALLE 5 # 38D-35 CALI VALLE DEL CAUCA</t>
  </si>
  <si>
    <t>C813_00000000005387</t>
  </si>
  <si>
    <t>EXITO SOACHA</t>
  </si>
  <si>
    <t>CARRERA 7 # 30 B -139 SOACHA  - CUNDINAMARCA</t>
  </si>
  <si>
    <t>C813_00000000001140</t>
  </si>
  <si>
    <t>CLARO CAV E PLAZA DE LAS AMERICAS</t>
  </si>
  <si>
    <t>C813_00000000000753</t>
  </si>
  <si>
    <t>CLARO CAV SOACHA</t>
  </si>
  <si>
    <t>CARRERA 7 # 32-35 SOACHA - CUNDINAMARCA</t>
  </si>
  <si>
    <t>C813_00000000006396</t>
  </si>
  <si>
    <t>C813_00000000000005</t>
  </si>
  <si>
    <t>FALABELLA SANTAFE</t>
  </si>
  <si>
    <t>CALLE 183 # 45-03 MUELLE FALABELLA BOGOTA</t>
  </si>
  <si>
    <t>C813_00000000005705</t>
  </si>
  <si>
    <t>CARRERA 3 # 15A-57</t>
  </si>
  <si>
    <t>C813_00000000005391</t>
  </si>
  <si>
    <t>AV. BOYACA # 145-2 BOGOTA</t>
  </si>
  <si>
    <t>C813_00000000000289</t>
  </si>
  <si>
    <t>CRA 5 # 8-26 IPIALES NARI#</t>
  </si>
  <si>
    <t>C813_00000000000034</t>
  </si>
  <si>
    <t>AVENIDA 15 # 123-30 BOGOTA CUNDINAMARCA</t>
  </si>
  <si>
    <t>FUSAGASUGA</t>
  </si>
  <si>
    <t>C813_00000000005101</t>
  </si>
  <si>
    <t>PIEDECUESTA</t>
  </si>
  <si>
    <t>C813_00000000005012</t>
  </si>
  <si>
    <t>CARRERA 100 # 19-57 BOGOTA - CUNDINAMARCA</t>
  </si>
  <si>
    <t>DUITAMA</t>
  </si>
  <si>
    <t>C813_00000000000006</t>
  </si>
  <si>
    <t>AV 15 # 123-30 MUELLE 8 FALABELLA BOGOTA</t>
  </si>
  <si>
    <t>C813_00000000003336</t>
  </si>
  <si>
    <t>CLARO CAV CENTRO T</t>
  </si>
  <si>
    <t>AVENIDA CARRERA 27 # 38 A - 27 SUR  BOGOTA - CUNDINAMARCA</t>
  </si>
  <si>
    <t>C813_00000000001218</t>
  </si>
  <si>
    <t>DIAG 55# 35-217 CC PTA DEL NORTE LOC 2043 20542055 BELLO ANTIOQUIA 2DA TORRE</t>
  </si>
  <si>
    <t>C813_00000000006340</t>
  </si>
  <si>
    <t>CLARO CAV GRAN PLAZA BOSA</t>
  </si>
  <si>
    <t>CALLE 65 SUR # 78 H-51 BOGOTA - CUNDINAMARCA</t>
  </si>
  <si>
    <t>C813_00000000005102</t>
  </si>
  <si>
    <t>CARRERA 71 # 29-100</t>
  </si>
  <si>
    <t>C813_00000000000596</t>
  </si>
  <si>
    <t>CLARO CAV ALAMOS</t>
  </si>
  <si>
    <t>CALLE 71B # 100-11</t>
  </si>
  <si>
    <t>C813_00000000000319</t>
  </si>
  <si>
    <t>CRA 92 # 60-90 SUR BOGOTA</t>
  </si>
  <si>
    <t>C813_00000000000333</t>
  </si>
  <si>
    <t>CRA 7 # 32-25 SOACHA BOGOTA</t>
  </si>
  <si>
    <t>C813_00000000000685</t>
  </si>
  <si>
    <t>EXITO CARTAGENA</t>
  </si>
  <si>
    <t>AV PEDRO DE HEREDIA # 69-75 SECTOR LA CONTADORA CARTAGENA DE INDIAS BOLIVAR</t>
  </si>
  <si>
    <t>C813_00000000000619</t>
  </si>
  <si>
    <t>CLARO CAV KENNEDY</t>
  </si>
  <si>
    <t>AVENIDA CARRERA 80 # 44-19 SUR BOGOTA - CUNDINAMARCA</t>
  </si>
  <si>
    <t>C813_00000000006274</t>
  </si>
  <si>
    <t>CRA 14 # 56D-1 MANIZALES CALDAS</t>
  </si>
  <si>
    <t>SAN GIL</t>
  </si>
  <si>
    <t>OLIMPICA SAO 93</t>
  </si>
  <si>
    <t>C813_00000000000864</t>
  </si>
  <si>
    <t>EXITO DEL ESTE</t>
  </si>
  <si>
    <t>CARRERA 25 # 3 - 01 MEDELLIN</t>
  </si>
  <si>
    <t>C813_00000000001061</t>
  </si>
  <si>
    <t>EXITO SIMON BOLIVAR</t>
  </si>
  <si>
    <t>CALLE 70 # 28D - 20</t>
  </si>
  <si>
    <t>C813_00000000006341</t>
  </si>
  <si>
    <t>C813_00000000003349</t>
  </si>
  <si>
    <t>CLARO CAV PLAZA IMPERIAL T</t>
  </si>
  <si>
    <t>CARRERA 104 # 148 - 07  BOGOTA - CUNDINAMARCA</t>
  </si>
  <si>
    <t>C813_00000000006342</t>
  </si>
  <si>
    <t>C813_00000000000342</t>
  </si>
  <si>
    <t>CRA 14 # 29-116  SANTA MARTA MAGDALENA</t>
  </si>
  <si>
    <t>C813_00000000006155</t>
  </si>
  <si>
    <t>CLARO CAV PLAZA CLARO</t>
  </si>
  <si>
    <t>CRA 68 A # 24 B-10</t>
  </si>
  <si>
    <t>C813_00000000000726</t>
  </si>
  <si>
    <t>CRA 16 CON CALLE 103 CC COMERCIAL UNICO LOCAL 231 BARRIO FONTANAR</t>
  </si>
  <si>
    <t>C813_00000000005816</t>
  </si>
  <si>
    <t>TRASVERSAL 29 # 29-69 MONTERIA CORDOBA</t>
  </si>
  <si>
    <t>C813_00000000000689</t>
  </si>
  <si>
    <t>CRA 19 # 28-76 CENTRO COMERCIAL LA HERRADURA TULUA VALLE DEL CAUCA</t>
  </si>
  <si>
    <t>C813_00000000006464</t>
  </si>
  <si>
    <t>AVENIDA BOYACA  # 72 # 12B -18 BOGOTA</t>
  </si>
  <si>
    <t>C813_00000000004995</t>
  </si>
  <si>
    <t>FALABELLA ACQUA</t>
  </si>
  <si>
    <t>CALLE 57 # 60K-8E AV GUABINAL CENTRO COMERCIAL ACQUA IBAGUE TOLIMA</t>
  </si>
  <si>
    <t>C813_00000000000784</t>
  </si>
  <si>
    <t>EXITO BARRANCABERMEJA</t>
  </si>
  <si>
    <t>CALLE 50 # 10-75 BARRANCABERMEJA SANTANDER</t>
  </si>
  <si>
    <t>C813_00000000000746</t>
  </si>
  <si>
    <t>CALLE 30A # 82A-26 LOC 1101-1301-1305 MEDELLIN ANTIOQUIA</t>
  </si>
  <si>
    <t>C813_00000000005050</t>
  </si>
  <si>
    <t>CLARO CAV TOBERIN</t>
  </si>
  <si>
    <t>C813_00000000005038</t>
  </si>
  <si>
    <t>ALKOSTO PASTO IPIALES GRAN PLAZA</t>
  </si>
  <si>
    <t>CRA 6 # 24 49 CC GRAN PLAZA IPIALES NARINO</t>
  </si>
  <si>
    <t>C813_00000000004631</t>
  </si>
  <si>
    <t>CARRERA 19 # 60-180 CC LA ESTACION IBAGUE TOLIMA</t>
  </si>
  <si>
    <t>C813_00000000006801</t>
  </si>
  <si>
    <t>CALLE 40 # 50-205 BELLO ANTIOQUIA</t>
  </si>
  <si>
    <t>C813_00000000000632</t>
  </si>
  <si>
    <t>CLARO CAV RESTREPO</t>
  </si>
  <si>
    <t>AV CARACAS # 10-09 BOGOTA - CUNDINAMARCA</t>
  </si>
  <si>
    <t>C813_00000000005002</t>
  </si>
  <si>
    <t>CALLE 36 # 6A - 65  CENTRO COMERCIAL PACIFIC MALL WORLD TRADE CENTER CALI VALLE DEL CAUCA</t>
  </si>
  <si>
    <t>C813_00000000000641</t>
  </si>
  <si>
    <t>CLARO CAV VENECIA</t>
  </si>
  <si>
    <t>AV CARRERA 68 # 39 I - 37 SUR  BOGOTA - CUNDINAMARCA</t>
  </si>
  <si>
    <t>C813_00000000005978</t>
  </si>
  <si>
    <t>CALLE 28 # 25B-97 SINCELEJO SUCRE</t>
  </si>
  <si>
    <t>C813_00000000000696</t>
  </si>
  <si>
    <t>EXITO SUBA</t>
  </si>
  <si>
    <t>CALLE 145 # 105B - 58 BOGOTA</t>
  </si>
  <si>
    <t>C813_00000000006659</t>
  </si>
  <si>
    <t>CARRERA 24 # 2A-91 FUSAGASUGA CUNDINAMARCA</t>
  </si>
  <si>
    <t>C813_00000000000002</t>
  </si>
  <si>
    <t>FALABELLA GALERIAS</t>
  </si>
  <si>
    <t>CALLE 53 #  25 - 30 BOGOTA CUNDINAMARCA</t>
  </si>
  <si>
    <t>AGUACHICA</t>
  </si>
  <si>
    <t>OLIMPICA SAO 53</t>
  </si>
  <si>
    <t>C813_00000000000703</t>
  </si>
  <si>
    <t>EXITO BOSA</t>
  </si>
  <si>
    <t>CALLE 65 SUR # 78H-54 BOSA BOGOTA</t>
  </si>
  <si>
    <t>C813_00000000006331</t>
  </si>
  <si>
    <t>AV UNIVERSITARIA # 50-21 LOCAL 100 TUNJA BOYACA</t>
  </si>
  <si>
    <t>TOLUCA</t>
  </si>
  <si>
    <t>1001271214</t>
  </si>
  <si>
    <t>ZAPATA SANCHEZ JHERALD ESTEBAN</t>
  </si>
  <si>
    <t>EXITO UNICALI</t>
  </si>
  <si>
    <t>1030700828</t>
  </si>
  <si>
    <t>VILLALBA PATIÑO XIOMY JOHANA</t>
  </si>
  <si>
    <t xml:space="preserve">CLARO </t>
  </si>
  <si>
    <t>SED INTERNATIONAL</t>
  </si>
  <si>
    <t>1121930285</t>
  </si>
  <si>
    <t>VELASQUEZ ROBAYO YERSON NORBEY</t>
  </si>
  <si>
    <t>1098769531</t>
  </si>
  <si>
    <t>VELÁSQUEZ LUNA MARCOS DAVID</t>
  </si>
  <si>
    <t>1031806931</t>
  </si>
  <si>
    <t>VELASCO PEÑA LAURA VALENTINA</t>
  </si>
  <si>
    <t>1093592437</t>
  </si>
  <si>
    <t>VARELA SAMUDIO MARIAN DE LOS ANGELES</t>
  </si>
  <si>
    <t>1049265413</t>
  </si>
  <si>
    <t>VANEGAS OSPINO ALEXANDER</t>
  </si>
  <si>
    <t>OLIMPICA Hipodromo</t>
  </si>
  <si>
    <t>1026598620</t>
  </si>
  <si>
    <t>VALERA MILLER</t>
  </si>
  <si>
    <t>1033795398</t>
  </si>
  <si>
    <t xml:space="preserve">VALENCIA SALAZAR CARLOS HERNAN </t>
  </si>
  <si>
    <t>1004751941</t>
  </si>
  <si>
    <t>VALENCIA GALVIZ STIVEN</t>
  </si>
  <si>
    <t>1004846568</t>
  </si>
  <si>
    <t>ABRIL PABON MILDRED ROCIO</t>
  </si>
  <si>
    <t>Dubo Cucuta</t>
  </si>
  <si>
    <t>1006007476</t>
  </si>
  <si>
    <t>HERRERA CAICEDO DIANA KATERINE</t>
  </si>
  <si>
    <t>1023032113</t>
  </si>
  <si>
    <t>GUZMAN DIAZ EDWARD SEBASTIAN</t>
  </si>
  <si>
    <t>EXITO COUNTRY</t>
  </si>
  <si>
    <t>1022333605</t>
  </si>
  <si>
    <t>BECERRA LESMES RONAL EDWIN</t>
  </si>
  <si>
    <t>1021803970</t>
  </si>
  <si>
    <t>USUGA LUIS ANGEL</t>
  </si>
  <si>
    <t>EXITO ENVIGADO_1</t>
  </si>
  <si>
    <t>1085345472</t>
  </si>
  <si>
    <t>URBANO FERNANDEZ EVELIN SOFIA</t>
  </si>
  <si>
    <t>ALKOSTO PASTO AVENIDA BOLIVAR</t>
  </si>
  <si>
    <t>CENCOSUD - METRO BOSA</t>
  </si>
  <si>
    <t>1234192558</t>
  </si>
  <si>
    <t>MUÑOZ PULECIO MARLIN YURLEY</t>
  </si>
  <si>
    <t>EXITO LA FLORA</t>
  </si>
  <si>
    <t>1098657422</t>
  </si>
  <si>
    <t>TORRES CACERES PEDRO ANDRES</t>
  </si>
  <si>
    <t>CENCOSUD - METRO SOACHA</t>
  </si>
  <si>
    <t>1098729132</t>
  </si>
  <si>
    <t>TARAZONA JENNIFER DAYANNA</t>
  </si>
  <si>
    <t>C813_00000000003251</t>
  </si>
  <si>
    <t>ALCA ALFA 36</t>
  </si>
  <si>
    <t>CALLE 36 # 18-38 BUCARAMANGA SANTANDER</t>
  </si>
  <si>
    <t>C813_00000000003252</t>
  </si>
  <si>
    <t>ALCA CRR 15</t>
  </si>
  <si>
    <t>CL 41 #15-29, BUCARAMANGA, SANTANDER</t>
  </si>
  <si>
    <t>C813_00000000003241</t>
  </si>
  <si>
    <t>ALCA MULTICREDITO LA 33</t>
  </si>
  <si>
    <t>CALLE 33 # 17-32 CENTRO BUCARAMANGA SANTANDER</t>
  </si>
  <si>
    <t>1010147281</t>
  </si>
  <si>
    <t>TABARES GIRALDO SANTIAGO</t>
  </si>
  <si>
    <t>75075710</t>
  </si>
  <si>
    <t>TABARES CUARTAS ANDRES FELIPE</t>
  </si>
  <si>
    <t>FALABELLA  LA CAROLA</t>
  </si>
  <si>
    <t>1016099708</t>
  </si>
  <si>
    <t>SUAREZ OSORIO BRIAN GERARDO</t>
  </si>
  <si>
    <t>OLIMPICA SAO Sta Mta</t>
  </si>
  <si>
    <t>1016022480</t>
  </si>
  <si>
    <t>TRUJILLO GONZALEZ DIDIER</t>
  </si>
  <si>
    <t>1010034507</t>
  </si>
  <si>
    <t>SUÁREZ GARCÍA BRAYAN STIVEN</t>
  </si>
  <si>
    <t>1104011800</t>
  </si>
  <si>
    <t>SOLORZANO SOLORZANO ALVARO JAVIER</t>
  </si>
  <si>
    <t>1085293171</t>
  </si>
  <si>
    <t>SINISTERRA CAICEDO PEDRO ALONSO</t>
  </si>
  <si>
    <t>1125848112</t>
  </si>
  <si>
    <t xml:space="preserve">SILVA SABANA YERALDINE JASBLEIDY </t>
  </si>
  <si>
    <t>1002461411</t>
  </si>
  <si>
    <t>SIERRA SALAMANCA YESSID FELIPE</t>
  </si>
  <si>
    <t>C813_00000000000729</t>
  </si>
  <si>
    <t>CENCOSUD - METRO DUITAMA</t>
  </si>
  <si>
    <t>CALLE 20A #12 - 70 DUITAMA BOYACA</t>
  </si>
  <si>
    <t>1098828329</t>
  </si>
  <si>
    <t>SERRANO BERRIOS GABRIEL JOSUE</t>
  </si>
  <si>
    <t>1040738209</t>
  </si>
  <si>
    <t>SERNA AREIZA ISABEL CRISTINA</t>
  </si>
  <si>
    <t>1085265017</t>
  </si>
  <si>
    <t>SANTACRUZ MARTINEZ CARLOS ALBERTO</t>
  </si>
  <si>
    <t>FALABELLA WTC Cali</t>
  </si>
  <si>
    <t>1144204889</t>
  </si>
  <si>
    <t>SANCHEZ VALERO CRISTIAN CAMILO</t>
  </si>
  <si>
    <t>C813_00000000004616</t>
  </si>
  <si>
    <t>MERCACENTRO N8</t>
  </si>
  <si>
    <t>CALLE 20 # 11 S-47</t>
  </si>
  <si>
    <t>14476244</t>
  </si>
  <si>
    <t>SANCHEZ PONTE GUSTAVO ADOLFO</t>
  </si>
  <si>
    <t>C813_00000000000250</t>
  </si>
  <si>
    <t>OLIMPICA Buenaventura</t>
  </si>
  <si>
    <t>CALLE 2A #1A - 08, BUENAVENTURA</t>
  </si>
  <si>
    <t>BUENAVENTURA</t>
  </si>
  <si>
    <t>C813_00000000000881</t>
  </si>
  <si>
    <t>OLIMPICA SAO 548 BUENAVENTURA 2 Cr 46</t>
  </si>
  <si>
    <t>CRA 46 # 1-25 BUENAVENTURA VALLE DEL CAUCA</t>
  </si>
  <si>
    <t>1019047327</t>
  </si>
  <si>
    <t>SANCHEZ BALCERO NORMA VICTORIA</t>
  </si>
  <si>
    <t>MANSION 6 BOGOTA CALLE 127</t>
  </si>
  <si>
    <t>EXITO COLINA</t>
  </si>
  <si>
    <t>SODIMAC Homecenter Cajica</t>
  </si>
  <si>
    <t>C813_00000000004608</t>
  </si>
  <si>
    <t>PRICESMART CHIA</t>
  </si>
  <si>
    <t>SC YERBABUENA BAJA CAIRO AUTOP 103, CHIA, CUNDINAMARCA</t>
  </si>
  <si>
    <t>PRICESMART</t>
  </si>
  <si>
    <t>8486505</t>
  </si>
  <si>
    <t>ROVIRA COLLANTE CARLOS EMIGDIO</t>
  </si>
  <si>
    <t>1010212200</t>
  </si>
  <si>
    <t>ROSERO RAMOS BORIS SANTIAGO</t>
  </si>
  <si>
    <t>6386760</t>
  </si>
  <si>
    <t>ROMERO CERPA LORENA CRISTINA</t>
  </si>
  <si>
    <t>1025880011</t>
  </si>
  <si>
    <t>ROLDAN ZAPATA JORGE IVAN</t>
  </si>
  <si>
    <t>SODIMAC Homecenter Medellin San Juan</t>
  </si>
  <si>
    <t>1019118058</t>
  </si>
  <si>
    <t>ROJAS LAZARO JHOAN MATEO</t>
  </si>
  <si>
    <t>1019060946</t>
  </si>
  <si>
    <t>ROJAS HERNANDEZ EDUIN ANDRES</t>
  </si>
  <si>
    <t>CENCOSUD - JUMBO SUBA</t>
  </si>
  <si>
    <t>92518220</t>
  </si>
  <si>
    <t>ROJAS GOMEZ ELKIN DARIO</t>
  </si>
  <si>
    <t>1144209023</t>
  </si>
  <si>
    <t>ROJAS GARCIA NATHALIA</t>
  </si>
  <si>
    <t>1042429464</t>
  </si>
  <si>
    <t>ROJAS CALLE NAIDER YAIR</t>
  </si>
  <si>
    <t>80902976</t>
  </si>
  <si>
    <t>RIVERA RIVERA SERGIO LUIS</t>
  </si>
  <si>
    <t>1019148348</t>
  </si>
  <si>
    <t>RIVERA MENDEZ JUAN DAVID</t>
  </si>
  <si>
    <t>1143431044</t>
  </si>
  <si>
    <t>RIVERA DIAZ MAYRA ALEJANDRA</t>
  </si>
  <si>
    <t>80174317</t>
  </si>
  <si>
    <t>RIOS JHONNATAN SMITH</t>
  </si>
  <si>
    <t>C813_00000000000872</t>
  </si>
  <si>
    <t>EXITO FONTANAR CHIA</t>
  </si>
  <si>
    <t>CALLE DE LA UNIVERSIDAD # 36-90 CHIA CUNDINAMARCA</t>
  </si>
  <si>
    <t>93479113</t>
  </si>
  <si>
    <t>REYES ROMERO FIDEL</t>
  </si>
  <si>
    <t>1007334931</t>
  </si>
  <si>
    <t>RESTREPO HINCAPIE DIEGO ALEJANDRO</t>
  </si>
  <si>
    <t>1065006259</t>
  </si>
  <si>
    <t>REGINO ESPITIA ELIAS RICARDO</t>
  </si>
  <si>
    <t>C813_00000000006230</t>
  </si>
  <si>
    <t>AGAVAL LA CENTRAL</t>
  </si>
  <si>
    <t>CLL 49# 20B - 60 LOC 441</t>
  </si>
  <si>
    <t>C813_00000000003123</t>
  </si>
  <si>
    <t>ELECTROBELLO ITAGUI</t>
  </si>
  <si>
    <t>CRA 51 # 50-43 ITAGUI ANTIOQUIA</t>
  </si>
  <si>
    <t>ELECTROBELLO</t>
  </si>
  <si>
    <t>1010219957</t>
  </si>
  <si>
    <t>RAMIREZ RODRIGUEZ OSCAR DANIEL</t>
  </si>
  <si>
    <t>1003047571</t>
  </si>
  <si>
    <t>RAMIREZ RAMOS LORAINE SOFIA</t>
  </si>
  <si>
    <t>1061801837</t>
  </si>
  <si>
    <t>RAMIREZ MURILLO JOSE DAVID</t>
  </si>
  <si>
    <t>1073690300</t>
  </si>
  <si>
    <t>RAMIREZ JULIETH TATIANA</t>
  </si>
  <si>
    <t>1085949023</t>
  </si>
  <si>
    <t>QUIROZ CUASQUER BRAYAN JHOAN</t>
  </si>
  <si>
    <t>1221970453</t>
  </si>
  <si>
    <t>QUIÑONEZ CAMPUZANO EDWARD FABIÁN</t>
  </si>
  <si>
    <t>SODIMAC Homecenter Santa Marta Buenavista</t>
  </si>
  <si>
    <t>1005871030</t>
  </si>
  <si>
    <t>QUINTANA OSCAR EDUARDO</t>
  </si>
  <si>
    <t>EXITO BUENA VISTA SANTA MARTA</t>
  </si>
  <si>
    <t>1019017366</t>
  </si>
  <si>
    <t>PULIDO PEÑA ANDRES FELIPE</t>
  </si>
  <si>
    <t>1001048168</t>
  </si>
  <si>
    <t>PRIETO CONTRERAS MARIA CAMILA</t>
  </si>
  <si>
    <t>1020817911</t>
  </si>
  <si>
    <t xml:space="preserve">PRIETO CALDERON ESTEFANIA </t>
  </si>
  <si>
    <t>1062957937</t>
  </si>
  <si>
    <t>PORTILLO JESUS DAVID</t>
  </si>
  <si>
    <t>C813_00000000000749</t>
  </si>
  <si>
    <t>EXITO USME</t>
  </si>
  <si>
    <t>CRA 1RA # 65D SUR - 58 BOGOTA</t>
  </si>
  <si>
    <t>1042996566</t>
  </si>
  <si>
    <t>POLO NIETO JOAN ALFRANIS</t>
  </si>
  <si>
    <t>C813_00000000000335</t>
  </si>
  <si>
    <t>CENCOSUD - METRO TINTALITO</t>
  </si>
  <si>
    <t>CRA 86B # 42B-54 SUR BOGOTA CUNDINAMARCA</t>
  </si>
  <si>
    <t>1007497622</t>
  </si>
  <si>
    <t>PEREZ TREJOS JEFREY</t>
  </si>
  <si>
    <t>11224605</t>
  </si>
  <si>
    <t>PEÑA YATE JUAN CARLOS</t>
  </si>
  <si>
    <t>SODIMAC Homecenter Calle 80 Bogota</t>
  </si>
  <si>
    <t>1007598925</t>
  </si>
  <si>
    <t>PEÑA SIVO CAMILO ANDRES</t>
  </si>
  <si>
    <t>1075224928</t>
  </si>
  <si>
    <t>PEÑA CALIMAN JUAN PABLO</t>
  </si>
  <si>
    <t>25876022</t>
  </si>
  <si>
    <t>PASTRANA BUELVAS ELSY LUZ</t>
  </si>
  <si>
    <t>1002148127</t>
  </si>
  <si>
    <t>PARRA LOPEZ YESENIA</t>
  </si>
  <si>
    <t>1007243884</t>
  </si>
  <si>
    <t>PALACIO ZAPATA ANDRES</t>
  </si>
  <si>
    <t>1095941405</t>
  </si>
  <si>
    <t>PABÓN OVIEDO MERILIN YULIETH</t>
  </si>
  <si>
    <t>1023980836</t>
  </si>
  <si>
    <t>OVALLE LAURA DANIELA</t>
  </si>
  <si>
    <t>1143129947</t>
  </si>
  <si>
    <t>OSPINO CARMONA JORGE LUIS</t>
  </si>
  <si>
    <t>C813_00000000005055</t>
  </si>
  <si>
    <t>PRICESMART Barranquilla</t>
  </si>
  <si>
    <t>CALLE 106 # 53-41 BARRANQUILLA ATLANTICO</t>
  </si>
  <si>
    <t>1053810897</t>
  </si>
  <si>
    <t>OSORIO MORALES JULIAN ANDRES</t>
  </si>
  <si>
    <t>1082917947</t>
  </si>
  <si>
    <t>ORELLANO MENDOZA EDGARDO JOSE</t>
  </si>
  <si>
    <t>1055988007</t>
  </si>
  <si>
    <t>OLIVEROS ESTUPIÑAN WILMAN FABIAN</t>
  </si>
  <si>
    <t>1020468301</t>
  </si>
  <si>
    <t>1031153183</t>
  </si>
  <si>
    <t xml:space="preserve">OJEDA ACUÑA KEVIN JOSEPH </t>
  </si>
  <si>
    <t>1005975965</t>
  </si>
  <si>
    <t>OCAMPO OCAÑA MIGUEL ANGEL</t>
  </si>
  <si>
    <t>C813_00000000005057</t>
  </si>
  <si>
    <t>PRICESMART Av Cañas Gordas</t>
  </si>
  <si>
    <t>CRA 121 # 18-34 CALI VALLE DEL CAUCA</t>
  </si>
  <si>
    <t>C813_00000000005058</t>
  </si>
  <si>
    <t>PRICESMART Menga</t>
  </si>
  <si>
    <t>CALLE 64N # 5BN - 183 MENGA CALI VALLE DEL CAUCA</t>
  </si>
  <si>
    <t>1068815010</t>
  </si>
  <si>
    <t>NORIEGA TAPIA LUIS JOSE</t>
  </si>
  <si>
    <t>1214469307</t>
  </si>
  <si>
    <t>NAVA VIDIANNY</t>
  </si>
  <si>
    <t>1193589535</t>
  </si>
  <si>
    <t xml:space="preserve">MURIEL CARMONA JHON ALEJANDRO </t>
  </si>
  <si>
    <t>1002796804</t>
  </si>
  <si>
    <t>AUSECHA ALBERTO</t>
  </si>
  <si>
    <t>1085107910</t>
  </si>
  <si>
    <t>ORTEGA OROZCO JULIO CESAR</t>
  </si>
  <si>
    <t>1061712737</t>
  </si>
  <si>
    <t>MUÑOZ BAHOS JHON ALEJANDRO</t>
  </si>
  <si>
    <t>CENCOSUD - JUMBO POPAYAN CAMPANARIO</t>
  </si>
  <si>
    <t>1152451943</t>
  </si>
  <si>
    <t>MOSQUERA PABLO ANDRES</t>
  </si>
  <si>
    <t>1050951973</t>
  </si>
  <si>
    <t>MOSCOTE ALVAREZ JOHN JAIRO</t>
  </si>
  <si>
    <t>1019126121</t>
  </si>
  <si>
    <t>MORALES RIBON CRISTIAN EDUARDO</t>
  </si>
  <si>
    <t>1075255914</t>
  </si>
  <si>
    <t>MORALES BETANCOURTH LEONARDO</t>
  </si>
  <si>
    <t>1087419262</t>
  </si>
  <si>
    <t>MORA NATIB DIEGO FERNANDO</t>
  </si>
  <si>
    <t>C813_00000000000290</t>
  </si>
  <si>
    <t>ALKOSTO PASTO TUQUERRES</t>
  </si>
  <si>
    <t>CRA 13 # 20-50</t>
  </si>
  <si>
    <t>TUQUERRES</t>
  </si>
  <si>
    <t>1130598039</t>
  </si>
  <si>
    <t>MORA MULCUE TATIANA</t>
  </si>
  <si>
    <t>CENCOSUD - JUMBO VALLE DE LILI</t>
  </si>
  <si>
    <t>71737972</t>
  </si>
  <si>
    <t>MONTOYA POSADA HUGO ARMANDO</t>
  </si>
  <si>
    <t>EXITO POBLADO</t>
  </si>
  <si>
    <t>MONTOYA OCAMPO JUAN DAVID</t>
  </si>
  <si>
    <t>CENCOSUD - JUMBO DE LA 65</t>
  </si>
  <si>
    <t>80168538</t>
  </si>
  <si>
    <t>MONTAÑA WILLIAM RICARDO</t>
  </si>
  <si>
    <t>94476893</t>
  </si>
  <si>
    <t>MONCAYO MODESTO MIGUEL ANDRÉS</t>
  </si>
  <si>
    <t>C813_00000000000351</t>
  </si>
  <si>
    <t>CENCOSUD - METRO BUGA</t>
  </si>
  <si>
    <t>CALLE 6 # 2-31 BUGALAGRANDE VALLE DEL CAUCA</t>
  </si>
  <si>
    <t>BUGA</t>
  </si>
  <si>
    <t>C813_00000000004400</t>
  </si>
  <si>
    <t>CRA 16 # 24-02 LOCAL 15 CENTRO COMERCIAL ÚNICO DOSQUEBRADAS</t>
  </si>
  <si>
    <t>DOSQUEBRADAS</t>
  </si>
  <si>
    <t>1007363017</t>
  </si>
  <si>
    <t>MONCADA DURAN DUVAN</t>
  </si>
  <si>
    <t>1019116622</t>
  </si>
  <si>
    <t>MOLINA MAURO JOSÉ</t>
  </si>
  <si>
    <t>SED_0019</t>
  </si>
  <si>
    <t>SED CALL CENTER GNP</t>
  </si>
  <si>
    <t>CARRERA 15 10051, USAQUÉN</t>
  </si>
  <si>
    <t>1096184465</t>
  </si>
  <si>
    <t>MOJICA CARDONA JHON ROMAN</t>
  </si>
  <si>
    <t>1067843713</t>
  </si>
  <si>
    <t>MENDOZA VELASQUEZ EDWIN RAFAEL</t>
  </si>
  <si>
    <t>C813_00000000003081</t>
  </si>
  <si>
    <t>HYM PARQUE BERRIO(ELECTROMODA)</t>
  </si>
  <si>
    <t>CALLE 51 # 51-11 MEDELLIN ANTIOQUIA</t>
  </si>
  <si>
    <t>HOGAR Y  MODA</t>
  </si>
  <si>
    <t>1090495810</t>
  </si>
  <si>
    <t>MENDOZA MEDINA LEIDY CAROLINA</t>
  </si>
  <si>
    <t>C813_00000000005037</t>
  </si>
  <si>
    <t>BEST BUY JAPILANDIA 1 CUCUTA</t>
  </si>
  <si>
    <t>AVENIDA 5 # 8-37 CUCUTA</t>
  </si>
  <si>
    <t>C813_00000000003264</t>
  </si>
  <si>
    <t>BEST BUY JAPILANDIA 2</t>
  </si>
  <si>
    <t>AVENIDA 5 # 8-16 CUCUTA</t>
  </si>
  <si>
    <t>45528003</t>
  </si>
  <si>
    <t>IREGUI MARTELO NINI JOHANA</t>
  </si>
  <si>
    <t>1102799538</t>
  </si>
  <si>
    <t>MEJIA RUIZ JIMMY</t>
  </si>
  <si>
    <t>C813_00000000005060</t>
  </si>
  <si>
    <t>PRICESMART Carrera 70 Medellin</t>
  </si>
  <si>
    <t>CRA 70 # 1 - 2 MEDELLIN ANTIOQUIA</t>
  </si>
  <si>
    <t>C813_00000000006929</t>
  </si>
  <si>
    <t>PRICESMART MDE CLUB EL POBLADO</t>
  </si>
  <si>
    <t>CRA 32 # 11 SUR-220</t>
  </si>
  <si>
    <t>1115065429</t>
  </si>
  <si>
    <t>MEJIA GALVIZ CRISTHIAN ALBERTO</t>
  </si>
  <si>
    <t>ELECTROJAPONESA BUGA-1</t>
  </si>
  <si>
    <t>CRA 12 # 6-45 STEWAR PEÑA PBX: 237-2526/ 228-0246 BUGALAGRANDE VALLE DEL CAUCA</t>
  </si>
  <si>
    <t>C813_00000000000074</t>
  </si>
  <si>
    <t>EXITO BUGA</t>
  </si>
  <si>
    <t>CRA 13 # 8 - 40 BUGA - VALLE DEL CAUCA</t>
  </si>
  <si>
    <t>GUADALAJARA DE BUGA</t>
  </si>
  <si>
    <t>33068156</t>
  </si>
  <si>
    <t>MEDRANO CUELLO ERIKA PATRICIA</t>
  </si>
  <si>
    <t>SED_0030</t>
  </si>
  <si>
    <t>CLARO BRM CALL CENTER BOGOTA</t>
  </si>
  <si>
    <t>​CR 58B # 130A - 13 CIUDAD JARDIN NORTE PISO 2</t>
  </si>
  <si>
    <t>1065807339</t>
  </si>
  <si>
    <t>MEDINA RAMOS JOHAN DAVID</t>
  </si>
  <si>
    <t>1144208907</t>
  </si>
  <si>
    <t>MARTINEZ GUTIERREZ JULIAN FELIPE</t>
  </si>
  <si>
    <t>1017128325</t>
  </si>
  <si>
    <t>MARTINEZ GOMEZ JUAN DAVID</t>
  </si>
  <si>
    <t>1107516215</t>
  </si>
  <si>
    <t xml:space="preserve">MARIN LONDOÑO JOHAN ANDREY </t>
  </si>
  <si>
    <t>1143842640</t>
  </si>
  <si>
    <t>MACÍAS MICHAEL DANILO</t>
  </si>
  <si>
    <t>39462887</t>
  </si>
  <si>
    <t>LUQUEZ ARAUJO TATIANA KATERINE</t>
  </si>
  <si>
    <t>CL. 31 #6A-133 LC 203, 209, VALLEDUPAR, CESAR</t>
  </si>
  <si>
    <t>79761683</t>
  </si>
  <si>
    <t>LUNA BOBADILLA ANDERSON MAURICIO</t>
  </si>
  <si>
    <t>1098638181</t>
  </si>
  <si>
    <t xml:space="preserve">LOPEZ INFANTE DIEGO ANDRES </t>
  </si>
  <si>
    <t>10298016</t>
  </si>
  <si>
    <t>LOPEZ IDROBO JOSE ALEXANDER</t>
  </si>
  <si>
    <t>1088330274</t>
  </si>
  <si>
    <t>LÓPEZ GRISALES SANTIAGO</t>
  </si>
  <si>
    <t>18523859</t>
  </si>
  <si>
    <t>LIMA PATIÑO ANDRES FELIPE</t>
  </si>
  <si>
    <t>80804289</t>
  </si>
  <si>
    <t>LEON RODRIGUEZ FABIAN</t>
  </si>
  <si>
    <t>1121890462</t>
  </si>
  <si>
    <t>LEON ARIAS JOHN JAIRO</t>
  </si>
  <si>
    <t>1073246782</t>
  </si>
  <si>
    <t>LAMUS SOSA WILMER</t>
  </si>
  <si>
    <t>CAV MOSQUERA</t>
  </si>
  <si>
    <t>1075671866</t>
  </si>
  <si>
    <t>LADINO POVEDA KAREN GISSEL</t>
  </si>
  <si>
    <t>81720171</t>
  </si>
  <si>
    <t>JUYO RAMIREZ WILLIAM ORLANDO</t>
  </si>
  <si>
    <t>1037658877</t>
  </si>
  <si>
    <t>JIMÉNEZ JIMÉNEZ DILSON</t>
  </si>
  <si>
    <t>1024528394</t>
  </si>
  <si>
    <t>HINCAPIE CARDONA JOHN EDUAR</t>
  </si>
  <si>
    <t>CENCOSUD - JUMBO CARIBE PLAZA</t>
  </si>
  <si>
    <t>1001773385</t>
  </si>
  <si>
    <t>HERRERA SUAREZ JUAN MANUEL</t>
  </si>
  <si>
    <t>1051678666</t>
  </si>
  <si>
    <t>HERRERA ORTIZ MICHAEL STIVEN</t>
  </si>
  <si>
    <t>1129542071</t>
  </si>
  <si>
    <t>HERRERA ESCORCIA LEONARDO ARTURO</t>
  </si>
  <si>
    <t>EXITO BARRANQUILLA_1</t>
  </si>
  <si>
    <t>94395180</t>
  </si>
  <si>
    <t>HERNANDEZ ARBOLEDA MARLON ANDRES</t>
  </si>
  <si>
    <t>C813_00000000006870</t>
  </si>
  <si>
    <t>EXITO SUPERCENTRO TULUA</t>
  </si>
  <si>
    <t>CARRERA 40 # 37-51</t>
  </si>
  <si>
    <t>1043136442</t>
  </si>
  <si>
    <t>HENRIQUEZ LUIS FERNANDO</t>
  </si>
  <si>
    <t>1094937522</t>
  </si>
  <si>
    <t>GUZMAN HOLGUIN HERNAN DARIO</t>
  </si>
  <si>
    <t>1002600204</t>
  </si>
  <si>
    <t>GUTIERREZ SANTOFIMIO DANNA VALENTINA</t>
  </si>
  <si>
    <t>FRAME</t>
  </si>
  <si>
    <t>1023958109</t>
  </si>
  <si>
    <t>VELANDIA LEIDY</t>
  </si>
  <si>
    <t>1095298351</t>
  </si>
  <si>
    <t>GUTIERREZ MANUEL ALEJANDRO</t>
  </si>
  <si>
    <t>1116722033</t>
  </si>
  <si>
    <t>GUERRERO SUAREZ FABIO ANDRES</t>
  </si>
  <si>
    <t>2971397</t>
  </si>
  <si>
    <t>GUEDEZ VICTOR</t>
  </si>
  <si>
    <t>SED_0047</t>
  </si>
  <si>
    <t>SED CLARO QUE+</t>
  </si>
  <si>
    <t>CRA 16A # 78-11, OFICINA 302</t>
  </si>
  <si>
    <t>1012381272</t>
  </si>
  <si>
    <t>GONZALEZ TORRES JAIME ANDRES</t>
  </si>
  <si>
    <t>1023886937</t>
  </si>
  <si>
    <t>GONZALEZ PEDREROS PAOLA MILENA</t>
  </si>
  <si>
    <t>SED_0057</t>
  </si>
  <si>
    <t>ATENTO</t>
  </si>
  <si>
    <t>CR 54 # 5 C - 66 BOGOTA</t>
  </si>
  <si>
    <t>SED_0022</t>
  </si>
  <si>
    <t>ONECONTACT</t>
  </si>
  <si>
    <t>CR 7 # 17 - 51 PISO 11</t>
  </si>
  <si>
    <t>1002624062</t>
  </si>
  <si>
    <t>GONZALEZ PACHON CRISTIAN CAMILO</t>
  </si>
  <si>
    <t>1002678348</t>
  </si>
  <si>
    <t>GONZALEZ MURILLO AMARLY YANIRA</t>
  </si>
  <si>
    <t>80725038</t>
  </si>
  <si>
    <t>GONZALEZ MALDONADO CARLOS ALBERTO</t>
  </si>
  <si>
    <t>1100971773</t>
  </si>
  <si>
    <t>GOMEZ SUAREZ WILLIAM JAVIER</t>
  </si>
  <si>
    <t>C813_00000000004472</t>
  </si>
  <si>
    <t>CENCOSUD - METRO SAN GIL</t>
  </si>
  <si>
    <t>CALLE 10 #12 - 184, SAN GIL, NORTE DE SANTANDER</t>
  </si>
  <si>
    <t>1127061942</t>
  </si>
  <si>
    <t>GOMEZ RICO MARIA MONICA</t>
  </si>
  <si>
    <t>1003249531</t>
  </si>
  <si>
    <t>GOMEZ GONZALEZ YERSON MAURICIO</t>
  </si>
  <si>
    <t>C813_00000000000937</t>
  </si>
  <si>
    <t>OLIMPICA Sao 256</t>
  </si>
  <si>
    <t>CALLE 5 # 23 - 73, AGUACHICA</t>
  </si>
  <si>
    <t>6254043</t>
  </si>
  <si>
    <t>GOMEZ BENAVIDES JHON SERGIO</t>
  </si>
  <si>
    <t>1140888572</t>
  </si>
  <si>
    <t>GOETTE DUVAN JOSE</t>
  </si>
  <si>
    <t>1110515296</t>
  </si>
  <si>
    <t>GIL SANCHEZ JULIANA STEFANY</t>
  </si>
  <si>
    <t>CENCOSUD - JUMBO SANTA MARTA</t>
  </si>
  <si>
    <t>1017228455</t>
  </si>
  <si>
    <t xml:space="preserve">GAVIRIA ALVAREZ DUVAN </t>
  </si>
  <si>
    <t>1129510010</t>
  </si>
  <si>
    <t>GARCIA RODRIGUEZ MIGUEL ANGEL</t>
  </si>
  <si>
    <t>1080185860</t>
  </si>
  <si>
    <t>GARCIA DUARTE HUMBERTO SEBASTIAN</t>
  </si>
  <si>
    <t>EXITO UNICENTRO BOGOTA</t>
  </si>
  <si>
    <t>1024522016</t>
  </si>
  <si>
    <t>GARCIA DEVIA DIANA ZAMIRA</t>
  </si>
  <si>
    <t>1039095854</t>
  </si>
  <si>
    <t>C813_00000000003068</t>
  </si>
  <si>
    <t>HYM PLATAFORMA</t>
  </si>
  <si>
    <t>CALLE 50 # 52-36 MEDELLIN - ANTIOQUIA</t>
  </si>
  <si>
    <t>6738093</t>
  </si>
  <si>
    <t>GARCIA ALVAREZ MARIA GABRIELA</t>
  </si>
  <si>
    <t>SED_0029</t>
  </si>
  <si>
    <t>BENTOINT</t>
  </si>
  <si>
    <t>1152685055</t>
  </si>
  <si>
    <t>GALLEGO JAVIER</t>
  </si>
  <si>
    <t>SODIMAC Homecenter Medellin Envigado</t>
  </si>
  <si>
    <t>SODIMAC Homecenter Medellin Industriales</t>
  </si>
  <si>
    <t>1111806363</t>
  </si>
  <si>
    <t>GALLEGO BOLAÑOS JEFERSSON</t>
  </si>
  <si>
    <t>C813_00000000000690</t>
  </si>
  <si>
    <t>EXITO BUENAVENTURA</t>
  </si>
  <si>
    <t>CALLE 2 # 66-86</t>
  </si>
  <si>
    <t>1013652054</t>
  </si>
  <si>
    <t>GALINDO VARGAS CRISTIAN LEONARDO</t>
  </si>
  <si>
    <t>C813_00000000007421</t>
  </si>
  <si>
    <t>GRUPO MANSION CR13 WAREHOUSE</t>
  </si>
  <si>
    <t>KR 13 #13-57, LOS MÁRTIRES, BOGOTÁ, COLOMBIA</t>
  </si>
  <si>
    <t>MANSION Gran Mansión</t>
  </si>
  <si>
    <t>1013615210</t>
  </si>
  <si>
    <t xml:space="preserve">GALINDO VARGAS ALVARO LEONARDO </t>
  </si>
  <si>
    <t>1010214294</t>
  </si>
  <si>
    <t>FORIGUA RAMIREZ HERNAN DARIO</t>
  </si>
  <si>
    <t>EN CREACION_25</t>
  </si>
  <si>
    <t>SED MAYOREO BOGOTA</t>
  </si>
  <si>
    <t>EN VALIDACION</t>
  </si>
  <si>
    <t>52764611</t>
  </si>
  <si>
    <t>FORERO MANRIQUE MARIA DEL PILAR</t>
  </si>
  <si>
    <t>EN CREACION_16</t>
  </si>
  <si>
    <t>COS BOGOTA</t>
  </si>
  <si>
    <t>1029720675</t>
  </si>
  <si>
    <t>FONSECA ESCOBAR JUAN ESTEBAN</t>
  </si>
  <si>
    <t>1018346182</t>
  </si>
  <si>
    <t>FONNEGRA SEPULVEDA KATERINE</t>
  </si>
  <si>
    <t>1047449917</t>
  </si>
  <si>
    <t>FIGUEROA EGUIS AMNERIS</t>
  </si>
  <si>
    <t>C813_00000000000151</t>
  </si>
  <si>
    <t>OLIMPICA La Plazuela</t>
  </si>
  <si>
    <t>1085899245</t>
  </si>
  <si>
    <t xml:space="preserve">FIGUEROA BERNAL LEIDY </t>
  </si>
  <si>
    <t>1075254837</t>
  </si>
  <si>
    <t>FIERRO CASTILLO MAICOL JAVIER</t>
  </si>
  <si>
    <t>1151941629</t>
  </si>
  <si>
    <t>FERNANDEZ SEBASTIAN</t>
  </si>
  <si>
    <t>1104008668</t>
  </si>
  <si>
    <t>FERNANDEZ ARRIETA FERNANDO DAVID</t>
  </si>
  <si>
    <t>1058430439</t>
  </si>
  <si>
    <t>ESTUPIÑAN ESTUPIÑAN ELIODORO</t>
  </si>
  <si>
    <t>CAV BOGOTA FONTIBON</t>
  </si>
  <si>
    <t>1012428745</t>
  </si>
  <si>
    <t>ESPITIA FLOREZ HAROL SMITH</t>
  </si>
  <si>
    <t>1007119730</t>
  </si>
  <si>
    <t>ESCORCIA DE LA CRUZ SHARICK DANIELA</t>
  </si>
  <si>
    <t>ELECTROJAPONESAMAYOREO CALI</t>
  </si>
  <si>
    <t>C813_00000000000518</t>
  </si>
  <si>
    <t>MERCACENTRO N4 PRINCIPAL</t>
  </si>
  <si>
    <t>AVENIDA  GUABINAL # 51-53</t>
  </si>
  <si>
    <t>79996666</t>
  </si>
  <si>
    <t>DUQUE CONDE LUIS EDUARDO</t>
  </si>
  <si>
    <t>1234192763</t>
  </si>
  <si>
    <t>DIAZ ALVARADO NICOLAS</t>
  </si>
  <si>
    <t>1007357316</t>
  </si>
  <si>
    <t>DEL TORO CARDENAS ARELIS MICHEL</t>
  </si>
  <si>
    <t>1000135258</t>
  </si>
  <si>
    <t>CUESTA CORREDOR DIEGO ALEJANDRO</t>
  </si>
  <si>
    <t>1014297317</t>
  </si>
  <si>
    <t>CRUZ JOSE</t>
  </si>
  <si>
    <t>1001268823</t>
  </si>
  <si>
    <t>CORREA CORREA YULIAN ARBEY</t>
  </si>
  <si>
    <t>1012316033</t>
  </si>
  <si>
    <t>CONTRERAS CABRERA LINEY BRIYITH</t>
  </si>
  <si>
    <t>EN CREACION_36</t>
  </si>
  <si>
    <t>INTERACTIVO</t>
  </si>
  <si>
    <t>SED_0015</t>
  </si>
  <si>
    <t>CLARO ASISTE INGENIERIA</t>
  </si>
  <si>
    <t>CR 42 BIS #17A-53 OFI 502</t>
  </si>
  <si>
    <t>10887136</t>
  </si>
  <si>
    <t>CONTRERAS AYIBER PEREZ</t>
  </si>
  <si>
    <t>1017127403</t>
  </si>
  <si>
    <t>COBALEDA BACCA JENIFER FERNANDA</t>
  </si>
  <si>
    <t>C813_00000000003084</t>
  </si>
  <si>
    <t>HYM SAN ANTONIO(CASA MODA)</t>
  </si>
  <si>
    <t>CRA 49 # 46 - 67 MEDELLIN ANTIOQUIA</t>
  </si>
  <si>
    <t>C813_00000000003076</t>
  </si>
  <si>
    <t>HYM JUNIN PRINCIPAL</t>
  </si>
  <si>
    <t>CRA 49 #48-43 MEDELLIN ANTIOQUIA</t>
  </si>
  <si>
    <t>HOGAR Y MODA</t>
  </si>
  <si>
    <t>1002395703</t>
  </si>
  <si>
    <t>CIFUENTES RATIVA YOHAN STEVEN</t>
  </si>
  <si>
    <t>80441534</t>
  </si>
  <si>
    <t>1143830698</t>
  </si>
  <si>
    <t>CERON ORTEGA YADIRA ALEXANDRA</t>
  </si>
  <si>
    <t>1010140351</t>
  </si>
  <si>
    <t>CASTRO TERAN JOSE MARIA</t>
  </si>
  <si>
    <t>1030643462</t>
  </si>
  <si>
    <t>CASTRO PARADA JAIME ANDRES</t>
  </si>
  <si>
    <t>ELECTROJAPONESA AREA 12 - JAMUNDI</t>
  </si>
  <si>
    <t>JAMUNDI</t>
  </si>
  <si>
    <t>C813_00000000001120</t>
  </si>
  <si>
    <t>ELECTROJAPONESA AREA 28 - SANTADER DE QUILICHAO</t>
  </si>
  <si>
    <t>CARRERA 12 # 6 - 77</t>
  </si>
  <si>
    <t>SANTANDER DE QUILICHAO</t>
  </si>
  <si>
    <t>1045714956</t>
  </si>
  <si>
    <t>VARGAS AGUDELO MARIA STEFANY</t>
  </si>
  <si>
    <t>ELECTROJAPONESA AREA 20 - YUMBO</t>
  </si>
  <si>
    <t>1020460678</t>
  </si>
  <si>
    <t>CASTRILLON HENAO JORGE ANDRES</t>
  </si>
  <si>
    <t>40450261</t>
  </si>
  <si>
    <t xml:space="preserve">CASTILLO VASQUEZ YENNY MARCELA </t>
  </si>
  <si>
    <t>CLL 15 # 13 - 61 GRANADA</t>
  </si>
  <si>
    <t>1007347204</t>
  </si>
  <si>
    <t>CASTILLO FERNÁNDEZ DAYLIS DAYANA</t>
  </si>
  <si>
    <t>FALABELLA El Castillo</t>
  </si>
  <si>
    <t>1143385908</t>
  </si>
  <si>
    <t>CASTILLO CALA JUAN DAVID</t>
  </si>
  <si>
    <t>86070792</t>
  </si>
  <si>
    <t>CASTELLANOS OJEDA CARLOS ALBERTO</t>
  </si>
  <si>
    <t>1024519481</t>
  </si>
  <si>
    <t>CASTAÑO SALAZAR JUAN DAVID</t>
  </si>
  <si>
    <t>C813_00000000005056</t>
  </si>
  <si>
    <t>PRICESMART Salitre Bogota</t>
  </si>
  <si>
    <t>AC 26 # 71A-16 BOGOTA</t>
  </si>
  <si>
    <t>1128480384</t>
  </si>
  <si>
    <t>CASTAÑEDA NOREÑA GIOVANY ALEXIS</t>
  </si>
  <si>
    <t>C813_00000000007275</t>
  </si>
  <si>
    <t>MAXIMUEBLES Bucaramanga 2</t>
  </si>
  <si>
    <t xml:space="preserve">CARRERA 17 # 31 - 67 </t>
  </si>
  <si>
    <t>MAXIMUEBLES</t>
  </si>
  <si>
    <t>72008936</t>
  </si>
  <si>
    <t>CARMONA LONDOÑO FRANKLIN</t>
  </si>
  <si>
    <t>C813_00000000006855</t>
  </si>
  <si>
    <t>OLIMPICA SAO 067 PARQUE ALEGRA</t>
  </si>
  <si>
    <t>CALLE 30 # 6B - 25</t>
  </si>
  <si>
    <t>1144147667</t>
  </si>
  <si>
    <t>CAÑON MORENO RICARDO</t>
  </si>
  <si>
    <t>1043435138</t>
  </si>
  <si>
    <t>CANTILLO MEJIA ARIANA</t>
  </si>
  <si>
    <t>SODIMAC Homecenter Barranquilla Norte</t>
  </si>
  <si>
    <t>1083906606</t>
  </si>
  <si>
    <t>CANTILLO LEIDY ADELINA</t>
  </si>
  <si>
    <t>1019034054</t>
  </si>
  <si>
    <t>CAMARGO DAVID FELIPE</t>
  </si>
  <si>
    <t>1061708853</t>
  </si>
  <si>
    <t>CAICEDO MARLON ALVEIRO</t>
  </si>
  <si>
    <t>1030588614</t>
  </si>
  <si>
    <t>CACERES TORRES KAREN YULEIMY</t>
  </si>
  <si>
    <t>1098695478</t>
  </si>
  <si>
    <t>CABRERA HERNANDEZ YEISON</t>
  </si>
  <si>
    <t>C813_00000000000395</t>
  </si>
  <si>
    <t>ALCA BUCARAMANGA CALLE 36</t>
  </si>
  <si>
    <t>CALLE 36 # 23-59 BUCARAMANGA SANTANDER</t>
  </si>
  <si>
    <t>C813_00000000004747</t>
  </si>
  <si>
    <t>ALCA BUCARAMANGA MAYOREO</t>
  </si>
  <si>
    <t>1010140988</t>
  </si>
  <si>
    <t>BUITRAGO JEISSON ANTONIO</t>
  </si>
  <si>
    <t>Alkomprar Cartago</t>
  </si>
  <si>
    <t>1110562757</t>
  </si>
  <si>
    <t>BUITRAGO IBAÑEZ SARA ALEJANDRA</t>
  </si>
  <si>
    <t>1144206302</t>
  </si>
  <si>
    <t>BUITRAGO CASTAÑO CRISTIAN CAMILO</t>
  </si>
  <si>
    <t>1098757370</t>
  </si>
  <si>
    <t>BUENAHORA CONTRERAS CAROLL SLENDY</t>
  </si>
  <si>
    <t>C813_00000000004750</t>
  </si>
  <si>
    <t>SOLIMAN BUCARAMANGA CALLE 36</t>
  </si>
  <si>
    <t>CALLE 36 # 22-50 BUCARAMANGA SANTANDER</t>
  </si>
  <si>
    <t>SOLIMAN</t>
  </si>
  <si>
    <t>C813_00000000003209</t>
  </si>
  <si>
    <t>SOLIMAN PIEDECUESTA CALLE 9</t>
  </si>
  <si>
    <t>CALLE 9 # 7-29</t>
  </si>
  <si>
    <t>C813_00000000003210</t>
  </si>
  <si>
    <t>SOLIMAN PIEDECUESTA CRR 6</t>
  </si>
  <si>
    <t>CARRERA 6 # 10-97</t>
  </si>
  <si>
    <t>1019119291</t>
  </si>
  <si>
    <t>BRAVO LOZANO SAUDITH LUZ</t>
  </si>
  <si>
    <t>39576707</t>
  </si>
  <si>
    <t>BONILLA RODRIGUEZ BRENDA PAOLA</t>
  </si>
  <si>
    <t>ALKOSTO Ktronix Girardot</t>
  </si>
  <si>
    <t>1075255097</t>
  </si>
  <si>
    <t>BONILLA MEDINA JUAN CARLOS</t>
  </si>
  <si>
    <t>OLIMPICA SAO NEIVA</t>
  </si>
  <si>
    <t>1006149800</t>
  </si>
  <si>
    <t>BOCANEGRA MUÑOZ JUAN CAMILO</t>
  </si>
  <si>
    <t>14138246</t>
  </si>
  <si>
    <t>FRANK WILHELN RODRIGUEZ ARANGO</t>
  </si>
  <si>
    <t>C813_00000000000512</t>
  </si>
  <si>
    <t>MANSION 1 BOGOTA</t>
  </si>
  <si>
    <t>CRA 13 # 16-55 BOGOTA</t>
  </si>
  <si>
    <t>1047230063</t>
  </si>
  <si>
    <t>BENAVIDES DIAZ JUNIOR</t>
  </si>
  <si>
    <t>EXITO BUENA VISTA BARRANQUILLA</t>
  </si>
  <si>
    <t>19621035</t>
  </si>
  <si>
    <t>BENALCAZAR SILVA GIAN CARLOS</t>
  </si>
  <si>
    <t>1047403940</t>
  </si>
  <si>
    <t>BAZA MORENO YEILER ANTONIO</t>
  </si>
  <si>
    <t>FALABELLA  CARACOLI</t>
  </si>
  <si>
    <t>1030593863</t>
  </si>
  <si>
    <t>BARBOSA OSORIO FAUSTO</t>
  </si>
  <si>
    <t>1098791291</t>
  </si>
  <si>
    <t>BARAJAS CHACON JUAN SEBASTIAN</t>
  </si>
  <si>
    <t>CALLE 15 # 3AN - 40 CENTRO COMERCIAL DE LA CUESTA LOCAL 154 PRIMER PISO, PIEDECUESTA, SANTANDER</t>
  </si>
  <si>
    <t>1000657635</t>
  </si>
  <si>
    <t>AYALA ARANGO ALEXIS</t>
  </si>
  <si>
    <t>1007317198</t>
  </si>
  <si>
    <t>AVILA CASTRO JUNIOR JOSE</t>
  </si>
  <si>
    <t>C813_00000000003581</t>
  </si>
  <si>
    <t>CRA 25A BIS # 123-09, CALI VALLE DEL CAUCA</t>
  </si>
  <si>
    <t>ARPESOD</t>
  </si>
  <si>
    <t>C813_00000000004091</t>
  </si>
  <si>
    <t>CALLE 11 # 7-02, CALI, VALLE DEL CAUCA</t>
  </si>
  <si>
    <t>DISTRIBUIDORA ELECTROJAP</t>
  </si>
  <si>
    <t>C813_00000000000206</t>
  </si>
  <si>
    <t>OLIMPICA Plaza de Las Americas</t>
  </si>
  <si>
    <t>CRA 71D #6-94 SUR BOGOTA</t>
  </si>
  <si>
    <t>1214721859</t>
  </si>
  <si>
    <t>ARIZA ARROYAVE JEFERSON ANDRES</t>
  </si>
  <si>
    <t>1144199930</t>
  </si>
  <si>
    <t>ARISTIZABAL MEJIA ANLLY PAOLA</t>
  </si>
  <si>
    <t>ELECTROJAPONESA AREA 06 - CALLE 11 8-58</t>
  </si>
  <si>
    <t>1017173257</t>
  </si>
  <si>
    <t>ARENAS ORTIZ HEYDI JHOANNA</t>
  </si>
  <si>
    <t>35005795</t>
  </si>
  <si>
    <t>ALVAREZ NOVOA MAYRA ESTELA</t>
  </si>
  <si>
    <t>JALBOR FULL HOGAR MEDELLIN PPAL 1</t>
  </si>
  <si>
    <t>1193271612</t>
  </si>
  <si>
    <t>ALPALA HERRERA SEBASTIAN ALEJANDRO</t>
  </si>
  <si>
    <t>1116788024</t>
  </si>
  <si>
    <t>ALBARRACIN CHARRY MARIA ALEJANDRA</t>
  </si>
  <si>
    <t>38364734</t>
  </si>
  <si>
    <t>ACOSTA VELASCO OLGA SHIRLEY</t>
  </si>
  <si>
    <t>1006051773</t>
  </si>
  <si>
    <t>ACEVEDO GIL JHONATAN</t>
  </si>
  <si>
    <t>1121899188</t>
  </si>
  <si>
    <t>RANGEL ARIAS SANTIAGO ANDRES</t>
  </si>
  <si>
    <t>1088825928</t>
  </si>
  <si>
    <t>MUÑOZ BECERRA JUAN FERNANDO</t>
  </si>
  <si>
    <t>C813_00000000000095</t>
  </si>
  <si>
    <t>EXITO ITAGUI</t>
  </si>
  <si>
    <t>C813_00000000006824</t>
  </si>
  <si>
    <t>EXITO PLAZA FABRICATO</t>
  </si>
  <si>
    <t>C813_00000000003351</t>
  </si>
  <si>
    <t>CLARO CAV SANTAFE T</t>
  </si>
  <si>
    <t>CLARO_026</t>
  </si>
  <si>
    <t>CLARO CAV PASEO DEL RIO</t>
  </si>
  <si>
    <t>ZIPAQUIRA</t>
  </si>
  <si>
    <t>1007247642</t>
  </si>
  <si>
    <t>UMAÑA GERSON</t>
  </si>
  <si>
    <t>1096250220</t>
  </si>
  <si>
    <t>TOVAR SUAREZ RONALDO</t>
  </si>
  <si>
    <t>1070018771</t>
  </si>
  <si>
    <t>MOSQUERA MURCIA JULIAN</t>
  </si>
  <si>
    <t>1072662577</t>
  </si>
  <si>
    <t>TORRES SARMIENTO ENRIQUE</t>
  </si>
  <si>
    <t>1087130559</t>
  </si>
  <si>
    <t>SALAZAR VALENCIA DIEGO FERNANDO</t>
  </si>
  <si>
    <t>1085908931</t>
  </si>
  <si>
    <t>ROSERO BERNAL HECTOR MAURICIO</t>
  </si>
  <si>
    <t>1128468501</t>
  </si>
  <si>
    <t>ROJAS ALVAREZ JULIAN ANDRES</t>
  </si>
  <si>
    <t>1085272414</t>
  </si>
  <si>
    <t>RIOS BOLAÑOS JESUS ANDRES</t>
  </si>
  <si>
    <t>7179796</t>
  </si>
  <si>
    <t>REYES CRUZ JOSE RICARDO</t>
  </si>
  <si>
    <t>32257344</t>
  </si>
  <si>
    <t>MOSQUERA PALACIOS DIANA MARCELA</t>
  </si>
  <si>
    <t>1035915503</t>
  </si>
  <si>
    <t>MORELO RAMIREZ JHOAN SEBASTIAN</t>
  </si>
  <si>
    <t>1085257054</t>
  </si>
  <si>
    <t>MIDEROS HIDALGO CARLOS ANDRES</t>
  </si>
  <si>
    <t>C813_00000000000997</t>
  </si>
  <si>
    <t>ALKOSTO PASTO CORBETA DIPAS</t>
  </si>
  <si>
    <t>CORBETA</t>
  </si>
  <si>
    <t>1053801412</t>
  </si>
  <si>
    <t>MESA SALGADO JUAN DAVID</t>
  </si>
  <si>
    <t>1000115618</t>
  </si>
  <si>
    <t>GUZMAN MANCIPE KEVIN ANDRES</t>
  </si>
  <si>
    <t>41951540</t>
  </si>
  <si>
    <t>GUZMAN HOLGUIN JACQUELINE</t>
  </si>
  <si>
    <t>79723207</t>
  </si>
  <si>
    <t>GUTIERREZ PABON OSCAR GIOVANNI</t>
  </si>
  <si>
    <t>6663481</t>
  </si>
  <si>
    <t>GRAZZIANI RINCON MIGUEL ANGEL</t>
  </si>
  <si>
    <t>C813_00000000000933</t>
  </si>
  <si>
    <t>EXITO OCANA</t>
  </si>
  <si>
    <t>CALLE 11 # 10-55</t>
  </si>
  <si>
    <t>OCANA</t>
  </si>
  <si>
    <t>1096194456</t>
  </si>
  <si>
    <t>GOMEZ SEIJA WILMAR</t>
  </si>
  <si>
    <t>1140826837</t>
  </si>
  <si>
    <t>FERRER RAPALINO ALEXANDER ANTONIO</t>
  </si>
  <si>
    <t>FALABELLA Buenavista</t>
  </si>
  <si>
    <t>1022326711</t>
  </si>
  <si>
    <t>DIAZ VASCO OVIEDO</t>
  </si>
  <si>
    <t>1051826038</t>
  </si>
  <si>
    <t>CARMONA BELTRAN JOSE ANDRES</t>
  </si>
  <si>
    <t>1061709505</t>
  </si>
  <si>
    <t>CAMPO GAVIRIA DAGOBERTO</t>
  </si>
  <si>
    <t>10002206</t>
  </si>
  <si>
    <t>BUITRAGO GONZALEZ ALEJANDRO</t>
  </si>
  <si>
    <t>93133751</t>
  </si>
  <si>
    <t>ARTEAGA DURAN JOSE ANDRES</t>
  </si>
  <si>
    <t>1024519394</t>
  </si>
  <si>
    <t>VELA CASTRO JENNY MILENA</t>
  </si>
  <si>
    <t>1020448134</t>
  </si>
  <si>
    <t>VALENCIA OSORIO ESTEFANIA</t>
  </si>
  <si>
    <t>1113646564</t>
  </si>
  <si>
    <t>TROCHEZ VIDAL EDUIN</t>
  </si>
  <si>
    <t>1016593700</t>
  </si>
  <si>
    <t>SICUARIZA CARLOS ANDRES</t>
  </si>
  <si>
    <t>C813_00000000000994</t>
  </si>
  <si>
    <t>CORBETA DIBOG.</t>
  </si>
  <si>
    <t>PARQUE IND SAN CARLOS II BOD 3 KM 35 VIA FUNZA BOGOTA</t>
  </si>
  <si>
    <t>WHOLESALERS</t>
  </si>
  <si>
    <t>FUNZA</t>
  </si>
  <si>
    <t>71792175</t>
  </si>
  <si>
    <t>SERNA MOSQUERA FRANCISCO JAVIER</t>
  </si>
  <si>
    <t>1017146846</t>
  </si>
  <si>
    <t>SALDARRIAGA ALISSON DAHIANA</t>
  </si>
  <si>
    <t>C813_00000000000996</t>
  </si>
  <si>
    <t>CORBETA DIMED</t>
  </si>
  <si>
    <t>CALLE 2 # 50 - 21 BARRIO GUAYABAL MEDELLIN ANTIOQUIA</t>
  </si>
  <si>
    <t>1017194840</t>
  </si>
  <si>
    <t>RUA ZULUAGA LIYIBETH DAJANA</t>
  </si>
  <si>
    <t>1022367852</t>
  </si>
  <si>
    <t>PINZON MORENO GUILLERMO</t>
  </si>
  <si>
    <t>1006515144</t>
  </si>
  <si>
    <t>PEÑA GARCIA JOINER ALEXIS</t>
  </si>
  <si>
    <t>8852671</t>
  </si>
  <si>
    <t>PEINADO GAVIRIA HENRY BENJAMIN</t>
  </si>
  <si>
    <t>1089598939</t>
  </si>
  <si>
    <t>ORTEGÓN TORRES DANNA KARINA</t>
  </si>
  <si>
    <t>C813_00000000000995</t>
  </si>
  <si>
    <t>CORBETA DICAL</t>
  </si>
  <si>
    <t>CARRERA 32 # 13 - 101 ACOPI - YUMBO VALLE DEL CAUCA</t>
  </si>
  <si>
    <t>80926843</t>
  </si>
  <si>
    <t>MOSQUERA ARENAS EDWIN CAMILO</t>
  </si>
  <si>
    <t>C813_00000000002373</t>
  </si>
  <si>
    <t>MPS TTL</t>
  </si>
  <si>
    <t>AUTOPISTA BOGOTÁ - MEDELLIN (CALLE 80) KM 2 VÍA COTA</t>
  </si>
  <si>
    <t>MPSCOM</t>
  </si>
  <si>
    <t>1039464863</t>
  </si>
  <si>
    <t>MAZO LOPEZ CRISTIAN CAMILO</t>
  </si>
  <si>
    <t>1024506434</t>
  </si>
  <si>
    <t>MALAGON SANCHEZ CRISTIAN FABIAN</t>
  </si>
  <si>
    <t>1152208910</t>
  </si>
  <si>
    <t>LOAIZA PUERTA MAURICIO</t>
  </si>
  <si>
    <t>1010236979</t>
  </si>
  <si>
    <t>GONZALEZ SERGIO</t>
  </si>
  <si>
    <t>1086358630</t>
  </si>
  <si>
    <t>ENRIQUEZ ROMERO ANDRES JOVANNY</t>
  </si>
  <si>
    <t>1022372578</t>
  </si>
  <si>
    <t>CUBILLOS GONZALEZ ANGIE LORENA</t>
  </si>
  <si>
    <t>1030529813</t>
  </si>
  <si>
    <t>CORTES AGUIRRE FRANCY YAMILE</t>
  </si>
  <si>
    <t>1045673157</t>
  </si>
  <si>
    <t>CARMONA COMAS JORGE LUIS</t>
  </si>
  <si>
    <t>C813_00000000000993</t>
  </si>
  <si>
    <t>CORBETA DIBAR</t>
  </si>
  <si>
    <t>KM 4 PROLONGACIÓN AV MURILLO SUR #1-300 BARRANQUILLA</t>
  </si>
  <si>
    <t>1214728086</t>
  </si>
  <si>
    <t>CALLE OSPINA DUBIAN ALBEIRO</t>
  </si>
  <si>
    <t>1033713341</t>
  </si>
  <si>
    <t>BERNATE ACOSTA NICOLAS ALBERTO</t>
  </si>
  <si>
    <t>1053348209</t>
  </si>
  <si>
    <t>ALFONSO MARTINEZ VICTOR EMMANUEL</t>
  </si>
  <si>
    <t>31710145</t>
  </si>
  <si>
    <t>AGRONO SALAZAR SOR GENELLI</t>
  </si>
  <si>
    <t>C813_00000000000590</t>
  </si>
  <si>
    <t>BP SURTICREDITOS CALLE ONCE CALI</t>
  </si>
  <si>
    <t>CALLE 11 # 7-39 CALI VALLE DEL CAUCA</t>
  </si>
  <si>
    <t>BP SURTICREDITOS</t>
  </si>
  <si>
    <t>C813_00000000000591</t>
  </si>
  <si>
    <t>BP SURTICREDITOS CARRERA OCTAVA CALI</t>
  </si>
  <si>
    <t>CALLE 10 # 7-63 CALI VALLE DEL CAUCA</t>
  </si>
  <si>
    <t>1000293322</t>
  </si>
  <si>
    <t>SANCHEZ BRAYAN</t>
  </si>
  <si>
    <t>5501369</t>
  </si>
  <si>
    <t>RODRÍGUEZ FRANCO JEFERSON MIGUEL</t>
  </si>
  <si>
    <t>1095829845</t>
  </si>
  <si>
    <t>OLARTE DUARTE MIGUEL ANGEL</t>
  </si>
  <si>
    <t>1001174903</t>
  </si>
  <si>
    <t>GUTIERREZ MARTINE ANGIE KATERINE</t>
  </si>
  <si>
    <t>1035856421</t>
  </si>
  <si>
    <t>CASTRILLON YERLY ALEXIS</t>
  </si>
  <si>
    <t>1023624162</t>
  </si>
  <si>
    <t>1073533396</t>
  </si>
  <si>
    <t>1014179924</t>
  </si>
  <si>
    <t>PARRA RATIVA JULIAN ESTEBAN</t>
  </si>
  <si>
    <t>1005943674</t>
  </si>
  <si>
    <t>1032479604</t>
  </si>
  <si>
    <t>AGUIRRE OSORIO EDGAR</t>
  </si>
  <si>
    <t>1053828151</t>
  </si>
  <si>
    <t>ROMERO AYALA BRANDON STEVEN</t>
  </si>
  <si>
    <t>1006826207</t>
  </si>
  <si>
    <t>ELECTROFERIA ITAGUI</t>
  </si>
  <si>
    <t>1035233806</t>
  </si>
  <si>
    <t>-3 Months</t>
  </si>
  <si>
    <t>3-6 Months</t>
  </si>
  <si>
    <t>12-24 Months</t>
  </si>
  <si>
    <t>+24 Mounths</t>
  </si>
  <si>
    <t>C813_00000000000736</t>
  </si>
  <si>
    <t>CENCOSUD METRO VENTURA</t>
  </si>
  <si>
    <t>CALLE 10 # 2E-90 CC VENTURA PLAZA CUCUTA NORTE DE SANTANDER</t>
  </si>
  <si>
    <t>1024523021</t>
  </si>
  <si>
    <t>SED_0033</t>
  </si>
  <si>
    <t>CAV BOGOTA CRA 7</t>
  </si>
  <si>
    <t>C813_00000000000346</t>
  </si>
  <si>
    <t>AV 9A # 20N-55 LT2 (AVN LIBERTADORES CANAL BOGOTA) CUCUTA NORTE DE SANTANDER</t>
  </si>
  <si>
    <t>6-9 Months</t>
  </si>
  <si>
    <t>9-12 Months</t>
  </si>
  <si>
    <t>C813_00000000000426</t>
  </si>
  <si>
    <t>ELECTROBELLO BELLO</t>
  </si>
  <si>
    <t>CARRERA 50 # 49-29 BELLO ANTIOQUIA</t>
  </si>
  <si>
    <t>1005935268</t>
  </si>
  <si>
    <t>VACACIONES</t>
  </si>
  <si>
    <t>1047390589</t>
  </si>
  <si>
    <t>RINCON SANTOS, BELLO, ANTIOQUIA, COLOMBIA</t>
  </si>
  <si>
    <t>1000723242</t>
  </si>
  <si>
    <t>43105846</t>
  </si>
  <si>
    <t>C813_00000000001219</t>
  </si>
  <si>
    <t>ELECTROFERIA ESTRELLA</t>
  </si>
  <si>
    <t>CALLE 80 SUR # 60-58 LA ESTRELLA ANTIOQUIA</t>
  </si>
  <si>
    <t>C813_00000000006894</t>
  </si>
  <si>
    <t>CALLE 50 N 48-45 ITAGUI ANTIOQUIA</t>
  </si>
  <si>
    <t>C813_00000000002718</t>
  </si>
  <si>
    <t>ELECTROFERIA SAN ANTONIO DE PRADO</t>
  </si>
  <si>
    <t>CLL 42 SUR #78 -57, MEDELLIN ANTIOQUIA</t>
  </si>
  <si>
    <t>CENCOSUD - METRO LIBERTADORES</t>
  </si>
  <si>
    <t>C813_00000000000391</t>
  </si>
  <si>
    <t>FLAMINGO BERRIO</t>
  </si>
  <si>
    <t>CALLE 51 # 50-30 MEDELLIN ANTIOQUIA</t>
  </si>
  <si>
    <t xml:space="preserve">FLAMINGO </t>
  </si>
  <si>
    <t>C813_00000000000388</t>
  </si>
  <si>
    <t>FLAMINGO BOLIVAR</t>
  </si>
  <si>
    <t>CRA 51 # 48-31 MEDELLIN ANTIOQUIA</t>
  </si>
  <si>
    <t>C813_00000000000393</t>
  </si>
  <si>
    <t>FLAMINGO BELLO</t>
  </si>
  <si>
    <t>DIAGONAL 55 # 34-67 LOCAL 1010 CC PUERTA DEL NORTE BELLO ANTIOQUIA</t>
  </si>
  <si>
    <t>C813_00000000000339</t>
  </si>
  <si>
    <t>CENCOSUD METRO ZIPAQUIRA</t>
  </si>
  <si>
    <t>CALLE 8 # 21-156 ZIPAQUIRA CUNDINAMARCA</t>
  </si>
  <si>
    <t>16</t>
  </si>
  <si>
    <t>9</t>
  </si>
  <si>
    <t>MARTINEZ MILEIDYS</t>
  </si>
  <si>
    <t>PARRAGA YESICA</t>
  </si>
  <si>
    <t>1024556193</t>
  </si>
  <si>
    <t>daniel.barrera@visionymarketing.com.co</t>
  </si>
  <si>
    <t>OSPITIA MORENO YEISON ARLEY</t>
  </si>
  <si>
    <t>RUIZ PINTO MANUEL FERNANDO</t>
  </si>
  <si>
    <t>1110507419</t>
  </si>
  <si>
    <t>GUANA MARTIN KATERINE</t>
  </si>
  <si>
    <t>AGUIRRE PINTO JUAN DAVID</t>
  </si>
  <si>
    <t>1094910645</t>
  </si>
  <si>
    <t>ECHEVERRIA GARCIA LIZZBETH VALENTINA</t>
  </si>
  <si>
    <t>1092528154</t>
  </si>
  <si>
    <t>GONZALEZ CRISTIAN</t>
  </si>
  <si>
    <t>1107512660</t>
  </si>
  <si>
    <t>TAMAYO JUAN SEBASTIAN</t>
  </si>
  <si>
    <t>MELO VALENTINA</t>
  </si>
  <si>
    <t>1214743978</t>
  </si>
  <si>
    <t>1122511176</t>
  </si>
  <si>
    <t>CASTELLANOS SUAREZ LAURA DANIELA</t>
  </si>
  <si>
    <t>1000693020</t>
  </si>
  <si>
    <t>PRASCA VEGA LUZ HELENA</t>
  </si>
  <si>
    <t>BENAVIDES OVALLE CRISTIAN FERNANDO</t>
  </si>
  <si>
    <t>1003498451</t>
  </si>
  <si>
    <t>1014234139</t>
  </si>
  <si>
    <t>1005968620</t>
  </si>
  <si>
    <t>1026291876</t>
  </si>
  <si>
    <t>AYALA BRANDON ERNESTO</t>
  </si>
  <si>
    <t>1098782945</t>
  </si>
  <si>
    <t>1130608442</t>
  </si>
  <si>
    <t>GAVIRIA SANDRA</t>
  </si>
  <si>
    <t>DIAZ RAMIREZ CARLOS ANDRES</t>
  </si>
  <si>
    <t>AGUILON TOVAR WILLIAM ALEJANDRO</t>
  </si>
  <si>
    <t>1001967605</t>
  </si>
  <si>
    <t>GÓMEZ CARVAJAL JUAN CAMILO</t>
  </si>
  <si>
    <t>MENDEZ CINDY PAOLA</t>
  </si>
  <si>
    <t>1010227351</t>
  </si>
  <si>
    <t>1023905834</t>
  </si>
  <si>
    <t>MALDONADO SALAMANCA SERGIO DUVAN</t>
  </si>
  <si>
    <t>1128434431</t>
  </si>
  <si>
    <t>1140875763</t>
  </si>
  <si>
    <t>JESSURUM PORTO BRAYAN</t>
  </si>
  <si>
    <t>CASTAÑO ALZATE JULIÁN DAVID</t>
  </si>
  <si>
    <t>1152440741</t>
  </si>
  <si>
    <t>1109001688</t>
  </si>
  <si>
    <t>GONZALEZ ZULY YARLEIDY</t>
  </si>
  <si>
    <t>SEQUERA GALLEGOS DIXON ALEJANDRO</t>
  </si>
  <si>
    <t>MOSQUERA KEINER STEVEN</t>
  </si>
  <si>
    <t>LEON BERNAL MAICOL ALEJANDRO</t>
  </si>
  <si>
    <t>6700505</t>
  </si>
  <si>
    <t>1128844673</t>
  </si>
  <si>
    <t>1024542304</t>
  </si>
  <si>
    <t>CARVAJAL HERNANDEZ YANIOR ESTEBAN</t>
  </si>
  <si>
    <t>1112487176</t>
  </si>
  <si>
    <t>SALGADO GONZALEZ LAURA CRISTINA</t>
  </si>
  <si>
    <t>1020460654</t>
  </si>
  <si>
    <t>LE LLEGA LA RQ POR CORREO Y MELISA SE LA ASIGNA EN VUM, SE REVISAN DATOS Y JEFE INMEDIATO Y SI HAY REFERIDOS, SI HAY REFERIDOS PASA A ENTREVISTA SI NO SE RECLUTA Y DESPUES SE PASA A ENTREVISTA CON EL LIDER Y SE LES EXPLICA LAS CONDICIONES LABORALES DESPUES SE ELIJE A LA PERSONA Y SE SUBE A VUM SE HACE TODA LA REVISION DOCUMENTAL, PRUEBAS Y ESTUDIO DE SEGURIDAD, SIMULTANEAMENTE SE HACEN EXAMNENES MEDICOS Y SE CONTRATA (ES IMPORTANTE ACLARAR QUE EL ESTUDIO DE SEGURIDAD SE DEMORA 5 DIAS Y SE LE ACLARA A LA PERSONA QUE SI NO PASA SE CANCELA CONTRATO, EL ESTUDIO DE SEGURIDAD NO APLICA PARA CONSULTORES SE HACE UNA VALIDACION DE DOCUMENTACION Y YA), DESPUES SE CONFIRMA QUE LA PERSONA FIRMA Y SE ENVIA CORREO NOTIFICANDO EL INGRESO.</t>
  </si>
  <si>
    <t>TAF</t>
  </si>
  <si>
    <t>COSXDIA</t>
  </si>
  <si>
    <t>73211275</t>
  </si>
  <si>
    <t>CABRERA MORALES JOSÉ FERNANDO</t>
  </si>
  <si>
    <t>SUPERNUMERARIO VACACIONES</t>
  </si>
  <si>
    <t>CHITIVA JIMENEZ EDISON ADOLFO</t>
  </si>
  <si>
    <t>ALBA ANGULO NANCY YERALDIN</t>
  </si>
  <si>
    <t>GOMEZ JULIANA</t>
  </si>
  <si>
    <t>80254785</t>
  </si>
  <si>
    <t>1107978764</t>
  </si>
  <si>
    <t>NIVEL 2, PASILLO H&amp;M. CENTRO COMERCIAL MALL PLAZA AVENIDA PEDRO DE HEREDIA 13, CARTAGENA DE INDIAS, B</t>
  </si>
  <si>
    <t>CHAVARRO SILVA ANDRES FELIPE</t>
  </si>
  <si>
    <t>1033683370</t>
  </si>
  <si>
    <t xml:space="preserve">ALKOSTO KTRONIX CARTAGENA </t>
  </si>
  <si>
    <t>7573788</t>
  </si>
  <si>
    <t>PEREZ FREDY</t>
  </si>
  <si>
    <t>1104700370</t>
  </si>
  <si>
    <t>1005332649</t>
  </si>
  <si>
    <t>1033785463</t>
  </si>
  <si>
    <t>TORO JUAN DAVID</t>
  </si>
  <si>
    <t>PINZON YEILY ALEJANDRA</t>
  </si>
  <si>
    <t>DIAZ HOYOS BRIAN ANDRES</t>
  </si>
  <si>
    <t>LONDOÑO YEISON</t>
  </si>
  <si>
    <t>RODRIGUEZ BARBOSA HEIDY</t>
  </si>
  <si>
    <t>52223584</t>
  </si>
  <si>
    <t>BURGOS VELANDIA JHEYMY CYRLEY</t>
  </si>
  <si>
    <t>1098748256</t>
  </si>
  <si>
    <t>80829292</t>
  </si>
  <si>
    <t>CAV VENTURA TERREROS</t>
  </si>
  <si>
    <t>CRA 1 # 38-53 CC VENTURA TERREROS, LOCAL 113</t>
  </si>
  <si>
    <t>CLL 185 # 45 - 03 LC N1-022</t>
  </si>
  <si>
    <t>AV CARRERA 45 (AUTO NORTE) NO. 166-68</t>
  </si>
  <si>
    <t xml:space="preserve"> CRA 7 N° 22-20</t>
  </si>
  <si>
    <t xml:space="preserve">CARRERA 51 N° 59 C SUR 93 LC 1-23 Y 1-24 </t>
  </si>
  <si>
    <t>CLARO CL CAV MADELENA (EL ENSUEÑO)</t>
  </si>
  <si>
    <t>CARRERA 23 166-86</t>
  </si>
  <si>
    <t>CC PLAZA DE LAS AMÉRICAS CRA 71D NO. 6-94 SUR, LOCAL 1639</t>
  </si>
  <si>
    <t>AV BOYACÁ # 80-94-CC TITÁN PLAZA, LOCAL 362-363</t>
  </si>
  <si>
    <t>CALLE 57D SUR 78H 14, LOCAL 115 Y 115B</t>
  </si>
  <si>
    <t>VEGA DUVAN FELIPE</t>
  </si>
  <si>
    <t>GRANDETT PERNETT JOSE GABRIEL</t>
  </si>
  <si>
    <t>REGINO JOHN ALEJANDRO</t>
  </si>
  <si>
    <t>1067925258</t>
  </si>
  <si>
    <t>JARAMILLO GALVIS DANIELA</t>
  </si>
  <si>
    <t>1117539387</t>
  </si>
  <si>
    <t>EN CREACION_60</t>
  </si>
  <si>
    <t>MANSION FLORENCIA</t>
  </si>
  <si>
    <t xml:space="preserve">CARRERA 11# 17-37 </t>
  </si>
  <si>
    <t>FECHA NACIMIENTO</t>
  </si>
  <si>
    <t>GENERO</t>
  </si>
  <si>
    <t>EDAD AÑOS</t>
  </si>
  <si>
    <t>FEMENINO</t>
  </si>
  <si>
    <t>MASCULINO</t>
  </si>
  <si>
    <t>USECHE HIDALGO JINJANI</t>
  </si>
  <si>
    <t>1122920879</t>
  </si>
  <si>
    <t>RONDON FLOREZ SEBASTIAN</t>
  </si>
  <si>
    <t>1098770203</t>
  </si>
  <si>
    <t>LANCHEROS PADILLA MARÍA VALENTINA</t>
  </si>
  <si>
    <t>1016011500</t>
  </si>
  <si>
    <t>joiner.pena@visionymarketing.com.co</t>
  </si>
  <si>
    <t>victor.alfonso@visionymarketing.com.co</t>
  </si>
  <si>
    <t>MIRANDA GABRIEL</t>
  </si>
  <si>
    <t>1243339248</t>
  </si>
  <si>
    <t>TRIANA CALDERON ZAIRA</t>
  </si>
  <si>
    <t>1028940388</t>
  </si>
  <si>
    <t>MELO URIBE JHON FREDY</t>
  </si>
  <si>
    <t>1033691045</t>
  </si>
  <si>
    <t>LEMUS LOZANO LEKAN YESID</t>
  </si>
  <si>
    <t>1007766667</t>
  </si>
  <si>
    <t>Total ALKOSTO</t>
  </si>
  <si>
    <t>1082858340</t>
  </si>
  <si>
    <t>PEÑARANDA LOBO DAVID OSVALDO</t>
  </si>
  <si>
    <t>Total EXITO</t>
  </si>
  <si>
    <t>Total SPECIALITY</t>
  </si>
  <si>
    <t>Total FALABELLA</t>
  </si>
  <si>
    <t>Total GROUP NORORIENTE</t>
  </si>
  <si>
    <t>Total CENCOSUD</t>
  </si>
  <si>
    <t>Total GROUP SUROCCIDENTE</t>
  </si>
  <si>
    <t>Total GROUP MEDELLIN</t>
  </si>
  <si>
    <t>Total OLIMPICA</t>
  </si>
  <si>
    <t xml:space="preserve">Total CLARO </t>
  </si>
  <si>
    <t>Total WHOLESALERS</t>
  </si>
  <si>
    <t>GALINDO MERCADO LUIS GUILLERMO</t>
  </si>
  <si>
    <t>1082881365</t>
  </si>
  <si>
    <t>1022358597</t>
  </si>
  <si>
    <t>1014241270</t>
  </si>
  <si>
    <t>ANGEL SABOGAL CAMILO ANDRES</t>
  </si>
  <si>
    <t>1070016600</t>
  </si>
  <si>
    <t>QUINTERO GOMEZ GILLIAN</t>
  </si>
  <si>
    <t>CAMACHO JORGE ANDRES MAURICIO</t>
  </si>
  <si>
    <t>1005282389</t>
  </si>
  <si>
    <t>CRA. 54 #5C - 66</t>
  </si>
  <si>
    <t xml:space="preserve">CRA. 58B #130A-13 PISO 2, SUBA, BOGOTÁ, COLOMBIA </t>
  </si>
  <si>
    <t>ROJAS RINCÓN WILSON ANÍBAL</t>
  </si>
  <si>
    <t>13</t>
  </si>
  <si>
    <t>ARIAS MARTINEZ KATHERIN YULIETH</t>
  </si>
  <si>
    <t>1000127436</t>
  </si>
  <si>
    <t>JIMENEZ OCHOA LEONARDO ANTONIO</t>
  </si>
  <si>
    <t>MONTOYA MARIA FERNANDA</t>
  </si>
  <si>
    <t>EXITO VALLE DE LILI</t>
  </si>
  <si>
    <t xml:space="preserve">CRA. 98B #25-130, COMUNA 17, CALI, VALLE DEL CAUCA, COLOMBIA </t>
  </si>
  <si>
    <t>EXITO SABANETA</t>
  </si>
  <si>
    <t xml:space="preserve">CL. 74A SUR #44-11, SABANETA, ANTIOQUIA, COLOMBIA </t>
  </si>
  <si>
    <t>CRA 50 A # 41-42</t>
  </si>
  <si>
    <t>MEJIA SANCHEZ CARLOS DAVID</t>
  </si>
  <si>
    <t>PATIÑO JUAN CARLOS</t>
  </si>
  <si>
    <t>CASTILLO JUAN</t>
  </si>
  <si>
    <t>1098611293</t>
  </si>
  <si>
    <t>ALKOSTO_0015</t>
  </si>
  <si>
    <t>C813_00000000006898</t>
  </si>
  <si>
    <t>C813_00000000000697</t>
  </si>
  <si>
    <t>35199443</t>
  </si>
  <si>
    <t>HERNANDEZ HERRERA MARIA VERONICA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</si>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</sst>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&quot;$&quot;* #,##0.00_);_(&quot;$&quot;* \(#,##0.00\);_(&quot;$&quot;* &quot;-&quot;??_);_(@_)"/>
    <numFmt numFmtId="165" formatCode="0.0"/>
    <numFmt numFmtId="166" formatCode="_-* #,##0.00\ _$_-;\-* #,##0.00\ _$_-;_-* &quot;-&quot;??\ _$_-;_-@_-"/>
    <numFmt numFmtId="167" formatCode="_ &quot;$&quot;\ * #,##0.00_ ;_ &quot;$&quot;\ * \-#,##0.00_ ;_ &quot;$&quot;\ * &quot;-&quot;??_ ;_ @_ "/>
    <numFmt numFmtId="168" formatCode="m/d/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ptos Narrow"/>
      <family val="2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  <font>
      <sz val="12"/>
      <color rgb="FF000000"/>
      <name val="Calibri"/>
      <family val="1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rgb="FF000000"/>
      <name val="Aptos"/>
      <family val="2"/>
    </font>
    <font>
      <sz val="10"/>
      <color rgb="FF000000"/>
      <name val="Aptos Narrow"/>
      <family val="2"/>
    </font>
    <font>
      <sz val="10"/>
      <name val="Arial"/>
      <family val="2"/>
    </font>
    <font>
      <sz val="9"/>
      <color theme="1"/>
      <name val="Aptos Narrow"/>
      <family val="2"/>
    </font>
    <font>
      <sz val="9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dashed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8" fillId="0" borderId="0" applyBorder="0" applyAlignment="0" applyProtection="0"/>
    <xf numFmtId="0" fontId="8" fillId="0" borderId="0" applyBorder="0" applyAlignment="0" applyProtection="0"/>
    <xf numFmtId="0" fontId="1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14" fontId="5" fillId="0" borderId="5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165" fontId="0" fillId="0" borderId="0" xfId="0" applyNumberFormat="1"/>
    <xf numFmtId="0" fontId="9" fillId="2" borderId="10" xfId="0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49" fontId="5" fillId="0" borderId="7" xfId="0" applyNumberFormat="1" applyFont="1" applyBorder="1" applyAlignment="1">
      <alignment horizontal="center" vertical="center"/>
    </xf>
    <xf numFmtId="10" fontId="0" fillId="0" borderId="0" xfId="0" applyNumberFormat="1"/>
    <xf numFmtId="0" fontId="2" fillId="0" borderId="6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68" fontId="12" fillId="0" borderId="0" xfId="0" applyNumberFormat="1" applyFont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0" fillId="0" borderId="0" xfId="0" pivotButton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64" fontId="0" fillId="0" borderId="0" xfId="9" applyFont="1"/>
    <xf numFmtId="164" fontId="0" fillId="0" borderId="0" xfId="9" applyFont="1" applyAlignment="1">
      <alignment horizontal="left"/>
    </xf>
    <xf numFmtId="164" fontId="0" fillId="0" borderId="0" xfId="0" applyNumberFormat="1"/>
    <xf numFmtId="14" fontId="9" fillId="2" borderId="10" xfId="0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49" fontId="6" fillId="2" borderId="1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readingOrder="1"/>
    </xf>
    <xf numFmtId="49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 readingOrder="1"/>
    </xf>
    <xf numFmtId="0" fontId="11" fillId="0" borderId="0" xfId="0" applyFont="1"/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0">
    <cellStyle name="Millares 2 3" xfId="6" xr:uid="{67A102E9-2442-402B-A00C-B1B3D12ECC8F}"/>
    <cellStyle name="Moneda" xfId="9" builtinId="4"/>
    <cellStyle name="Moneda 3 2" xfId="7" xr:uid="{BAC7DFCE-67D2-4C67-9329-14ED758B2DED}"/>
    <cellStyle name="Moneda 5" xfId="8" xr:uid="{C1DA6062-F146-4B85-9B26-2783EB2B4622}"/>
    <cellStyle name="Normal" xfId="0" builtinId="0"/>
    <cellStyle name="Normal 2" xfId="2" xr:uid="{A8FF6B8B-8465-44AC-864D-53D074E3C415}"/>
    <cellStyle name="Normal 3" xfId="1" xr:uid="{FA1A4EFD-223D-440C-8C22-195199D17BB3}"/>
    <cellStyle name="Normal 4" xfId="3" xr:uid="{D0E33D0D-454F-4660-B42F-6E3A172F3DBC}"/>
    <cellStyle name="Normal 5" xfId="4" xr:uid="{95E3D6E4-CB58-418A-8A57-B38F6CCAF910}"/>
    <cellStyle name="Porcentaje 3" xfId="5" xr:uid="{E2D4EEBF-2AD0-418F-82B5-E36AD9EF88F8}"/>
  </cellStyles>
  <dxfs count="5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EECED"/>
        </patternFill>
      </fill>
    </dxf>
    <dxf>
      <fill>
        <patternFill>
          <bgColor rgb="FFFEECED"/>
        </patternFill>
      </fill>
    </dxf>
    <dxf>
      <fill>
        <patternFill>
          <bgColor rgb="FFFEECED"/>
        </patternFill>
      </fill>
    </dxf>
    <dxf>
      <fill>
        <patternFill>
          <bgColor rgb="FFFEECED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EECE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165" formatCode="0.0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0.0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0.0"/>
    </dxf>
    <dxf>
      <fill>
        <patternFill patternType="none">
          <bgColor auto="1"/>
        </patternFill>
      </fill>
    </dxf>
    <dxf>
      <numFmt numFmtId="165" formatCode="0.0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</dxf>
    <dxf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8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8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8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8" formatCode="m/d/yyyy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168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8" formatCode="m/d/yyyy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8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8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numFmt numFmtId="168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dashed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dashed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dashed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dashed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border>
        <bottom style="thin">
          <color theme="1"/>
        </bottom>
      </border>
    </dxf>
    <dxf>
      <font>
        <color theme="1"/>
      </font>
      <border>
        <top style="thin">
          <color theme="1"/>
        </top>
        <bottom style="thin">
          <color theme="1"/>
        </bottom>
      </border>
    </dxf>
  </dxfs>
  <tableStyles count="2" defaultTableStyle="TableStyleMedium2" defaultPivotStyle="PivotStyleLight16">
    <tableStyle name="Invisible" pivot="0" table="0" count="0" xr9:uid="{1D8CDCBA-1260-4F13-8D9E-731118DFE6B6}"/>
    <tableStyle name="Nuevo" pivot="0" count="9" xr9:uid="{18459D32-29A1-45ED-9BD4-7620E1C35135}">
      <tableStyleElement type="wholeTable" dxfId="543"/>
      <tableStyleElement type="headerRow" dxfId="542"/>
      <tableStyleElement type="totalRow" dxfId="541"/>
      <tableStyleElement type="firstColumn" dxfId="540"/>
      <tableStyleElement type="lastColumn" dxfId="539"/>
      <tableStyleElement type="firstRowStripe" dxfId="538"/>
      <tableStyleElement type="secondRowStripe" dxfId="537"/>
      <tableStyleElement type="firstColumnStripe" dxfId="536"/>
      <tableStyleElement type="secondColumnStripe" dxfId="53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6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microsoft.com/office/2017/10/relationships/person" Target="persons/person.xml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microsoft.com/office/2007/relationships/slicerCache" Target="slicerCaches/slicerCache9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7.xml"/><Relationship Id="rId41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4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microsoft.com/office/2007/relationships/slicerCache" Target="slicerCaches/slicerCache8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microsoft.com/office/2007/relationships/slicerCache" Target="slicerCaches/slicerCache3.xml"/><Relationship Id="rId19" Type="http://schemas.openxmlformats.org/officeDocument/2006/relationships/styles" Target="styles.xml"/><Relationship Id="rId31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07/relationships/slicerCache" Target="slicerCaches/slicerCache7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12" Type="http://schemas.microsoft.com/office/2007/relationships/slicerCache" Target="slicerCaches/slicerCache5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19050</xdr:rowOff>
    </xdr:from>
    <xdr:to>
      <xdr:col>1</xdr:col>
      <xdr:colOff>2173061</xdr:colOff>
      <xdr:row>7</xdr:row>
      <xdr:rowOff>125550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IA">
              <a:extLst>
                <a:ext uri="{FF2B5EF4-FFF2-40B4-BE49-F238E27FC236}">
                  <a16:creationId xmlns:a16="http://schemas.microsoft.com/office/drawing/2014/main" id="{D8942904-E0FC-6997-74C8-99B16F7F8C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6079" y="19050"/>
              <a:ext cx="1830160" cy="14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247650</xdr:colOff>
      <xdr:row>7</xdr:row>
      <xdr:rowOff>106500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VISION">
              <a:extLst>
                <a:ext uri="{FF2B5EF4-FFF2-40B4-BE49-F238E27FC236}">
                  <a16:creationId xmlns:a16="http://schemas.microsoft.com/office/drawing/2014/main" id="{97C80CAF-4978-3E0D-0495-BC84FBB4BE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VIS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6079" cy="14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2216604</xdr:colOff>
      <xdr:row>0</xdr:row>
      <xdr:rowOff>0</xdr:rowOff>
    </xdr:from>
    <xdr:to>
      <xdr:col>4</xdr:col>
      <xdr:colOff>44904</xdr:colOff>
      <xdr:row>7</xdr:row>
      <xdr:rowOff>106500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RUPO">
              <a:extLst>
                <a:ext uri="{FF2B5EF4-FFF2-40B4-BE49-F238E27FC236}">
                  <a16:creationId xmlns:a16="http://schemas.microsoft.com/office/drawing/2014/main" id="{1372DB90-AB1A-3797-1B69-4CAE295E8C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6675" y="0"/>
              <a:ext cx="1828800" cy="137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92529</xdr:colOff>
      <xdr:row>0</xdr:row>
      <xdr:rowOff>0</xdr:rowOff>
    </xdr:from>
    <xdr:to>
      <xdr:col>6</xdr:col>
      <xdr:colOff>493032</xdr:colOff>
      <xdr:row>7</xdr:row>
      <xdr:rowOff>106500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DENA">
              <a:extLst>
                <a:ext uri="{FF2B5EF4-FFF2-40B4-BE49-F238E27FC236}">
                  <a16:creationId xmlns:a16="http://schemas.microsoft.com/office/drawing/2014/main" id="{B0A6294E-99F2-F67D-4886-965A29231F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DE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53100" y="0"/>
              <a:ext cx="1997075" cy="137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526142</xdr:colOff>
      <xdr:row>0</xdr:row>
      <xdr:rowOff>37193</xdr:rowOff>
    </xdr:from>
    <xdr:to>
      <xdr:col>9</xdr:col>
      <xdr:colOff>22677</xdr:colOff>
      <xdr:row>7</xdr:row>
      <xdr:rowOff>143693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EGION">
              <a:extLst>
                <a:ext uri="{FF2B5EF4-FFF2-40B4-BE49-F238E27FC236}">
                  <a16:creationId xmlns:a16="http://schemas.microsoft.com/office/drawing/2014/main" id="{05606C44-DB4E-F511-4E4B-CBF1CA1CCC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83285" y="37193"/>
              <a:ext cx="1891392" cy="137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83909</xdr:colOff>
      <xdr:row>0</xdr:row>
      <xdr:rowOff>0</xdr:rowOff>
    </xdr:from>
    <xdr:to>
      <xdr:col>13</xdr:col>
      <xdr:colOff>172355</xdr:colOff>
      <xdr:row>7</xdr:row>
      <xdr:rowOff>149679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PERVISOR">
              <a:extLst>
                <a:ext uri="{FF2B5EF4-FFF2-40B4-BE49-F238E27FC236}">
                  <a16:creationId xmlns:a16="http://schemas.microsoft.com/office/drawing/2014/main" id="{BB9D67A3-F974-73BB-B2A3-2D46CC7ABF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PERVIS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35909" y="0"/>
              <a:ext cx="3281589" cy="14196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204560</xdr:colOff>
      <xdr:row>0</xdr:row>
      <xdr:rowOff>0</xdr:rowOff>
    </xdr:from>
    <xdr:to>
      <xdr:col>17</xdr:col>
      <xdr:colOff>167820</xdr:colOff>
      <xdr:row>7</xdr:row>
      <xdr:rowOff>163286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OORDINADOR">
              <a:extLst>
                <a:ext uri="{FF2B5EF4-FFF2-40B4-BE49-F238E27FC236}">
                  <a16:creationId xmlns:a16="http://schemas.microsoft.com/office/drawing/2014/main" id="{1401334E-2522-D288-8307-B01EDBBAA0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ORDIN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49703" y="0"/>
              <a:ext cx="3156403" cy="14332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698499</xdr:colOff>
      <xdr:row>8</xdr:row>
      <xdr:rowOff>31750</xdr:rowOff>
    </xdr:from>
    <xdr:to>
      <xdr:col>8</xdr:col>
      <xdr:colOff>281215</xdr:colOff>
      <xdr:row>19</xdr:row>
      <xdr:rowOff>136072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IUDAD">
              <a:extLst>
                <a:ext uri="{FF2B5EF4-FFF2-40B4-BE49-F238E27FC236}">
                  <a16:creationId xmlns:a16="http://schemas.microsoft.com/office/drawing/2014/main" id="{89E08177-F3AC-B905-BF0F-D57B7B56EF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60785" y="1483179"/>
              <a:ext cx="3574144" cy="21000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199571</xdr:colOff>
      <xdr:row>89</xdr:row>
      <xdr:rowOff>22679</xdr:rowOff>
    </xdr:from>
    <xdr:to>
      <xdr:col>6</xdr:col>
      <xdr:colOff>1088571</xdr:colOff>
      <xdr:row>96</xdr:row>
      <xdr:rowOff>27215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NOVEDAD">
              <a:extLst>
                <a:ext uri="{FF2B5EF4-FFF2-40B4-BE49-F238E27FC236}">
                  <a16:creationId xmlns:a16="http://schemas.microsoft.com/office/drawing/2014/main" id="{C0B64C87-3198-9F16-E684-C3CADEF427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VE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53428" y="18174608"/>
              <a:ext cx="3873500" cy="12745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yan David Munoz Clavijo" refreshedDate="46311.681406249998" createdVersion="8" refreshedVersion="8" minRefreshableVersion="3" recordCount="37" xr:uid="{0E406772-9015-4B53-90CB-8DBB599A2DC6}">
  <cacheSource type="worksheet">
    <worksheetSource name="Tabla5"/>
  </cacheSource>
  <cacheFields count="12">
    <cacheField name="ESTADO" numFmtId="0">
      <sharedItems/>
    </cacheField>
    <cacheField name="TIPO" numFmtId="0">
      <sharedItems/>
    </cacheField>
    <cacheField name="NOVEDAD" numFmtId="0">
      <sharedItems/>
    </cacheField>
    <cacheField name="CEDULA" numFmtId="49">
      <sharedItems/>
    </cacheField>
    <cacheField name="NOMBRE" numFmtId="0">
      <sharedItems/>
    </cacheField>
    <cacheField name="TELEFONOS" numFmtId="0">
      <sharedItems containsMixedTypes="1" containsNumber="1" containsInteger="1" minValue="3102620243" maxValue="3145728682"/>
    </cacheField>
    <cacheField name="MAIL" numFmtId="0">
      <sharedItems/>
    </cacheField>
    <cacheField name="CATEGORIA" numFmtId="0">
      <sharedItems containsBlank="1" count="15">
        <s v="SUPERVISOR "/>
        <s v="COORDINADOR "/>
        <s v="DIRECTOR DE CUENTA"/>
        <s v="ENTRENADOR"/>
        <s v="VISUAL DISPLAY"/>
        <s v="ANALISTA"/>
        <s v="CITY MANAGER" u="1"/>
        <s v="GESTOR DE NEGOCIOS" u="1"/>
        <s v="COORDINADOR B2B" u="1"/>
        <s v="REPRESENTANTE DE VENTA" u="1"/>
        <s v="COORDINADOR NEGOCIO" u="1"/>
        <s v="DESARROLLADOR DE NEGOCIOS" u="1"/>
        <s v="COORDINADOR ENTRENAMIENTO" u="1"/>
        <s v="ANALISTA DE INFORMACION" u="1"/>
        <m u="1"/>
      </sharedItems>
    </cacheField>
    <cacheField name="RANGO" numFmtId="0">
      <sharedItems containsBlank="1" count="33">
        <s v="SUPERVISOR EXPERTO"/>
        <s v="SUPERVISOR ESPECIALISTA"/>
        <s v="SUPERVISOR MASTER"/>
        <s v="COORDINADOR ESPECIALISTA"/>
        <s v="COORDINADOR MASTER"/>
        <s v="DIRECTOR CUENTA"/>
        <s v="ENTRENADOR MASTER"/>
        <s v="ENTRENADOR ESPECIALISTA"/>
        <s v="EXPERTO PRODUCTO"/>
        <s v="ENTRENADOR EXPERTO"/>
        <s v="VISUAL DISPLAY MASTER"/>
        <s v="ANALISTA BI"/>
        <s v="COORDINADOR EXPERTO" u="1"/>
        <s v="DIRECTOR CUENTA JUNIOR" u="1"/>
        <s v="CITY MANAGER ESPECIALISTA" u="1"/>
        <s v="CITY MANAGER MASTER" u="1"/>
        <s v="CITY MANAGER EXPERTO" u="1"/>
        <s v="REPRESENTANTE DE VENTA" u="1"/>
        <s v="DESARROLLADOR DE NEGOCIOS EXPERTO" u="1"/>
        <s v="DESARROLLADOR DE NEGOCIOS ESPECIALISTA" u="1"/>
        <s v="DESARROLLADOR DE NEGOCIOS MASTER" u="1"/>
        <s v="VISUAL DISPLAY ESPECIALISTA" u="1"/>
        <s v="SUPERVISOR EXPERTO(GESTOR DE NEGOCIOS)" u="1"/>
        <s v="SUPERVISOR ESPECIALISTA(GESTOR DE NEGOCIOS)" u="1"/>
        <s v="ENTRENADOR ESPECIALISTA DE PRODUCTO" u="1"/>
        <s v="COORDINADOR ENTRENAMIENTO" u="1"/>
        <s v="VISUAL MERCHANDISING" u="1"/>
        <s v="EXPERTO DE PRODUCTO" u="1"/>
        <s v="VISUAL DISPLAY MASTER CON MOTO" u="1"/>
        <s v="ENTRENADOR MASTER " u="1"/>
        <s v="SUPERVISOR MASTER(GESTOR DE NEGOCIOS)" u="1"/>
        <s v="COORDINADOR B2B" u="1"/>
        <m u="1"/>
      </sharedItems>
    </cacheField>
    <cacheField name="DIVISION" numFmtId="0">
      <sharedItems containsBlank="1" count="7">
        <s v="VD"/>
        <s v="CE"/>
        <s v="OS"/>
        <s v="MX" u="1"/>
        <s v="HA" u="1"/>
        <s v="EB" u="1"/>
        <m u="1"/>
      </sharedItems>
    </cacheField>
    <cacheField name="CIUDAD" numFmtId="0">
      <sharedItems/>
    </cacheField>
    <cacheField name="DISPERSION DE CUPOS" numFmtId="0">
      <sharedItems containsSemiMixedTypes="0" containsString="0" containsNumber="1" minValue="0.5" maxValue="1"/>
    </cacheField>
  </cacheFields>
  <extLst>
    <ext xmlns:x14="http://schemas.microsoft.com/office/spreadsheetml/2009/9/main" uri="{725AE2AE-9491-48be-B2B4-4EB974FC3084}">
      <x14:pivotCacheDefinition pivotCacheId="116616947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yan David Munoz Clavijo" refreshedDate="46311.687383796299" createdVersion="8" refreshedVersion="8" minRefreshableVersion="3" recordCount="718" xr:uid="{4B9009E6-C101-450E-9681-94B568FB2CFB}">
  <cacheSource type="worksheet">
    <worksheetSource name="NHC_78"/>
  </cacheSource>
  <cacheFields count="37">
    <cacheField name="ESTADO" numFmtId="0">
      <sharedItems count="3">
        <s v="ACTIVO"/>
        <s v="VACANTE"/>
        <s v="INASISTIDO" u="1"/>
      </sharedItems>
    </cacheField>
    <cacheField name="TIPO" numFmtId="0">
      <sharedItems count="12">
        <s v="CUPO FIJO"/>
        <s v="FRAME"/>
        <s v="IN HOUSE"/>
        <s v="CUPO APOYO TABLET" u="1"/>
        <s v="CUPO NUEVO" u="1"/>
        <s v="B2B" u="1"/>
        <s v="CUPO NUEVA" u="1"/>
        <s v="APOYO TEMPORADA" u="1"/>
        <s v="APOYO TROPA" u="1"/>
        <s v="TROPA FULL TIME" u="1"/>
        <s v="PART TIME" u="1"/>
        <s v="TROPA VD" u="1"/>
      </sharedItems>
    </cacheField>
    <cacheField name="NOVEDAD" numFmtId="0">
      <sharedItems count="7">
        <s v="SIN NOVEDAD"/>
        <s v="SUPERNUMERARIO"/>
        <s v="VACACIONES"/>
        <s v="SUPERNUMERARIO VACACIONES"/>
        <s v="CUPO NUEVO"/>
        <s v="INCAPACIDAD"/>
        <s v="LICENCIA" u="1"/>
      </sharedItems>
    </cacheField>
    <cacheField name="CEDULA" numFmtId="0">
      <sharedItems/>
    </cacheField>
    <cacheField name="NOMBRE" numFmtId="0">
      <sharedItems/>
    </cacheField>
    <cacheField name="RANGO" numFmtId="0">
      <sharedItems count="34">
        <s v="ANALISTA BI"/>
        <s v="CONSULTOR ESPECIALISTA"/>
        <s v="CONSULTOR PROFESIONAL"/>
        <s v="CONSULTOR EXPERTO"/>
        <s v="CONSULTOR MASTER"/>
        <s v="COORDINADOR ESPECIALISTA"/>
        <s v="COORDINADOR MASTER"/>
        <s v="DIRECTOR CUENTA"/>
        <s v="ENTRENADOR ESPECIALISTA"/>
        <s v="ENTRENADOR EXPERTO"/>
        <s v="ENTRENADOR MASTER"/>
        <s v="EXPERTO PRODUCTO"/>
        <s v="SUPERVISOR ESPECIALISTA"/>
        <s v="SUPERVISOR EXPERTO"/>
        <s v="SUPERVISOR MASTER"/>
        <s v="VISUAL DISPLAY MASTER"/>
        <s v="CONSULTOR ELITE" u="1"/>
        <s v="COORDINADOR EXPERTO" u="1"/>
        <s v="DESARROLLADOR DE NEGOCIOS ESPECIALISTA" u="1"/>
        <s v="DESARROLLADOR DE NEGOCIOS EXPERTO" u="1"/>
        <s v="DESARROLLADOR DE NEGOCIOS MASTER" u="1"/>
        <s v="DIRECTOR CUENTA JUNIOR" u="1"/>
        <s v="REPRESENTANTE DE VENTA" u="1"/>
        <s v="CITY MANAGER ESPECIALISTA" u="1"/>
        <s v="CITY MANAGER EXPERTO" u="1"/>
        <s v="CITY MANAGER MASTER" u="1"/>
        <s v="VISUAL DISPLAY ESPECIALISTA" u="1"/>
        <s v="VACANTE" u="1"/>
        <s v="COORDINADOR ENTRENAMIENTO" u="1"/>
        <s v="VISUAL DISPLAY" u="1"/>
        <s v="ANALISTA DE INFORMACION" u="1"/>
        <s v="COORDINADOR DE ENTRENAMIENTO" u="1"/>
        <s v="DIRECTOR DE CUENTA" u="1"/>
        <s v="CONSULTOR ESPECIALISTA TELEMERCADEO" u="1"/>
      </sharedItems>
    </cacheField>
    <cacheField name="CATEGORIA" numFmtId="0">
      <sharedItems count="18">
        <s v="ANALISTA"/>
        <s v="CONSULTOR"/>
        <s v="COORDINADOR "/>
        <s v="DIRECTOR DE CUENTA"/>
        <s v="ENTRENADOR"/>
        <s v="SUPERVISOR "/>
        <s v="VISUAL DISPLAY"/>
        <s v="COORDINADOR B2B" u="1"/>
        <s v="COORDINADOR NEGOCIO" u="1"/>
        <s v="DESARROLLADOR DE NEGOCIOS" u="1"/>
        <s v="GESTOR DE NEGOCIOS" u="1"/>
        <s v="REPRESENTANTE DE VENTA" u="1"/>
        <s v="CITY MANAGER" u="1"/>
        <s v=" " u="1"/>
        <s v="COORDINADOR ENTRENAMIENTO" u="1"/>
        <s v="SUPERVISOR ESPECIALISTA" u="1"/>
        <s v="SUPERVISOR EXPERTO" u="1"/>
        <s v="SUPERVISOR MASTER" u="1"/>
      </sharedItems>
    </cacheField>
    <cacheField name="DIVISION" numFmtId="0">
      <sharedItems count="6">
        <s v="OS"/>
        <s v="EB"/>
        <s v="VD"/>
        <s v="MX" u="1"/>
        <s v="HA" u="1"/>
        <s v="CE" u="1"/>
      </sharedItems>
    </cacheField>
    <cacheField name="COD POS" numFmtId="0">
      <sharedItems/>
    </cacheField>
    <cacheField name="NOMBRE POS" numFmtId="0">
      <sharedItems containsBlank="1" count="1133">
        <s v="NO APLICA"/>
        <s v="K-TRONIX ALKOSTO 94"/>
        <s v="K-TRONIX ALKOSTO SALITRE"/>
        <s v="ALKOSTO FLORIDABLANCA"/>
        <s v="ALKOSTO CALLE 170"/>
        <s v="K-TRONIX ALKOSTO EL TESORO"/>
        <s v="ALKOSTO BARRANQUILLA"/>
        <s v="ALKOSTO CALI"/>
        <s v="ALKOSTO VENECIA"/>
        <s v="K-TRONIX ALKOSTO UNICENTRO KRA 15"/>
        <s v="ALKOSTO PEREIRA"/>
        <s v="K-TRONIX ALKOSTO POBLADO"/>
        <s v="ALKOSTO Ktronix Tunja (KTTUN)"/>
        <s v="K-TRONIX ALKOSTO FONTANAR CHÍA"/>
        <s v="K-TRONIX ALKOSTO CENTROMAYOR"/>
        <s v="K-TRONIX ALKOSTO PLAZA DE LAS AMÉRICAS"/>
        <s v="K-TRONIX ALKOSTO MANIZALEZ"/>
        <s v="ALKOSTO AVENIDA 68"/>
        <s v="ALKOSTO VILLAVICENCIO"/>
        <s v="K-TRONIX ALKOSTO VILLAVICENCIO"/>
        <s v="ALKOSTO CALI NORTE"/>
        <s v="EXITO PEREIRA"/>
        <s v="EXITO UNICALI"/>
        <s v="CLARO CAV SOACHA"/>
        <s v="CAV VENTURA TERREROS"/>
        <s v="EXITO BUCARAMANGA"/>
        <s v="CENCOSUD - METRO LIBERTADORES"/>
        <s v="CENCOSUD METRO VENTURA"/>
        <s v="EXITO SAN MATEO CUCUTA"/>
        <s v="OLIMPICA Hipodromo"/>
        <s v="FALABELLA CENTRO MAYOR"/>
        <s v="Dubo Cucuta"/>
        <s v="HVC 2 CUCUTA ISLA DEL CONDE"/>
        <s v="EXITO IBAGUE"/>
        <s v="EXITO BOSA"/>
        <s v="EXITO COUNTRY"/>
        <s v="ALKOMPRAR BELLO"/>
        <s v="EXITO ENVIGADO_1"/>
        <s v="ALKOSTO PASTO AVENIDA BOLIVAR"/>
        <s v="EXITO LA FLORA"/>
        <s v="EXITO SAN FERNANDO"/>
        <s v="CENCOSUD - METRO SOACHA"/>
        <s v="ALCA ALFA 36"/>
        <s v="ALCA CRR 15"/>
        <s v="ALCA MULTICREDITO LA 33"/>
        <s v="EXITO PLAZA FABRICATO"/>
        <s v="EXITO ITAGUI"/>
        <s v="EXITO DEL ESTE"/>
        <s v="EXITO SABANETA"/>
        <s v="EXITO SAN ANTONIO"/>
        <s v="FALABELLA  LA CAROLA"/>
        <s v="OLIMPICA SAO Sta Mta"/>
        <s v="ALKOSTO SINCELEJO"/>
        <s v="CENCOSUD - METRO DUITAMA"/>
        <s v="INVERSIONES ARENAS ARSE BUCARAMANGA"/>
        <s v="INVERSIONES ARENAS BUCARAMANGA GAMAS"/>
        <s v="INVERSIONES ARENAS BUCARAMANGA TECNOHOGAR"/>
        <s v="ALKOSTO PASTO CENTRO"/>
        <s v="FALABELLA WTC Cali"/>
        <s v="MERCACENTRO N1 CENTRO"/>
        <s v="MERCACENTRO N8"/>
        <s v="OLIMPICA Buenaventura"/>
        <s v="OLIMPICA SAO 548 BUENAVENTURA 2 Cr 46"/>
        <s v="MANSION 3 TERRITORIO"/>
        <s v="MANSION 6 BOGOTA CALLE 127"/>
        <s v="MANSION 8 MONTEVIDEO"/>
        <s v="CENCOSUD METRO ZIPAQUIRA"/>
        <s v="EXITO COLINA"/>
        <s v="EXITO SOACHA"/>
        <s v="MANSION FLORENCIA"/>
        <s v="FALABELLA GALERIAS"/>
        <s v="ALKOSTO - KTRONIX ALLEGRA"/>
        <s v="ALCA ELECTROASES LA 14 BOGOTA"/>
        <s v="ELECTROASES TTL"/>
        <s v="SODIMAC Homecenter Medellin San Juan"/>
        <s v="EXITO COLOMBIA"/>
        <s v="K-TRONIX ALKOSTO SUBA"/>
        <s v="CENCOSUD - JUMBO SUBA"/>
        <s v="CLARO CAV PLAZA IMPERIAL T"/>
        <s v="CLARO CAV SANTAFE T"/>
        <s v="ALKOMPRAR UNICO"/>
        <s v="EXITO CLLE 80"/>
        <s v="OLIMPICA SAO 53"/>
        <s v="OLIMPICA Plaza de Las Americas"/>
        <s v="INTERACTIVO"/>
        <s v="CLARO ASISTE INGENIERIA"/>
        <s v="EXITO FONTANAR CHIA"/>
        <s v="EXITO FLORENCIA"/>
        <s v="EXITO RIONEGRO"/>
        <s v="ALKOMPRAR MONTERIA"/>
        <s v="EXITO VILLAVICENCIO SABANA"/>
        <s v="ELECTROBELLO ITAGUI"/>
        <s v="ELECTROBELLO BELLO"/>
        <s v="ALKOMPRAR MOLINOS"/>
        <s v="EXITO POPAYAN"/>
        <s v="ALKOSTO PASTO IPIALES"/>
        <s v="SODIMAC Homecenter Santa Marta Buenavista"/>
        <s v="EXITO BUENA VISTA SANTA MARTA"/>
        <s v="ALKOSTO K-Tronix Soacha CC Antares"/>
        <s v="CLARO CAV GRAN PLAZA BOSA"/>
        <s v="CLARO CL CAV MADELENA (EL ENSUEÑO)"/>
        <s v="EXITO USME"/>
        <s v="CENCOSUD - METRO TINTALITO"/>
        <s v="ALKOMPRAR IBAGUE"/>
        <s v="SODIMAC Homecenter Cali Sur"/>
        <s v="SODIMAC Homecenter Cali Norte"/>
        <s v="MPS TTL"/>
        <s v="EXITO MANIZALES"/>
        <s v="SODIMAC Homecenter Calle 80 Bogota"/>
        <s v="ALKOSTO YOPAL"/>
        <s v="EXITO SAN PEDRO NEIVA"/>
        <s v="EXITO ALAMEDAS DEL SINU MONTERIA"/>
        <s v="AGAVAL ORIENTAL"/>
        <s v="K-TRONIX ALKOSTO BUCARAMANGA"/>
        <s v="PRICESMART Barranquilla"/>
        <s v="ALKOSTO KTFUS (K-TronixFusa)"/>
        <s v="MULTIELECTRO MULTIELECTRO 2"/>
        <s v="MULTIELECTRO MEDELLIN PRINCIPAL"/>
        <s v="ALKOSTO CRA 30"/>
        <s v="PRICESMART Av Cañas Gordas"/>
        <s v="PRICESMART Menga"/>
        <s v="ALKOMPRAR MAYORCA"/>
        <s v="CENCOSUD - JUMBO POPAYAN CAMPANARIO"/>
        <s v="ALKOSTO KTRONIX CARTAGENA "/>
        <s v="EXITO CASTELLANA CARTAGENA"/>
        <s v="ALKOSTO MOSQUERA"/>
        <s v="ALKOMPRAR NEIVA"/>
        <s v="ALKOSTO PASTO TUQUERRES"/>
        <s v="EXITO POBLADO"/>
        <s v="CENCOSUD - JUMBO DE LA 65"/>
        <s v="CENCOSUD - METRO BUGA"/>
        <s v="ALKOMPRAR PEREIRA ALPER"/>
        <s v="ALKOMPRAR BUCARAMANGA 1"/>
        <s v="SED CALL CENTER GNP"/>
        <s v="ALKOMPRAR BARRANCABERMEJA"/>
        <s v="ELECTROFERIA CENTRO MEDELLIN"/>
        <s v="ELECTROFERIA ESTRELLA"/>
        <s v="ELECTROFERIA ITAGUI"/>
        <s v="ELECTROFERIA SAN ANTONIO DE PRADO"/>
        <s v="BEST BUY JAPILANDIA 1 CUCUTA"/>
        <s v="BEST BUY JAPILANDIA 2"/>
        <s v="PRICESMART Carrera 70 Medellin"/>
        <s v="PRICESMART MDE CLUB EL POBLADO"/>
        <s v="ELECTROJAPONESA BUGA-1"/>
        <s v="EXITO BUGA"/>
        <s v="BENTOINT"/>
        <s v="CENCOSUD - JUMBO VALLE DE LILI"/>
        <s v="ALKOMPRAR VALLEDUPAR 2"/>
        <s v="ALKOSTO Ktronix Ktronix Mall Plaza"/>
        <s v="ALKOSTO AKEDE El Edén"/>
        <s v="CAV MOSQUERA"/>
        <s v="EXITO CARTAGENA"/>
        <s v="CENCOSUD - JUMBO CARIBE PLAZA"/>
        <s v="AGAVAL FLORIDA"/>
        <s v="EXITO BARRANQUILLA_1"/>
        <s v="EXITO SUPERCENTRO TULUA"/>
        <s v="CLARO CAV VENECIA"/>
        <s v="CLARO CAV RESTREPO"/>
        <s v="FALABELLA TITAN"/>
        <s v="ELECTROJAPONESA TULUA"/>
        <s v="EXITO TULUA"/>
        <s v="AGAVAL BELLO"/>
        <s v="AGAVAL ITAGUI"/>
        <s v="ONECONTACT"/>
        <s v="CAV BOGOTA FONTIBON"/>
        <s v="CLARO CAV KENNEDY"/>
        <s v="CLARO CAV CENTRO T"/>
        <s v="CLARO CAV E PLAZA DE LAS AMERICAS"/>
        <s v="CENCOSUD - METRO SAN GIL"/>
        <s v="ALKOMPRAR Alkomprar Cúcuta"/>
        <s v="OLIMPICA Sao 256"/>
        <s v="K-TRONIX ALKOSTO MOSQUERA"/>
        <s v="EXITO LAS FLORES VALLEDUPAR"/>
        <s v="CENCOSUD - JUMBO SANTA MARTA"/>
        <s v="EXITO LAURELES"/>
        <s v="FALABELLA ACQUA"/>
        <s v="EXITO UNICENTRO BOGOTA"/>
        <s v="EXITO CENTRO MAYOR"/>
        <s v="LUMA 1 MEDELLIN"/>
        <s v="SODIMAC Homecenter Medellin Envigado"/>
        <s v="SODIMAC Homecenter Medellin Industriales"/>
        <s v="EXITO BUENAVENTURA"/>
        <s v="GRUPO MANSION CR13 WAREHOUSE"/>
        <s v="MANSION Gran Mansión"/>
        <s v="MANSION 7 DIGITAL"/>
        <s v="SED MAYOREO BOGOTA"/>
        <s v="COS BOGOTA"/>
        <s v="ALKOMPRAR ELECTRO BUCARAMANGA 2"/>
        <s v="OLIMPICA La Plazuela"/>
        <s v="ALKOSTO PASTO IPIALES GRAN PLAZA"/>
        <s v="EXITO VALLE DE LILI"/>
        <s v="EXITO SIMON BOLIVAR"/>
        <s v="CLARO CAV PLAZA CLARO"/>
        <s v="CLARO CAV TITAN PLAZA"/>
        <s v="ALKOMPRAR RIONEGRO"/>
        <s v="OLIMPICA SAO 93"/>
        <s v="MERCACENTRO N4 PRINCIPAL"/>
        <s v="ALKOMPRAR Armenia ALARM"/>
        <s v="ALKOMPRAR APARTADO"/>
        <s v="EXITO BELLO"/>
        <s v="PRICESMART CHIA"/>
        <s v="SODIMAC Homecenter Cajica"/>
        <s v="CLARO CAV PASEO DEL RIO"/>
        <s v="CLARO BRM CALL CENTER BOGOTA"/>
        <s v="ATENTO"/>
        <s v="FLAMINGO BERRIO"/>
        <s v="FLAMINGO BOLIVAR"/>
        <s v="FLAMINGO BELLO"/>
        <s v="EXITO VIVA TUNJA"/>
        <s v="ELECTROJAPONESA AREA 17 PALMIRA NUEVO"/>
        <s v="ELECTROJAPONESA AREA 12 - JAMUNDI"/>
        <s v="ELECTROJAPONESA AREA 28 - SANTADER DE QUILICHAO"/>
        <s v="ELECTROJAPONESA AREA 20 - YUMBO"/>
        <s v="FALABELLA ARKADIA"/>
        <s v="MANSION GRANADA META"/>
        <s v="ELECTROMUEBLES ARAUCA"/>
        <s v="FALABELLA El Castillo"/>
        <s v="PRICESMART Salitre Bogota"/>
        <s v="FALABELLA FONTANAR"/>
        <s v="CBB BUCARAMANGA"/>
        <s v="MAXIMUEBLES Bucaramanga 2"/>
        <s v="OLIMPICA SAO 067 PARQUE ALEGRA"/>
        <s v="CLARO CAV TOBERIN"/>
        <s v="CAV BOGOTA CRA 7"/>
        <s v="CLARO CAV ALAMOS"/>
        <s v="SODIMAC Homecenter Barranquilla Norte"/>
        <s v="EXITO PITALITO"/>
        <s v="Alkomprar Fabricato"/>
        <s v="ALCA ELECTRO ASES LA 13"/>
        <s v="ALCA LA 17"/>
        <s v="ALCA PUNTO CHALLENGER"/>
        <s v="ALCA BUCARAMANGA CALLE 36"/>
        <s v="ALCA BUCARAMANGA MAYOREO"/>
        <s v="Alkomprar Cartago"/>
        <s v="MERCACENTRO N10 PRINCIPAL"/>
        <s v="SOLIMAN BUCARAMANGA CALLE 36"/>
        <s v="SOLIMAN PIEDECUESTA CALLE 9"/>
        <s v="SOLIMAN PIEDECUESTA CRR 6"/>
        <s v="ALKOSTO Ktronix Girardot"/>
        <s v="OLIMPICA SAO NEIVA"/>
        <s v="EXITO SUBA"/>
        <s v="MANSION 1 BOGOTA"/>
        <s v="EXITO BUENA VISTA BARRANQUILLA"/>
        <s v="EXITO CAUCASIA"/>
        <s v="FALABELLA  CARACOLI"/>
        <s v="EXITO AMERICAS"/>
        <s v="ALKOMPRAR PIEDECUESTA"/>
        <s v="CENCOSUD - METRO BOSA"/>
        <s v="ELECTROJAPONESA AREA 06 - CALLE 11 8-58"/>
        <s v="ALKOMPRAR FLORIDA"/>
        <s v="JALBOR FULL HOGAR MEDELLIN PPAL 1"/>
        <s v="JALBOR FULL HOGAR MEDELLIN 2"/>
        <s v="JL&amp;RB INTERELEC PASTO"/>
        <s v="ELECTROJAPONESA AREA 10 PRINCIPAL CALI"/>
        <s v="K-TRONIX ALKOSTO CALI CHIPICHAPE"/>
        <s v="FALABELLA SANTAFE MEDELLIN"/>
        <s v="AGAVAL JUNIN"/>
        <s v="FALABELLA SAN DIEGO"/>
        <s v="ALKOSTO PASTO CORBETA DIPAS"/>
        <s v="EXITO UNICENTRO ARMENIA"/>
        <s v="EXITO OCANA"/>
        <s v="EXITO BARRANCABERMEJA"/>
        <s v="FALABELLA Buenavista"/>
        <s v="MERCACENTRO N6"/>
        <s v="FALABELLA COLINA"/>
        <s v="FALABELLA UNICENTRO"/>
        <s v="CORBETA DIBOG."/>
        <s v="CORBETA DIMED"/>
        <s v="CORBETA DICAL"/>
        <s v="CORBETA DIBAR"/>
        <s v="BP SURTICREDITOS CALLE ONCE CALI"/>
        <s v="FALABELLA JARDIN PLAZA"/>
        <s v="ARPESOD PRINCIPAL CALI 20101"/>
        <s v="BP SURTICREDITOS CARRERA OCTAVA CALI"/>
        <s v="DIST ELECTROJAPONES AREA - 91 MAYOREO"/>
        <s v="ELECTROJAPONESAMAYOREO CALI"/>
        <s v="FALABELLA SANTAFE"/>
        <s v="SED CLARO QUE+"/>
        <s v="HYM SAN ANTONIO(CASA MODA)"/>
        <s v="HYM JUNIN PRINCIPAL"/>
        <s v="HYM PLATAFORMA"/>
        <s v="HYM PARQUE BERRIO(ELECTROMODA)"/>
        <s v="AGAVAL LA CENTRAL"/>
        <s v="SMS BOG PLAZA DE LAS AMERICAS" u="1"/>
        <s v="ALKOMPRAR BARRANQUILLA ÚNICO" u="1"/>
        <s v="IMAGIQ GRAN PLAZA SOACHA" u="1"/>
        <s v="EXITO WOW ENVIGADO 1" u="1"/>
        <s v="IMAGIQ BOG UNICENTRO" u="1"/>
        <s v="IMAGIQ BMG CACIQUE" u="1"/>
        <s v="CEM GALAXY STUDIO MEDELLIN" u="1"/>
        <s v="KTRONIX CALI CHIPICHAPE" u="1"/>
        <s v="EXITO WOW UNICALI" u="1"/>
        <s v="HOMECENTER CUCUTA" u="1"/>
        <s v="ALKOSTO CL 170" u="1"/>
        <s v="HOMECENTER CALI SUR" u="1"/>
        <s v="EXITO WOW COLINA" u="1"/>
        <s v="EXITO BUENAVISTA SANTA MARTA" u="1"/>
        <s v="JALBOR FULL HOGAR MEDELLIN PRINCIPAL 1" u="1"/>
        <s v="KTRONIX FUSA" u="1"/>
        <s v="KTRONIX TUNJA" u="1"/>
        <s v="HOMECENTER CALIMA BOGOTA" u="1"/>
        <s v="HOMECENTER SANTA MARTA BUENAVISTA" u="1"/>
        <s v="EXITO WOW LA FLORA" u="1"/>
        <s v="ALKOSTO AV 68" u="1"/>
        <s v="EXITO WOW COUNTRY" u="1"/>
        <s v="ALKOMPRAR CC PARQUE FABRICATO BELLO" u="1"/>
        <s v="KTRONIX EL TESORO" u="1"/>
        <s v="HOMECENTER CL 80 BOGOTA" u="1"/>
        <s v="EXITO WOW BUENAVISTA BARRANQUILLA" u="1"/>
        <s v="KTRONIX CARTAGENA " u="1"/>
        <s v="HOMECENTER MEDELLIN SAN JUAN" u="1"/>
        <s v="MANSION GRAN MANSION" u="1"/>
        <s v="HOMECENTER MEDELLIN INDUSTRIALES" u="1"/>
        <s v="LUMA RIONEGRO" u="1"/>
        <s v="ALKOMPRAR ARMENIA" u="1"/>
        <s v="HOMECENTER MEDELLIN ENVIGADO" u="1"/>
        <s v="ELECTROJAPONESA AREA 06 CL 11 #8-58" u="1"/>
        <s v="KTRONIX CC UNICENTRO GIRARDOT" u="1"/>
        <s v="ELECTROJAPONESA BUGA 1" u="1"/>
        <s v="HOMECENTER CALI NORTE" u="1"/>
        <s v="KTRONIX POBLADO" u="1"/>
        <s v="KTRONIX SOACHA CC ANTARES" u="1"/>
        <s v="HOMECENTER MANIZALES SAN RAFAEL" u="1"/>
        <s v="HOMECENTER BARRANQUILLA CL 30" u="1"/>
        <s v="KTRONIX BOGOTA MALL PLAZA" u="1"/>
        <s v="KTRONIX CENTRO MAYOR" u="1"/>
        <s v="KTRONIX FONTANAR CHIA" u="1"/>
        <s v="OLIMPICA SAO 93 1093" u="1"/>
        <s v="FALABELLA CARACOLI" u="1"/>
        <s v="CENCOSUD JUMBO VALLE DE LILI" u="1"/>
        <s v="MANSION 6 BOGOTA CL 127" u="1"/>
        <s v="CENCOSUD JUMBO SUBA" u="1"/>
        <s v="HOMECENTER BUCARAMANGA LA ROSITA" u="1"/>
        <s v="EXITO WOW POBLADO" u="1"/>
        <s v="CENCOSUD JUMBO DE LA 65" u="1"/>
        <s v="EXITO WOW BARRANQUILLA 1" u="1"/>
        <s v="HOMECENTER CARTAGENA LA POPA" u="1"/>
        <s v="CENCOSUD JUMBO RIONEGRO" u="1"/>
        <s v="KTRONIX VILLAVICENCIO" u="1"/>
        <s v="HOMECENTER BARRANQUILLA NORTE" u="1"/>
        <s v="KTRONIX SUBA" u="1"/>
        <s v="KTRONIX CC PARQUE ALEGRA BARRANQUILLA" u="1"/>
        <s v="HOMECENTER CAJICA" u="1"/>
        <s v="CENCOSUD JUMBO CARIBE PLAZA" u="1"/>
        <s v="KTRONIX SALITRE" u="1"/>
        <s v="OLIMPICA SAO 53 1001" u="1"/>
        <s v="KTRONIX 94" u="1"/>
        <s v="KTRONIX TITAN" u="1"/>
        <s v="ALKOMPRAR CC JARDIN PLAZA CUCUTA" u="1"/>
        <s v="ALKOSTO PASTO AV BOLIVAR" u="1"/>
        <s v="KTRONIX BUCARAMANGA" u="1"/>
        <s v="CLARO CAV CALIMA" u="1"/>
        <s v="CEM GALAXY STUDIO MONTERREY" u="1"/>
        <s v="FALABELLA ALLEGRA BARRANQUILLA" u="1"/>
        <s v="CLARO CAV VILLAVICENCIO" u="1"/>
        <s v="CLARO CAV B/QUILLA SUR" u="1"/>
        <s v="CLARO CAV CARTAGENA EJ" u="1"/>
        <s v="CLARO CL CAV MADELENA" u="1"/>
        <s v="CLARO CAV CHAPINERO" u="1"/>
        <s v="CLARO CAV PEREIRA" u="1"/>
        <s v="CLARO CAV MOSQUERA T" u="1"/>
        <s v="CLARO JESMAR COMUNICACIONES PITALITO" u="1"/>
        <s v="CLARO SMARTPHONE PITALITO CPS PRINCIPAL" u="1"/>
        <s v="EXITO WOW UNICENTRO BOGOTA" u="1"/>
        <s v="CLARO CAV 94" u="1"/>
        <s v="CLARO CAV FUSAGASUGA T" u="1"/>
        <s v="KTRONIX MANIZALES" u="1"/>
        <s v="EXITO FONTIBON" u="1"/>
        <s v="CEM PEREIRA PARQUE ARBOLEDA" u="1"/>
        <s v="CLARO CAV IBAGUÉ" u="1"/>
        <s v="CEM MED TESORO" u="1"/>
        <s v="CLARO CAV CARTAGO" u="1"/>
        <s v="CLARO MELTEC FUSAGASUGA" u="1"/>
        <s v="CLARO MELTEC CC AVENIDA" u="1"/>
        <s v="SMS BAQ ALLEGRA" u="1"/>
        <s v="CLARO CAV PTA DEL NORTE" u="1"/>
        <s v="CLARO CAV FONTIBON" u="1"/>
        <s v="EXITO PALMIRA WOW" u="1"/>
        <s v="MOVISTAR CVS CTRO EXP SAN ANDRES AV // 4754" u="1"/>
        <s v="FALABELLA PLAZA IMPERIAL" u="1"/>
        <s v="CLARO CVS CENTRO DE PAGOS Y SERVICIO CONECTADOS MOVIL CENTRO" u="1"/>
        <s v="CLARO CAV PEREIRA T" u="1"/>
        <s v="SMS BAQ PORTAL DEL PRADO" u="1"/>
        <s v="CLARO CAV HAYUELOS T" u="1"/>
        <s v="KTRONIX MOSQUERA" u="1"/>
        <s v="CLARO TEAM ALPUJARRA" u="1"/>
        <s v="CLARO TEAM TESORO" u="1"/>
        <s v="CLARO TEAM SAUCES" u="1"/>
        <s v="EN VALIDACION" u="1"/>
        <s v="TEAM COMUNICACIONES CC OVIEDO" u="1"/>
        <s v="CVS MOBITECH C.C MORICHAL" u="1"/>
        <s v="CVS CONECTADOS MOVIL YOPAL CRA 29" u="1"/>
        <s v="CLARO SOUL PRINCIPAL YOPAL" u="1"/>
        <s v="CLARO CONECTADOS MOVILES YOPAL" u="1"/>
        <s v="CLARO CAV M/LLIN SAN DIEGO PREM" u="1"/>
        <s v="CLARO CAV MILLENIUM B/QUILLA" u="1"/>
        <s v="MOVISTAR CE BOGOTÃ CENTRO MAYOR // 5464" u="1"/>
        <s v="CLARO CAV BOGOTA FLORESTA" u="1"/>
        <s v="IMAGIQ DIVER PLAZA" u="1"/>
        <s v="CLARO CAV NEIVA" u="1"/>
        <s v="CAV SOGAMOSO T" u="1"/>
        <s v="CLARO CAV B/MANGA" u="1"/>
        <s v="CLARO CAV B/MANGA CENT" u="1"/>
        <s v="ALKOMPRAR JARDIN PLAZA CUCUTA" u="1"/>
        <s v="CLARO IGERA CASTELLANA CVS CARTAGENA" u="1"/>
        <s v="CLARO IGERA PLAZUELA CVS CARTAGENA" u="1"/>
        <s v="TECPHONE CC MALL PLAZA CTG" u="1"/>
        <s v="CENCOSUD METRO 20 DE JULIO" u="1"/>
        <s v="CENCOSUD JUMBO HAYUELOS" u="1"/>
        <s v="CLARO CAV PASTO" u="1"/>
        <s v="SED CLARO CAV ANDINO" u="1"/>
        <s v="CLARO CAV FLORENCIA" u="1"/>
        <s v="CENCOSUD METRO BOSA" u="1"/>
        <s v="CENCOSUD METRO SOACHA" u="1"/>
        <s v="CLARO CAV SAN ANDRÉS" u="1"/>
        <s v="CLARO CAV PRADO B/QUILLA" u="1"/>
        <s v="CLARO JESMAR CPS FLORENCIA" u="1"/>
        <s v="CLARO CAV MEDELLIN CENTRO" u="1"/>
        <s v="CLARO CAV CHIA" u="1"/>
        <s v="CLARO CAV LA CENTRAL" u="1"/>
        <s v="TIGO CASTELLANA" u="1"/>
        <s v="CLARO CAV HOLGUINES" u="1"/>
        <s v="CLARO CAV CALI PALMETTO" u="1"/>
        <s v="CVS TECPHONE MOSQUERA CC ECOPLAZA" u="1"/>
        <s v="CLARO TEAM CENTRO" u="1"/>
        <s v="CVS COMNORTE MANIZALES CC FUNDADORES" u="1"/>
        <s v="CLARO MUNDO MOVIL QUICENO GARZON" u="1"/>
        <s v="CLARO GALCOM MANIZALES" u="1"/>
        <s v="CLARO ICELL LA MESA" u="1"/>
        <s v="CLARO ICELL IBAGUE EL POBLADO" u="1"/>
        <s v="MELTEC DEL ORIENTE IBAGUE" u="1"/>
        <s v="CLARO CONECTIVIDAD MOVIL LA ESTACION IBAGUE" u="1"/>
        <s v="TIGO CENTRO MAYOR" u="1"/>
        <s v="FALABELLA PLAZA" u="1"/>
        <s v="CEM RCH VIVA" u="1"/>
        <s v="KTRONIX UNICENTRO CRA 15" u="1"/>
        <s v="CLARO CAV FONTANAR" u="1"/>
        <s v="CLARO TEAM CPS PORTAL 80" u="1"/>
        <s v="CELUNION 20 DE JULIO" u="1"/>
        <s v="CLARO COMOVIL ALTAVISTA" u="1"/>
        <s v="TECPHONE TUNAL" u="1"/>
        <s v="CLARO MI RED MOVIL PLAZA DE LAS AMERICAS" u="1"/>
        <s v="CLARO ICELL CENTRO MAYOR" u="1"/>
        <s v="TECPHONE NUESTRO BOGOTA" u="1"/>
        <s v="CLARO ICELL PRINCIPAL" u="1"/>
        <s v="SMARTMOBILE HAYUELOS" u="1"/>
        <s v="CVS TECPHONE BOGOTA CENTRO MAYOR" u="1"/>
        <s v="SMARTMOBILE CENTRO MAYOR" u="1"/>
        <s v="CLARO CAV V/CIO ORIENTE" u="1"/>
        <s v="CEM MED JUNIN" u="1"/>
        <s v="CLARO CAV ORBE VALLEDUPAR" u="1"/>
        <s v="CLARO CONECTIVIDAD MOVIL CHAPARRAL" u="1"/>
        <s v="SMS TBC TURBACO" u="1"/>
        <s v="CALL CENTER ONE CONTACT BOGOTA" u="1"/>
        <s v="CALL INTERACTIVO" u="1"/>
        <s v="FALABELLA LA CAROLA" u="1"/>
        <s v="SES MOSQUERA" u="1"/>
        <s v="CLARO CAV UNICENTRO" u="1"/>
        <s v="CLARO CAV MAYORCA" u="1"/>
        <s v="CLARO CONECTIVIDAD MOVIL HONDA" u="1"/>
        <s v="CLARO CAV DUITAMA T" u="1"/>
        <s v="CLARO CAV CUCUTA GRAN COLOMBIA" u="1"/>
        <s v="SMS VUP MAYALES" u="1"/>
        <s v="CEM MED PREMIUM PLAZA" u="1"/>
        <s v="CLARO CELLPLUS SANTANDER" u="1"/>
        <s v="CLARO CAV MANIZALES" u="1"/>
        <s v="MOVILCO SAS GRANADA META" u="1"/>
        <s v="CELULLANO NYB SAS GRANADA META" u="1"/>
        <s v="CEM PEI VICTORIA PLAZA" u="1"/>
        <s v="CLARO CAV QUIBDO" u="1"/>
        <s v="CLARO CAV PEREIRA ESTACION ZF" u="1"/>
        <s v="ALKOMPRAR LA CENTRAL" u="1"/>
        <s v="ALKOMPRAR AVENTURA" u="1"/>
        <s v="ALKOMPRAR SAN DIEGO" u="1"/>
        <s v="CLARO CAV BARRANCABERMEJA" u="1"/>
        <s v="CLARO CAV CALI NORTE" u="1"/>
        <s v="CLARO CAV APARTADO" u="1"/>
        <s v="EXITO MAYORCA" u="1"/>
        <s v="CEM MED LA CENTRAL" u="1"/>
        <s v="CLARO CAV CC PARQUE ALEGRA BARRANQUILLA" u="1"/>
        <s v="CLARO CL CAV VIVA ENVIGADO" u="1"/>
        <s v="CEM MED PUERTA DEL NORTE" u="1"/>
        <s v="CLARO SER COMUNICACIONES JUNIN " u="1"/>
        <s v="CLARO SER COMUNICACIONES ENVIGADO " u="1"/>
        <s v="CLARO SER COMUNICACIONES BELLO" u="1"/>
        <s v="CLARO SER COMUNICACIONES CALDAS" u="1"/>
        <s v="SMARTMOBILE TINTAL" u="1"/>
        <s v="TECPHONE BOSA EL PORVENIR" u="1"/>
        <s v="FALABELLA DIVER PLAZA" u="1"/>
        <s v="CLARO CAV CEDRITOS" u="1"/>
        <s v="MOVISTAR CE TEL- VILLAVICENCIO // 5093" u="1"/>
        <s v="TIGO ALEGRA" u="1"/>
        <s v="SMS SMR BUENAVISTA" u="1"/>
        <s v="KTRONIX 20 DE JULIO" u="1"/>
        <s v="CLARO CAV E FLORIDABLANCA" u="1"/>
        <s v="SMS BOG GRAN ESTACION" u="1"/>
        <s v="MOVISTAR CE BOGOTA SOACHA // 4908" u="1"/>
        <s v="KTRONIX CARTAGENA" u="1"/>
        <s v="IMAGIQ MNT ALAMEDAS" u="1"/>
        <s v="SMS GRAN ESTACION BOGOTA ETAPA 2" u="1"/>
        <s v="CLARO CAV POPAYAN T" u="1"/>
        <s v="CLARO CAV VENTURA TERREROS" u="1"/>
        <s v="CEM YPL UNICENTRO" u="1"/>
        <s v="CLARO JANN CELPHONE LTDA" u="1"/>
        <s v="CLARO CELULLANO N&amp;B CVS NUEVO" u="1"/>
        <s v="CLARO DISTRICEL PARK" u="1"/>
        <s v="CLARO MOVILCO CPS VILLAVICENCIO VIVA" u="1"/>
        <s v="JANN CELPHONE LTDA VILLAVICENCIO META" u="1"/>
        <s v="COMUNICACIONES DOFER SAS DUITAMA BOYACA" u="1"/>
        <s v="LEFCOM  S.A.S CALLE 15 " u="1"/>
        <s v="CLARO CAV SANTA MARTA" u="1"/>
        <s v="CENCOSUD JUMBO LAS VEGAS" u="1"/>
        <s v="KTRONIX ARKADIA" u="1"/>
        <s v="IMAGIQ MALL PLAZA CALI" u="1"/>
        <s v="SMS CTG BOCAGRANDE" u="1"/>
        <s v="CLARO CAV LA DORADA" u="1"/>
        <s v="CLARO GERA MTR" u="1"/>
        <s v="CLARO IGERA NUESTRO" u="1"/>
        <s v="CLARO IGERA CPS" u="1"/>
        <s v="CLARO WINCELL WINCELL PRINCIPAL MONTERIA" u="1"/>
        <s v="CLARO CAV FONTAINBLUE" u="1"/>
        <s v="CLARO CAV VALLEDUPAR" u="1"/>
        <s v="TIGO METROPOLITANO" u="1"/>
        <s v="CENCOSUD JUMBO SANTA MARTA" u="1"/>
        <s v="CLARO CAV MONTERIA" u="1"/>
        <s v="IMAGIQ CALI CC CHIPICHAPE" u="1"/>
        <s v="CLARO CAV POPAYÁN" u="1"/>
        <s v="CLARO CAV MEDELLIN FLORIDA" u="1"/>
        <s v="CONECTIVIDAD GIRARDOT." u="1"/>
        <s v="CLARO TECPHONE CPS  GIRARDOT" u="1"/>
        <s v="CLARO RYL PRINCIPAL BARRANQUILLA" u="1"/>
        <s v="ISLA R RYL TELECOMUNICACIONES BARRANQUILLA CC BUEN" u="1"/>
        <s v="ISLA R RYL SOLEDAD CC CARNAVAL" u="1"/>
        <s v="CLARO TEAM CALI LA 11" u="1"/>
        <s v="CLARO CELLPLUS CC CALIMA" u="1"/>
        <s v="CLARO ICELL COSMOCENTRO" u="1"/>
        <s v="CVS CELLPLUS CALI VERSALLES " u="1"/>
        <s v="CALL CENTER COS BQLLA" u="1"/>
        <s v="CLARO ALTYCOM CALLCENTER BARRANQUILLA" u="1"/>
        <s v="CONEXIONES DIGITALES BARRANQUILLA" u="1"/>
        <s v="CLARO MELTEC CPS PUERTO BOYACA" u="1"/>
        <s v="EXITO RETIRO TULUA" u="1"/>
        <s v="FALABELLA ARBOLEDA" u="1"/>
        <s v="SMS SMR OCEAN MALL" u="1"/>
        <s v="IMAGIQ VVC PRIMAVERA URBANA" u="1"/>
        <s v="IMAGIQ MZL FUNDADORES" u="1"/>
        <s v="SES BOGOTA CC TINTAL PLAZA" u="1"/>
        <s v="CLARO CAV TUNJA" u="1"/>
        <s v="ALKOSTO EL EDEN AKEDE" u="1"/>
        <s v="CLARO CAV CC PARQUE FABRICATO MEDELLIN" u="1"/>
        <s v="IMAGIQ CHIA FONTANAR" u="1"/>
        <s v="FALABELLA LA FELICIDAD" u="1"/>
        <s v="CLARO CAV LAURELES M/LIN" u="1"/>
        <s v="CLARO CAV RIONEGRO" u="1"/>
        <s v="CLARO CAV CARTAGENA P/POPA" u="1"/>
        <s v="SMS BAQ VIVA" u="1"/>
        <s v="CLARO CAV SINCELEJO" u="1"/>
        <s v="SES ISLA CC MAYALES ETAPA 1" u="1"/>
        <s v="EXITO CIUDAD TUNAL" u="1"/>
        <s v="CALL CENTER ATENTO MOVISTAR BOGOTA" u="1"/>
        <s v="CLARO CAV PALMIRA" u="1"/>
        <s v="CLARO BUIMON UNICENTRO CUCUTA LOCAL 102" u="1"/>
        <s v="CLARO TELNORTE JARDIN PLAZA" u="1"/>
        <s v="CLARO BUIMON AV 5 #13-04 CENTRO" u="1"/>
        <s v="IMAGIQ PPN CAMPANARIO" u="1"/>
        <s v="CLARO CAV YOPAL" u="1"/>
        <s v="CLARO CAV CALI LA ESTACION" u="1"/>
        <s v="ALKOMPRAR CC PLAZA FABRICATO BELLO" u="1"/>
        <s v="CLARO ICELL SAN VICENTE" u="1"/>
        <s v="CLARO CAV E G/ESTACION" u="1"/>
        <s v="CEM MED ARKADIA" u="1"/>
        <s v="CLARO CAV TUMACO" u="1"/>
        <s v="EXITO DUAL RIOHACHA" u="1"/>
        <s v="CLARO CAV E PASTO" u="1"/>
        <s v="CLARO CAV CARTAGENA" u="1"/>
        <s v="CLARO CAV RIOHACHA" u="1"/>
        <s v="CEM  IPIALES GRAN PLAZA" u="1"/>
        <s v="CLARO CAV E SANTA MARTA" u="1"/>
        <s v="IMAGIQ BOG NUESTRO BOGOTA" u="1"/>
        <s v="IMAGIQ BOG CENTRO MAYOR" u="1"/>
        <s v="CALL CENTER GNP ECOMMERCE" u="1"/>
        <s v="GNP BOGOTA" u="1"/>
        <s v="CLARO TECPHONE FACATATIVA" u="1"/>
        <s v="CEM MZL MALL PLAZA" u="1"/>
        <s v="CLARO LEFCOM SOGAMOSO" u="1"/>
        <s v="CLARO TELECEL SINCELEJO" u="1"/>
        <s v="CLARO WINCELL SINCELEJO" u="1"/>
        <s v="PDV COMUNICACIONES COLOMBIA MOVIL SANTA MARTA" u="1"/>
        <s v="CLARO TEAM QUIBDO" u="1"/>
        <s v="TEAM COMUNICACIONES ITSMINA CHOCO" u="1"/>
        <s v="CLARO DITCOM 21 PEREIRA" u="1"/>
        <s v="CLARO MUNDO MOVIL SAS DOSQUEBRADAS" u="1"/>
        <s v="DISTRIBUCIONES DEL QUINDIO DOSQUEBRADAS" u="1"/>
        <s v="CLARO STARCELL TTL" u="1"/>
        <s v="CLARO TEAM PEREIRA 2" u="1"/>
        <s v="TEAM COMUNICACIONES EXITO VICTORIA" u="1"/>
        <s v="CAV CARTAGENA GRAN MANZANA" u="1"/>
        <s v="MOVISTAR B BUCARAMANGA // 912" u="1"/>
        <s v="CLARO TEYTEL CARACOLI" u="1"/>
        <s v="CLARO TEYTEL CENTRO" u="1"/>
        <s v="CLARO TEYTEL SAS CACIQUE" u="1"/>
        <s v="KTRONIX PLAZA DE LAS AMERICAS" u="1"/>
        <s v="FALABELLA PRIMAVERA" u="1"/>
        <s v="IMAGIQ CUC JARDIN PLAZA" u="1"/>
        <s v="ALKOMPRAR NEIVA 2" u="1"/>
        <s v="CLARO CAV GRAN COMERCIO" u="1"/>
        <s v="EXITO METROPOLITANO" u="1"/>
        <s v="SMS BAQ VILLA COUNTRY" u="1"/>
        <s v="CLARO CAV CUCUTA T" u="1"/>
        <s v="TELNORTE_OCANA_CENTRO1" u="1"/>
        <s v="EXITO CL 80" u="1"/>
        <s v="CLARO LEFCOM CHIQUINQUIRA" u="1"/>
        <s v="BECALL TIGO" u="1"/>
        <s v="IMAGIQ BOG PARQUE COLINA" u="1"/>
        <s v="SMS CALI PALMIRA" u="1"/>
        <s v="SMS CTN MALL PLAZA" u="1"/>
        <s v="MOVISTAR B BARRANQUILLA // 899" u="1"/>
        <s v="MELTEC DE ORIENTE CVS TUNJA" u="1"/>
        <s v="CVS MELTEC DE ORIENTE TUNJA C.C LA SEXTA" u="1"/>
        <s v="CVS ANCLU TUNJA AV NORTE 36" u="1"/>
        <s v="PDV ANCLU TUNJA PLAZA MERCADO" u="1"/>
        <s v="CLARO LEFCOM TUNJA" u="1"/>
        <s v="CLARO ICELL PAST" u="1"/>
        <s v="CLARO MOVILCO NEIVA" u="1"/>
        <s v="CLARO CONFEMOVIL PUNTO IBAGUE" u="1"/>
        <s v="CLARO ULTRA NET DIGITAL" u="1"/>
        <s v="CLARO JESMAR CPS NEIVA" u="1"/>
        <s v="JESMAR_GIGANTE_CENTRO1" u="1"/>
        <s v="CEM NVA SANTA LUCIA" u="1"/>
        <s v="IMAGIQ YOPAL CC GRAN PLAZA ALCARAVAN" u="1"/>
        <s v="IMAGIQ BOG PLAZA IMPERIAL" u="1"/>
        <s v="CLARO CAV AGUACHICA" u="1"/>
        <s v="CLARO CAV BOGOTA PORTAL" u="1"/>
        <s v="FALABELLA HAYUELOS" u="1"/>
        <s v="CLARO CAV E MANIZALES" u="1"/>
        <s v="MOVISTAR CE TEL- CUCUTA AV CERO // 5108" u="1"/>
        <s v="CLARO CAV M/LIN PIAZZA" u="1"/>
        <s v="CLARO CAV B/QUILLA CENTRO" u="1"/>
        <s v="CLARO CAV ARMENIA" u="1"/>
        <s v="IMAGIQ BOG GRAN PLAZA BOSA" u="1"/>
        <s v="CEM MED SAN NICOLAS" u="1"/>
        <s v="MOVISTAR CE TEL- BUCARAMANGA  CENTRO // 5112" u="1"/>
        <s v="CLARO FRONTERA LA LIBERTAD" u="1"/>
        <s v="CLARO FRONTERA CLLE 6" u="1"/>
        <s v="CLARO FRONTERA AV 4" u="1"/>
        <s v="CLARO FRONTERA AV 7" u="1"/>
        <s v="CLARO FRONTERA GRANCOLOMBIA" u="1"/>
        <s v="CLARO FRONTERA AEROPUERTO " u="1"/>
        <s v="CLARO FRONTERA ATALAYA" u="1"/>
        <s v="CLARO FRONTERA PATIOS" u="1"/>
        <s v="CLARO FRONTERA CAOBOS" u="1"/>
        <s v="CLARO TEAM CPS TOCANCIPA" u="1"/>
        <s v="DIST ELECTROJAPONES AREA 02 CL 11 #7-03" u="1"/>
        <s v="DIST ELECTROJAPONES AREA 04 CRA 7 #11-26 CRA 11 #7-17" u="1"/>
        <s v="DIST ELECTROJAPONES AREA 05 CL 11 #7-02" u="1"/>
        <s v="DIST ELECTROJAPONES AREA 11 CL 11 #7-25" u="1"/>
        <s v="DIST ELECTROJAPONES AREA 91 MAYOREO" u="1"/>
        <s v="SOLIMAN BUCARAMANGA CL 36" u="1"/>
        <s v="SOLIMAN LEBRIJA" u="1"/>
        <s v="SOLIMAN PIEDECUESTA CL 9" u="1"/>
        <s v="HOMECENTER PEREIRA" u="1"/>
        <s v="CLARO CAV CHIPICHAPE T" u="1"/>
        <s v="CLARO CAV IPIALES" u="1"/>
        <s v="CALL CENTER ASISTE BOG" u="1"/>
        <s v="CALL CENTER ASISTE INGENIERIA ECOMMERCE" u="1"/>
        <s v="CALL CENTER COS BOGOTA" u="1"/>
        <s v="CONECTIVIDAD MOVIL ESPINAL" u="1"/>
        <s v="CLARO CAV COLINA" u="1"/>
        <s v="CLARO CAV LA FELICIDAD" u="1"/>
        <s v="CLARO CAV CRA 8" u="1"/>
        <s v="CLARO CAV ARMENIA T" u="1"/>
        <s v="CLARO ICELL PLAZA IMPERIAL" u="1"/>
        <s v="MI RED MOVIL PLAZA CENTRAL " u="1"/>
        <s v="CLARO CAV TULUA" u="1"/>
        <s v="CLARO CAV CAUCASIA" u="1"/>
        <s v="TIENDA BUENAVENTURA MALECON" u="1"/>
        <s v="MOVISTAR CE CALI CALIMA K5 # 55N-39 // 5076" u="1"/>
        <s v="MOVISTAR CE TEL- CALI CENTRO // 5107" u="1"/>
        <s v="CLARO CAV GIRARDOT" u="1"/>
        <s v="CAV ZIPAQUIRA T" u="1"/>
        <s v="ALCA BUCARAMANGA CL 36" u="1"/>
        <s v="CEM MED STORE MILLA DE ORO" u="1"/>
        <s v="IMAGIQ BOG MALL PLAZA" u="1"/>
        <s v="CEM ARM PORTAL DEL QUINDIO" u="1"/>
        <s v="CEM MED MONTERREY MALL" u="1"/>
        <s v="CEM CC DELACUESTA" u="1"/>
        <s v="IMAGIQ NUESTRO MONTERIA" u="1"/>
        <s v="CEM MED VIVA ENVIGADO" u="1"/>
        <s v="CEM MED FLORIDA" u="1"/>
        <s v="SMS VUP GUATAPURÍ" u="1"/>
        <s v="IMAGIQ GALAXY STUDIO SANTA FE" u="1"/>
        <s v="IMAGIQ CALLE 116" u="1"/>
        <s v="SMS CALI - UNICO" u="1"/>
        <s v="CEM MED MAYORCA" u="1"/>
        <s v="CEM BELLO FABRICATO" u="1"/>
        <s v="CEM CARTAGO" u="1"/>
        <s v="IMAGIQ BOG HAYUELOS" u="1"/>
        <s v="CEM URB NUESTRO" u="1"/>
        <s v="IMAGIQ BMG CARACOLI" u="1"/>
        <s v="CLARO CAV NEIVA T" u="1"/>
        <s v="IMAGIQ PALMIRA UNICENTRO" u="1"/>
        <s v="CEM FLORENCIA" u="1"/>
        <s v="IMAGIQ BOG MULTIPLAZA" u="1"/>
        <s v="SMS BAQ BUENAVISTA" u="1"/>
        <s v="IMAGIQ MNT GUACARÍ" u="1"/>
        <s v="CEM TUNJA VIVA" u="1"/>
        <s v="IMAGIQ BOG PLAZA CENTRAL" u="1"/>
        <s v="CEM NVA SAN PEDRO" u="1"/>
        <s v="IMAGIQ BOG ANDINO" u="1"/>
        <s v="CEM ARM UNICENTRO" u="1"/>
        <s v="SMS BAQ GRAN PLAZA DEL SOL" u="1"/>
        <s v="IMAGIQ IBG LA ESTACION" u="1"/>
        <s v="CEM MED MOLINOS" u="1"/>
        <s v="IMAGIQ CALI UNICENTRO" u="1"/>
        <s v="IMAGIQ CALI JARDIN PLAZA" u="1"/>
        <s v="IMAGIQ PSO UNICENTRO" u="1"/>
        <s v="CLARO TECPHONE EL PORVENIR" u="1"/>
        <s v="CLARO MELTEC CPS PRINCIPAL" u="1"/>
        <s v="CLARO ICELL PLAZA CAICEDO" u="1"/>
        <s v="CLARO CELLPLUS SANTANDER 2" u="1"/>
        <s v="GNP CALI" u="1"/>
        <s v="CLARO TEAM APARTADO" u="1"/>
        <s v="CLARO CELTEL CENTRO MEDELLIN" u="1"/>
        <s v="CLARO TEAM APARTADO 2" u="1"/>
        <s v="CLARO TEAM TURBO" u="1"/>
        <s v="CLARO ICELL EL POBLADO IBAGUE" u="1"/>
        <s v="CLARO ACHE TELECOMUNICACIONES LA 80" u="1"/>
        <s v="CLARO ICELL FLORENCIA" u="1"/>
        <s v="ONE CONET" u="1"/>
        <s v="CALL CENTER ACTIVA BPO BOGOTA" u="1"/>
        <s v="CLARO CALL CENTER ASISTE ING BARRANQUILLA" u="1"/>
        <s v="CLARO CELTEL PIEDECUESTA " u="1"/>
        <s v="CLARO CELTEL SAN GIL" u="1"/>
        <s v="CLARO DATOS MOVILES AGENCIA SAN GIL" u="1"/>
        <s v="CLARO CLEARPHONE TTL" u="1"/>
        <s v="CLARO IGERA CARTAGENA" u="1"/>
        <s v="CLARO DATOS MOVILES CELULARES DEL ARAUCA" u="1"/>
        <s v="CLARO CELTEL CC EL PUENTE SAN GIL" u="1"/>
        <s v="CLARO CELTEL MEGA MALL " u="1"/>
        <s v="CLARO TEYTEL PARQUE PIEDECUESTA" u="1"/>
        <s v="UP MOVIL" u="1"/>
        <s v="CC RING" u="1"/>
        <s v="ERICK MOVIL" u="1"/>
        <s v="CELUGANGA" u="1"/>
        <s v="TIGO PLAZA IMPERIAL" u="1"/>
        <s v="ELECTROFERIA ENVIGADO MEDELLIN" u="1"/>
        <s v="EXITO MATUNA CARTAGENA" u="1"/>
        <s v="EXITO SOGAMOSO" u="1"/>
        <s v="EXITO SOLEDAD" u="1"/>
        <s v="EXITO PANORAMA CL 30 BARRANQUILLA" u="1"/>
        <s v="EXITO SAN FRANCISCO BARRANQUILLA" u="1"/>
        <s v="EXITO SAN DIEGO MEDELLIN" u="1"/>
        <s v="EXITO ROBLEDO" u="1"/>
        <s v="EXITO SANTA MARTA" u="1"/>
        <s v="EXITO GIRARDOT" u="1"/>
        <s v="EXITO UNICENTRO GIRARDOT" u="1"/>
        <s v="EXITO GRAN ESTACION BOGOTA" u="1"/>
        <s v="EXITO CAFAM NUEVO KENNEDY" u="1"/>
        <s v="EXITO SINCELEJO" u="1"/>
        <s v="EXITO MAGANGUE" u="1"/>
        <s v="OLIMPICA SAO RIOHACHA" u="1"/>
        <s v="CALL CENTER ARCOS BOGOTA" u="1"/>
        <s v="HOMECENTER DORADO BOGOTA" u="1"/>
        <s v="CALL CENTER VECTOR" u="1"/>
        <s v="EXITO MANIZALEZ" u="1"/>
        <s v="OLIMPICA Portal del Quindio" u="1"/>
        <s v="SODIMAC Homecenter Cartagena La Popa" u="1"/>
        <s v="K-TRONIX ALKOSTO 20 DE JULIO" u="1"/>
        <s v="SODIMAC Homecenter Bucaramanga La Rosita" u="1"/>
        <s v="CENCOSUD - JUMBO CHIA" u="1"/>
        <s v="CENCOSUD - JUMBO SANTA ANA" u="1"/>
        <s v="PRICESMART Usaquen" u="1"/>
        <s v="SODIMAC Homecenter Palmira Unicentro" u="1"/>
        <s v="CENCOSUD - JUMBO RIONEGRO" u="1"/>
        <s v="K-TRONIX Arkadia - KTARK" u="1"/>
        <s v="CENCOSUD - JUMBO EL CASTILLO" u="1"/>
        <s v="CENCOSUD - JUMBO TUNJA" u="1"/>
        <s v="EXITO PASTO" u="1"/>
        <s v="LUMA SANTAFE" u="1"/>
        <s v="LUMA YARUMAL" u="1"/>
        <s v="BEST BUY SURTIDO HOGAR" u="1"/>
        <s v="ELECTROJAPONESA MAYOREO CALI" u="1"/>
        <s v="DIST ELECTROJAPONES AREA 03 CRA 5 #14-68" u="1"/>
        <s v="DIST ELECTROJAPONES AREA 06 CL 9 #29-36" u="1"/>
        <s v="DIST ELECTROJAPONES AREA 09 CRA 10 #10-38" u="1"/>
        <s v="DIST ELECTROJAPONES AREA 12 CL 9 #28-32" u="1"/>
        <s v="EXITO ORIENTAL BUCARAMANGA" u="1"/>
        <s v="ELECTROJAPONESA MANIZALEZ" u="1"/>
        <s v="MULTIELECTRO BELLO" u="1"/>
        <s v="MULTIELECTRO TEGA MARINILLA" u="1"/>
        <s v="HOMECENTER NORTE BOGOTA" u="1"/>
        <s v="OLIMPICA SAO NEIVA 1380" u="1"/>
        <s v="OLIMPICA SAO STA MTA 1203" u="1"/>
        <s v="CENCOSUD JUMBO EL CASTILLO" u="1"/>
        <s v="ELECTROMUEBLES TAME" u="1"/>
        <s v="MERCACENTRO N9" u="1"/>
        <s v="ALKOMPRAR CALI" u="1"/>
        <s v="CONECTADOS MOVIL SAS AGUAZUL CASANARE" u="1"/>
        <s v="INVERSIONES GERA SAS CASTELLANA" u="1"/>
        <s v="CVS WINCELL MONTERIA CALLE 33" u="1"/>
        <s v="CVS TELECEL LORICA CRA 25" u="1"/>
        <s v="CVS BUIMON CUCUTA AV 0" u="1"/>
        <s v="TEYTEL CENTRO PASEO DEL COMERCIO" u="1"/>
        <s v="TEYTEL CENTRO CCIAL CACIQUE" u="1"/>
        <s v="CLARO FRONTERA PRINCIPAL" u="1"/>
        <s v="CENCOSUD JUMBO CL 170" u="1"/>
        <s v="CENCOSUD JUMBO SANTA ANA" u="1"/>
        <s v="CENCOSUD JUMBO SANTAFE BOGOTA" u="1"/>
        <s v="GALCOM SAS CUBA" u="1"/>
        <s v="TN COLOMBIA" u="1"/>
        <s v="ACTIVA BPO" u="1"/>
        <s v="OLIMPICA 376 MANIZALES MALL PLAZA" u="1"/>
        <s v="SODIMAC Barranquilla Calle 30" u="1"/>
        <s v="OLIMPICA El Bosque_2" u="1"/>
        <s v="OLIMPICA Marden La 47" u="1"/>
        <s v="CENCOSUD - JUMBO SAN SILVESTRE" u="1"/>
        <s v="CENCOSUD - JUMBO HAYUELOS" u="1"/>
        <s v="EXITO FUSAGASUGA" u="1"/>
        <s v="SODIMAC Homecenter Calima Bogota" u="1"/>
        <s v="OLIMPICA Portal de la 80" u="1"/>
        <s v="CENCOSUD - JUMBO LAS VEGAS" u="1"/>
        <s v="CENCOSUD - METRO SOGAMOSO" u="1"/>
        <s v="EXITO CHAPINERO" u="1"/>
        <s v="EXITO NORTE" u="1"/>
        <s v="EXITO CHIPICHAPE" u="1"/>
        <s v="EXITO CALIMA" u="1"/>
        <s v="EXITO CANAVERAL" u="1"/>
        <s v="EXITO UNICENTRO MEDELLIN" u="1"/>
        <s v="EXITO MOSQUERA" u="1"/>
        <s v="SMS SMALL PLAZA" u="1"/>
        <s v="TROPA HA FULL TIME" u="1"/>
        <s v="MOVISTAR B CALI SUR // 1083" u="1"/>
        <s v="CENCOSUD JUMBO SAN SILVESTRE" u="1"/>
        <s v="CENCOSUD JUMBO POPAYAN CAMPANARIO" u="1"/>
        <s v="OLIMPICA HIPODROMO 1031" u="1"/>
        <s v="ELECTROJAPONESA AREA 12 JAMUNDI" u="1"/>
        <s v="ELECTROJAPONESA AREA 20 YUMBO" u="1"/>
        <s v="CONECTIVIDAD MOVIL SAS MARIQUITA TOLIMA" u="1"/>
        <s v="IMAGIQ BOGOTA CC SALITRE PLAZA " u="1"/>
        <s v="HOMECENTER CARTAGENA SAN FERNANDO" u="1"/>
        <s v="EXITO MURILLO BARRANQUILLA" u="1"/>
        <s v="SED CALL CENTER ALMACONTAC" u="1"/>
        <s v="SODIMAC Homecenter Soacha" u="1"/>
        <s v="CENCOSUD - JUMBO CALLE 170" u="1"/>
        <s v="CENCOSUD - JUMBO CALLE 80" u="1"/>
        <s v="CENCOSUD - METRO 20 DE JULIO" u="1"/>
        <s v="CENCOSUD - JUMBO MEGA MALL" u="1"/>
        <s v="OLIMPICA Central" u="1"/>
        <s v="ARPESOD PRINCIPAL POPAYAN 10101" u="1"/>
        <s v="CENCOSUD - JUMBO GUATAPURI" u="1"/>
        <s v="OLIMPICA Circunvalar SAO" u="1"/>
        <s v="OLIMPICA Sao San felipe" u="1"/>
        <s v="OLIMPICA VALLEDUPAR" u="1"/>
        <s v="K-TRONIX ALKOSTO TITAN" u="1"/>
        <s v="EXITO APARTADO" u="1"/>
        <s v="CLARO CAV EXPRESS CARTAGENA MALL PLAZA" u="1"/>
        <s v="LAGOBO 133 ARMENIA" u="1"/>
        <s v="SES PITALITO CC GRAN PLAZA" u="1"/>
        <s v="MULTIELECTRO RIONEGRO" u="1"/>
        <s v="EXITO SAN FRANCISCO (CV) BLLA" u="1"/>
        <s v="EXITO JUNIN" u="1"/>
        <s v="EXITO DIVER PLAZA BOGOTA" u="1"/>
        <s v="EXITO WOW VALLE DE LILI" u="1"/>
        <s v="EXITO EL ENSUENO" u="1"/>
        <s v="EXITO GRAN ESTACION (CV)BOGOTA" u="1"/>
        <s v="EXITO MOLINOS" u="1"/>
        <s v="EXITO NUEVO KENNEDY (CAF)" u="1"/>
        <s v="EXITO PARQUE FABRICATO" u="1"/>
        <s v="IMAGIQ PSO UNICO" u="1"/>
        <s v="AGAVAL MA1 RIONEGRO" u="1"/>
        <s v="CENCOSUD - JUMBO SANTAFE MEDELLIN" u="1"/>
        <s v="ELECTROFERIA  ESTRELLA" u="1"/>
        <s v="CENCOSUD - JUMBO CARRERA 30" u="1"/>
        <s v="CENCOSUD - JUMBO SANTA FE BOGOTA" u="1"/>
        <s v="INGRAM MICRO TTL" u="1"/>
        <s v="CENCOSUD - METRO VENTURA" u="1"/>
        <s v="CENCOSUD - JUMBO CABECERA" u="1"/>
        <s v="CENCOSUD - JUMBO BUENAVISTA" u="1"/>
        <s v="CENCOSUD - JUMBO CHIPICHAPE" u="1"/>
        <s v="CENCOSUD - JUMBO GIRARDOT" u="1"/>
        <s v="-" u="1"/>
        <s v="BP SURTICREDITOS CL ONCE CALI" u="1"/>
        <s v="BP SURTICREDITOS CRA OCTAVA CALI" u="1"/>
        <s v="SAO 376 MANIZALES MALL PLAZA" u="1"/>
        <s v="CENCOSUD JUMBO MEGAMALL" u="1"/>
        <s v="CENCOSUD METRO LIBERTADORES" u="1"/>
        <s v="SOLIMAN PIEDECUESTA CRA 6" u="1"/>
        <s v="CENCOSUD JUMBO CL 80" u="1"/>
        <s v="MANSION GRANADA META " u="1"/>
        <s v="ELECTROJAPONESA AREA 28 SANTADER DE QUILICHAO" u="1"/>
        <s v="CENCOSUD JUMBO TUNJA" u="1"/>
        <s v="CORBETA DIBOG" u="1"/>
        <s v="CENCOSUD METRO TINTALITO" u="1"/>
        <s v="ALMACENES DUBO" u="1"/>
        <s v="MANSION GRAN 13" u="1"/>
        <s v="HOMECENTER UNICENTRO PALMIRA" u="1"/>
        <s v="OLIMPICA SAO 256 AGUACHICA" u="1"/>
        <s v="CENCOSUD METRO SAN GIL" u="1"/>
        <s v="CENCOSUD JUMBO GUATAPURI" u="1"/>
        <s v="PRICESMART CRA 70 MEDELLIN" u="1"/>
        <s v="PRICESMART POBLADO" u="1"/>
        <s v="CORBETA DIPAS" u="1"/>
        <s v="CENCOSUD METRO BUGA" u="1"/>
        <s v="PRICESMART AV CANAS GORDAS" u="1"/>
        <s v="HYM PARQUE BERRIO ELECTROMODA" u="1"/>
        <s v="OLIMPICA EL BOSQUE 2" u="1"/>
        <s v="OLIMPICA SAO CIRCUNVALAR" u="1"/>
        <s v="OLIMPICA SAO 548 BUENAVENTURA 2 CRA 46" u="1"/>
        <s v="CENCOSUD METRO SOGAMOSO" u="1"/>
        <s v="CENCOSUD METRO DUITAMA" u="1"/>
        <s v="ALCA CRA 15" u="1"/>
        <s v="CENCOSUD JUMBO CHIA" u="1"/>
        <s v="CENCOSUD JUMBO SANTAFE MEDELLIN" u="1"/>
        <s v="CENCOSUD JUMBO CRA 30" u="1"/>
        <s v="CENCOSUD JUMBO CABECERA" u="1"/>
        <s v="CENCOSUD JUMBO BUENAVISTA" u="1"/>
        <s v="CENCOSUD JUMBO CHIPICHAPE" u="1"/>
        <s v="CENCOSUD JUMBO GIRARDOT" u="1"/>
        <s v="HYM CL COLOMBIA" u="1"/>
        <s v="IMAGIQ YOPAL CC GRAN PLAZA ALCARAVÁN" u="1"/>
        <s v="EXITO VILLAVICENCIO CENTRO" u="1"/>
        <s v="DIST ELECTROJAPONES AREA 07 CRA 8 #10-22" u="1"/>
        <s v="MULTIELECTRO 4" u="1"/>
        <s v="MULTIELECTRO EL CARMEN DE VIBORAL" u="1"/>
        <s v="MULTIELECTRO LA CEJA" u="1"/>
        <s v="ALCA BARRANCABERMEJA" u="1"/>
        <s v="INVERSIONES ARENAS BARRANCA" u="1"/>
        <s v="E  COMMERCE ASISTE" u="1"/>
        <s v="EMERGIA" u="1"/>
        <s v="SED CLARO ARCOS" u="1"/>
        <s v="BP SURTICREDITOS KM 30" u="1"/>
        <s v="OLIMPICA SAO 310 BUENAVISTA MONTERIA" u="1"/>
        <s v="CLARO BRM CALL CENTE BOGOTA" u="1"/>
        <s v="CALL CENTER BENTOINT" u="1"/>
        <s v="CLARO BUIMON PATIOS" u="1"/>
        <s v="CLARO CONEXIONES ARAUCA" u="1"/>
        <s v="CLARO CONEXIONES CELULARES CPS FORTUL" u="1"/>
        <s v="CLARO CONEXIONES CELULARES CPS SARAVENA" u="1"/>
        <s v="CLARO CONEXIONES CELULARES PDV TAME" u="1"/>
        <s v="CLARO CONEXIONES SARAVENA PREMIUM" u="1"/>
        <s v="CLARO IGERA PRINCIPAL VALLEDUPAR" u="1"/>
        <s v="CLARO JESMAR SAN VICENTE" u="1"/>
        <s v="CLARO MELTEC KENEDY" u="1"/>
        <s v="CLARO MELTEC NUEVO MILENIO" u="1"/>
        <s v="CLARO MELTEC SOGAMOSO" u="1"/>
        <s v="CLARO MELTEC UBATE" u="1"/>
        <s v="CLARO MOVILCO CPS UNICENTRO" u="1"/>
        <s v="CLARO TECPHONE TEC TINTAL" u="1"/>
        <s v="EXITO SAN DIEGO CARTAGENA (CV)" u="1"/>
        <s v="MOVISTAR ATENTO CALL CENTER PEREIRA" u="1"/>
        <s v="MOVISTAR CE PALMIRA LLANO GRANDE // 4889" u="1"/>
        <s v="MOVISTAR CE RIOHACHA // 4907" u="1"/>
        <s v="MOVISTAR CE TEL- PASTO CENTRO // 5104" u="1"/>
        <s v="MOVISTAR CVS PE/IRA AVCIRCUNV(K13)10-53 // 4584" u="1"/>
        <s v="MOVISTAR DIGITEX CALL CENTER 2" u="1"/>
        <s v="OLIMPICA PORTAL DEL QUINDIO 1358" u="1"/>
        <s v="CENCOSUD METRO CARTAGO" u="1"/>
        <s v="MANSION NEIVA" u="1"/>
        <s v="ELECTROBELLO RIONEGRO" u="1"/>
        <s v="MULTIELECTRO LA UNION" u="1"/>
        <s v="ELECTROBELLO ENVIGADO" u="1"/>
        <s v="CONSTRU-IMPORTADOS" u="1"/>
        <s v="EVENTO TEMPORAL TELEMERCADEO ALK 2" u="1"/>
        <s v="OLIMPICA LA PLAZUELA 1105" u="1"/>
        <s v="ALCA ELECTRO ASES IBAGUE" u="1"/>
        <s v="CENCOSUD METRO AUTOSUR" u="1"/>
        <s v="CENCOSUD METRO PALMIRA" u="1"/>
        <s v="EXITO WOW JAMUNDI" u="1"/>
        <s v="OLIMPICA BUGA" u="1"/>
        <s v="CENCOSUD METRO NEIVA" u="1"/>
        <s v="ASISTE VILLAVICENCIO" u="1"/>
        <s v="OLIMPICA STO 544 GOURMET" u="1"/>
        <s v="ALCA CUCUTA" u="1"/>
        <s v="COS BARRANQUILLA" u="1"/>
        <s v="ALTYCOM BARRANQUILLA" u="1"/>
        <s v="CAV BARRANQUILLA PARQUE ALEGRA" u="1"/>
        <s v="EVENTO MALL EXPERIENCE" u="1"/>
        <s v="ELECTROJAPONESA AREA 23 - PEREIRA" u="1"/>
        <s v="ELECTROJAPONESA AREA 26 - CHINCHINA" u="1"/>
        <s v="TIGO RIOHACHA" u="1"/>
        <s v="TIGO CENTRO MEDELLÍN" u="1"/>
        <s v="TIGO MOLINOS" u="1"/>
        <s v="TIGO VALLEDUPAR" u="1"/>
        <s v="TIGO BUENAVISTA 2" u="1"/>
        <s v="TIGO UNICO BAQ" u="1"/>
        <s v="TIGO BUENAVISTA SANTA M" u="1"/>
        <s v="TIGO SANTA MARTA" u="1"/>
        <s v="TIGO PLAZA DE LAS AMERICAS" u="1"/>
        <s v="TIGO UNICENTRO BTA" u="1"/>
        <s v="TIGO HAYUELOS" u="1"/>
        <s v="TIGO SOACHA" u="1"/>
        <s v="CLARO CAV E. G/ESTACION" u="1"/>
        <s v="CLARO CAV E. PLAZA DE LAS AMERICAS" u="1"/>
        <s v="IMAGIQ YOPAL C.C. GRAN PLAZA ALCARAVÁN" u="1"/>
        <s v="IMAGIQ CALI C.C. CHIPICHAPE" u="1"/>
        <s v="CLARO CAV E. MANIZALES" u="1"/>
        <s v="MOVISTAR CE TEL- CUCUTA AV. CERO // 5108" u="1"/>
        <s v="CLARO CAV E. PASTO" u="1"/>
        <s v="MOVISTAR B. CALI SUR // 1083" u="1"/>
        <s v="CLARO CAV E. FLORIDABLANCA" u="1"/>
        <s v="MOVISTAR B. BUCARAMANGA // 912" u="1"/>
        <s v="CLARO CAV CARTAGENA EJ." u="1"/>
        <s v="SES ISLA C.C. MAYALES ETAPA 1" u="1"/>
        <s v="CLARO CAV E. SANTA MARTA" u="1"/>
        <s v="MOVISTAR B. BARRANQUILLA // 899" u="1"/>
        <s v="TIGO BUENAVISTA SANTA M." u="1"/>
        <s v="CLARO CAV NIZA" u="1"/>
        <s v="MOVISTAR CALL CENTER MILLENIUM" u="1"/>
        <s v="MOVISTAR MENTIUS CALL CENTER" u="1"/>
        <s v="MOVISTAR B. CUCUTA // 945" u="1"/>
        <s v="MOVISTAR CE TEL- IBAGUE PIEDRAPINTADA // 5126" u="1"/>
        <s v="MOVISTAR CE TEL- IBAGUE CHAPINERO // 5127" u="1"/>
        <s v="MOVISTAR CV&amp;S NEIVA CLL37N°8A-20/22/30 // 4583" u="1"/>
        <s v="MOVISTAR CE TEL- NEIVA CENTRO // 5098" u="1"/>
        <s v="EXITO AVENIDA QUINTA CUCUTA" u="1"/>
        <s v="MOVISTAR CE MEDELLIN CENTRO K47#52-87 // 5077" u="1"/>
        <s v="MOVISTAR CE MEDELLIN MAYORCA // 5408" u="1"/>
        <s v="MOVISTAR CE FLORENCIA // 4906" u="1"/>
        <s v="CENCOSUD METRO SANTA LUCIA" u="1"/>
        <s v="MULTIELECTRO ITAGUI" u="1"/>
        <s v="EVENTO TEMPORAL FERIA" u="1"/>
        <s v="MOVISTAR CE TULUA // 4939" u="1"/>
        <s v="MOVISTAR CVS ME/LLÍN PREMIUN K43A#30-25 // 4582" u="1"/>
        <s v="MOVISTAR CE BELLO PUERTA DEL NORTE" u="1"/>
        <s v="MOVISTAR CE V.DEL RIO BTA" u="1"/>
        <s v="MOVISTAR CE BOGOTA AV SUBA AL PASO // 5296" u="1"/>
        <s v="MOVISTAR B. PLAZA DE LAS AMERICAS // 910" u="1"/>
        <s v="MOVISTAR CVS CTRO EXP BOGOTA CITY POINT // 4654" u="1"/>
        <s v="MOVISTAR CE TEL- UNICENTRO BOGOTA // 5087" u="1"/>
        <s v="MOVISTAR CVS CTRO EXP COLINA" u="1"/>
        <s v="MOVISTAR CE TEL- CARTAGENA BADEL // 5123" u="1"/>
        <s v="HYM FAMIELECTRO" u="1"/>
        <s v="HYM JUNIN 3" u="1"/>
        <s v="HYM PLAYA" u="1"/>
        <s v="HYM BELLO 1" u="1"/>
        <s v="HYM BELLO 2" u="1"/>
        <s v="HYM BELLO 3" u="1"/>
        <s v="HYM ITAGUI 2" u="1"/>
        <s v="HYM ITAGUI TRES" u="1"/>
        <s v="HYM RIONEGRO" u="1"/>
        <s v="EXITO NEIVA" u="1"/>
        <s v="CENCOSUD METRO PITALITO" u="1"/>
        <s v="EXITO UNICENTRO VILLAVICENCIO" u="1"/>
        <s v="CENCOSUD JUMBO UNICENTRO" u="1"/>
        <s v="CENCOSUD METRO IBAGUE" u="1"/>
        <s v="OLIMPICA SAO MACARENA" u="1"/>
        <s v="OLIMPICA SAO 094 VILLA CAROLINA" u="1"/>
        <s v="SAO 626 TERREROS" u="1"/>
        <s v="SAO 416 SUBA" u="1"/>
        <s v="EPSA PALMIRA" u="1"/>
        <s v="FERIA DEL HOGAR" u="1"/>
        <s v="TIGO UNICENTRO CALI" u="1"/>
        <s v="TIGO PALMETO" u="1"/>
        <s v="MOVISTAR CE PARQUE CENTRAL BAVARIA 905" u="1"/>
        <s v="MOVISTAR CE BOGOTA FONTIBON // 5388" u="1"/>
        <s v="JL&amp;RB MOCOA" u="1"/>
        <s v="CAV BOGOTA FLORESTA" u="1"/>
        <s v="CAV ZIPAQUIRA" u="1"/>
        <s v="CLARO CALL CENTER CATALITICO" u="1"/>
        <s v="OLIMPICA SAO 067 CC PARQUE ALEGRA 1067" u="1"/>
        <s v="STORE MILLA DE ORO" u="1"/>
        <s v="OLIMPICA SAO CIRCUNVALAR 1302" u="1"/>
        <s v="CLARO ICELL UNICO" u="1"/>
        <s v="CLARO CONEXIONES ARAUCA CVS" u="1"/>
        <s v="CLARO CONEXIONES ARAUCA CVS 1" u="1"/>
        <s v="CLARO CONEXIONES KENNEDY" u="1"/>
        <s v="CLARO CONEXIONES VENECIA" u="1"/>
        <s v="CLARO TECPHONE CENTRO MAYOR" u="1"/>
        <s v="CLARO TECPHONE TEC BOSA" u="1"/>
        <s v="CLARO CONECTIVIDAD IBAGUE" u="1"/>
        <s v="CLARO CELLPLUS AV ESTACION" u="1"/>
        <s v="CLARO JESMAR COMUNICACIONES" u="1"/>
        <s v="CLARO JESMAR CC GRAN PLAZA PITALITO" u="1"/>
        <s v="CLARO TEAM OVIEDO" u="1"/>
        <s v="CLARO SERCOMUNICACIONES JUNIN" u="1"/>
        <s v="CLARO CLEARPHONE CC VENTURA PLAZA CUCUTA" u="1"/>
        <s v="CLARO SERCOMUNICACIONES ENVIGADO" u="1"/>
        <s v="CLARO TECPHONE VILLETA 2" u="1"/>
        <s v="CLARO MELTEC CPS TUNJA" u="1"/>
        <s v="CLARO MI RED MOVIL PLAZA CENTRAL" u="1"/>
        <s v="CLARO CVS VILLA DE LEYVA" u="1"/>
        <s v="CLARO LEFCOM VILLA DE LEYVA" u="1"/>
        <s v="EXITO SAN DIEGO CARTAGENA" u="1"/>
        <s v="CENCOSUD METRO ITAGUI" u="1"/>
        <s v="MOVISTAR CVS CTRO EXP CALI CC AVTURA P // 4656" u="1"/>
        <s v="MOVISTAR B. VERSALLES CALI // 956" u="1"/>
        <s v="HYM MARINILLA" u="1"/>
        <s v="HYM MANRIQUE" u="1"/>
        <s v="OLIMPICA MARDEN LA 47 1585" u="1"/>
        <s v="OLIMPICA EL BOSQUE 2 1586" u="1"/>
        <s v="CENCOSUD METRO FACATATIVA" u="1"/>
        <s v="ELECTROJAPONESA ARMENIA" u="1"/>
        <s v="MOVISTAR CE TEL- BARRANCABERMEJA // 5114" u="1"/>
        <s v="CLARO SERCOMUNICACIONES SABANETA" u="1"/>
        <s v="CLARO SERCOMUNICACIONES CALDAS" u="1"/>
        <s v="CLARO SERCOMUNICACIONES COPACABANA" u="1"/>
        <s v="CLARO SERCOMUNICACIONES BELLO" u="1"/>
        <s v="HOMECENTER MOLINOS" u="1"/>
        <s v="EXITO EJECUTIVOS CARTAGENA" u="1"/>
        <s v="OLIMPICA LA PAJUELA" u="1"/>
        <s v="OLIMPICA STO GUACARI" u="1"/>
        <s v="MANSION CHIA" u="1"/>
        <s v="CENCOSUD METRO BELLO ANTIOQUIA" u="1"/>
        <s v="EXITO ZIPAQUIRA" u="1"/>
        <s v="CENCOSUD - METRO LA 70 SUR ORIENTAL" u="1"/>
        <s v="EXITO WOW GIRARDOT" u="1"/>
        <s v="OLIMPICA SAO SAN FELIPE 1112" u="1"/>
        <s v="FANTASIA PRINCIPAL" u="1"/>
        <s v="SOLIMAN CUMBRE" u="1"/>
        <s v="ALCA CRA 19" u="1"/>
        <s v="ALCA ELECTRODOMESTICOS LA 16" u="1"/>
        <s v="SOLIMAN LA CUMBRE" u="1"/>
        <s v="HOMECENTER BARRANQUILLA LA 30" u="1"/>
        <s v="HOMECENTER CUCUTA DG SANTANDER" u="1"/>
        <s v="CAV VENTURA TERRERO" u="1"/>
        <s v="HOMECENTER MANIZALES // 25925" u="1"/>
        <s v="LAGOBO ARMENIA" u="1"/>
        <s v="ALKOSTO 170" u="1"/>
        <s v="HYM ITAGUI 3" u="1"/>
        <s v="HOMECENTER DORADO" u="1"/>
        <s v="SODIMAC HOMECENTER DORADO BOGOTA" u="1"/>
        <s v="EXITO ENVIGADO" u="1"/>
        <s v="HOMECENTER ENVIGADO" u="1"/>
        <s v="ALCA ELECTROACES IBAGUE" u="1"/>
        <m u="1"/>
        <s v="HOMECENTER CGENA CL29B // 22863" u="1"/>
        <s v="FLAMINGO MAYORCA" u="1"/>
        <s v="HOMECENTER CRA 6" u="1"/>
        <s v="HYM BELLO UNO" u="1"/>
        <s v="HYM BELLO DOS" u="1"/>
        <s v="HYM BELLO TRES" u="1"/>
        <s v="HYM ITAGUI DOS" u="1"/>
        <s v="HYM CALLE COLOMBIA" u="1"/>
      </sharedItems>
    </cacheField>
    <cacheField name="DIRECCION POS" numFmtId="0">
      <sharedItems/>
    </cacheField>
    <cacheField name="GRUPO" numFmtId="0">
      <sharedItems count="23">
        <s v="NO APLICA"/>
        <s v="ALKOSTO"/>
        <s v="EXITO"/>
        <s v="CLARO "/>
        <s v="CENCOSUD"/>
        <s v="OLIMPICA"/>
        <s v="FALABELLA"/>
        <s v="GROUP NORORIENTE"/>
        <s v="GROUP SUROCCIDENTE"/>
        <s v="SPECIALITY"/>
        <s v="GROUP MEDELLIN"/>
        <s v="WHOLESALERS"/>
        <s v="SES" u="1"/>
        <s v="GROUP BOGOTA" u="1"/>
        <s v="CLARO CL" u="1"/>
        <s v="CLARO DEALERS" u="1"/>
        <s v="MOVISTAR CL" u="1"/>
        <s v="TIGO CL" u="1"/>
        <s v="B2B" u="1"/>
        <s v="EN VALIDACION" u="1"/>
        <s v="CALLE COLOMBIA" u="1"/>
        <s v="CORBETA" u="1"/>
        <s v="DISTRY" u="1"/>
      </sharedItems>
    </cacheField>
    <cacheField name="CADENA" numFmtId="0">
      <sharedItems count="59">
        <s v="NO APLICA"/>
        <s v="KTRONIX"/>
        <s v="ALKOSTO"/>
        <s v="EXITO"/>
        <s v="SED INTERNATIONAL"/>
        <s v="CENCOSUD"/>
        <s v="OLIMPICA"/>
        <s v="FALABELLA"/>
        <s v="DUBO"/>
        <s v="HVC"/>
        <s v="ALKOMPRAR"/>
        <s v="ALKOSTO PASTO"/>
        <s v="ALCA"/>
        <s v="ARENAS"/>
        <s v="MERCACENTRO"/>
        <s v="MANSION"/>
        <s v="SODIMAC"/>
        <s v="ELECTROBELLO"/>
        <s v="MPSCOM"/>
        <s v="AGAVAL"/>
        <s v="PRICESMART"/>
        <s v="MULTIELECTRO"/>
        <s v="ELECTROFERIA"/>
        <s v="COMBESTBUY"/>
        <s v="ELECTROJAPONESA"/>
        <s v="DISTRIBUIDORA COLOMBIA"/>
        <s v="FLAMINGO "/>
        <s v="ELECTROMUEBLES"/>
        <s v="MAXIMUEBLES"/>
        <s v="SOLIMAN"/>
        <s v="JALBOR"/>
        <s v="JL&amp;RB"/>
        <s v="CORBETA"/>
        <s v="BP SURTICREDITOS"/>
        <s v="ARPESOD"/>
        <s v="DISTRIBUIDORA ELECTROJAP"/>
        <s v="HOGAR Y  MODA"/>
        <s v="HOGAR Y MODA"/>
        <s v="DISTY" u="1"/>
        <s v="SUMAZARI" u="1"/>
        <s v="IMAGIQ" u="1"/>
        <s v="CENTRO DE EXPERIENCIA MED" u="1"/>
        <s v="CLARO CL" u="1"/>
        <s v="CLARO DEALERS" u="1"/>
        <s v="MOVISTAR CL" u="1"/>
        <s v="TIGO CL" u="1"/>
        <s v="B2B" u="1"/>
        <s v="LAGOBO" u="1"/>
        <s v="EN VALIDACION" u="1"/>
        <s v="INGRAM" u="1"/>
        <s v="CARRIERS" u="1"/>
        <s v="QUALITA" u="1"/>
        <s v="MPS.COM" u="1"/>
        <s v="CALLE COLOMBIA" u="1"/>
        <s v="DISTRY" u="1"/>
        <s v="CONSTRU-IMPORTADOS" u="1"/>
        <s v="EPSA" u="1"/>
        <s v="ELECTROMILLONARIA" u="1"/>
        <s v="FANTASIA" u="1"/>
      </sharedItems>
    </cacheField>
    <cacheField name="CANAL" numFmtId="0">
      <sharedItems/>
    </cacheField>
    <cacheField name="CIUDAD" numFmtId="0">
      <sharedItems containsBlank="1" count="99">
        <s v="BOGOTA"/>
        <s v="BUCARAMANGA"/>
        <s v="MEDELLIN"/>
        <s v="BARRANQUILLA"/>
        <s v="CALI"/>
        <s v="PEREIRA"/>
        <s v="TUNJA"/>
        <s v="CHIA"/>
        <s v="MANIZALES"/>
        <s v="VILLAVICENCIO"/>
        <s v="SOACHA"/>
        <s v="CUCUTA"/>
        <s v="IBAGUE"/>
        <s v="BELLO"/>
        <s v="PASTO"/>
        <s v="FLORIDABLANCA"/>
        <s v="ITAGUI"/>
        <s v="SABANETA"/>
        <s v="SANTA MARTA"/>
        <s v="SINCELEJO"/>
        <s v="DUITAMA"/>
        <s v="BUENAVENTURA"/>
        <s v="ZIPAQUIRA"/>
        <s v="FLORENCIA"/>
        <s v="RIONEGRO"/>
        <s v="MONTERIA"/>
        <s v="POPAYAN"/>
        <s v="IPIALES"/>
        <s v="YOPAL"/>
        <s v="NEIVA"/>
        <s v="FUSAGASUGA"/>
        <s v="CARTAGENA"/>
        <s v="MOSQUERA"/>
        <s v="TUQUERRES"/>
        <s v="BUGA"/>
        <s v="DOSQUEBRADAS"/>
        <s v="BARRANCABERMEJA"/>
        <s v="ENVIGADO"/>
        <s v="BUGALAGRANDE"/>
        <s v="GUADALAJARA DE BUGA"/>
        <s v="VALLEDUPAR"/>
        <s v="TULUA"/>
        <s v="SAN GIL"/>
        <s v="AGUACHICA"/>
        <s v="ARMENIA"/>
        <s v="APARTADO"/>
        <s v="PALMIRA"/>
        <s v="JAMUNDI"/>
        <s v="SANTANDER DE QUILICHAO"/>
        <s v="YUMBO"/>
        <s v="GRANADA"/>
        <s v="ARAUCA"/>
        <s v="PITALITO"/>
        <s v="CARTAGO"/>
        <s v="PIEDECUESTA"/>
        <s v="GIRARDOT"/>
        <s v="CAUCASIA"/>
        <s v="OCANA"/>
        <s v="ESPINAL"/>
        <s v="FUNZA"/>
        <s v="CAJICA" u="1"/>
        <s v="SAN ANDRES" u="1"/>
        <s v="AGUAZUL " u="1"/>
        <s v="SOGAMOSO" u="1"/>
        <s v="LA MESA" u="1"/>
        <s v="RIOHACHA" u="1"/>
        <s v="CHAPARRAL" u="1"/>
        <s v="TURBACO" u="1"/>
        <s v="HONDA" u="1"/>
        <s v="QUIBDO" u="1"/>
        <s v="CALDAS" u="1"/>
        <s v="LA DORADA" u="1"/>
        <s v="SOLEDAD" u="1"/>
        <s v="PUERTO BOYACA" u="1"/>
        <s v="SAN VICENTE DEL CAGUAN" u="1"/>
        <s v="TUMACO" u="1"/>
        <s v="FACATATIVA" u="1"/>
        <s v="OCAÑA" u="1"/>
        <s v="CHIQUINQUIRA" u="1"/>
        <s v="TOCANCIPA" u="1"/>
        <s v="ESPINAL " u="1"/>
        <s v="TURBO" u="1"/>
        <s v="MAGANGUE" u="1"/>
        <s v="MARINILLA" u="1"/>
        <s v="TAME" u="1"/>
        <s v="LORICA" u="1"/>
        <s v="SANTANDER" u="1"/>
        <s v="MARIQUITA" u="1"/>
        <s v="EL CARMEN DE VIBORAL" u="1"/>
        <s v="NO APLICA" u="1"/>
        <s v="FORTUL" u="1"/>
        <s v="SARAVENA" u="1"/>
        <s v="UBATE" u="1"/>
        <s v="MOCOA" u="1"/>
        <s v="CHINCHINA" u="1"/>
        <m u="1"/>
        <s v="VILLETA" u="1"/>
        <s v="VILLA DE LEYVA" u="1"/>
        <s v="LA CEJA" u="1"/>
      </sharedItems>
    </cacheField>
    <cacheField name="DEPARTAMENTO" numFmtId="0">
      <sharedItems/>
    </cacheField>
    <cacheField name="REGION" numFmtId="0">
      <sharedItems containsBlank="1" count="22">
        <s v="CENTRO"/>
        <s v="SANTANDER"/>
        <s v="ANTIOQUIA"/>
        <s v="COSTA"/>
        <s v="OCCIDENTE"/>
        <s v="EJE CAFETERO"/>
        <s v="CENTRO LLANOS"/>
        <s v="TOLUCA"/>
        <s v="SUR"/>
        <s v="ORIENTE" u="1"/>
        <s v="PACIFICO" u="1"/>
        <s v="COSTA MAR" u="1"/>
        <s v="TOLHUCA" u="1"/>
        <s v="COSTA SECA" u="1"/>
        <s v="CUNDINAMARCA" u="1"/>
        <s v="EJE CAF" u="1"/>
        <s v="SUROCCIDENTE" u="1"/>
        <s v="NORORIENTE" u="1"/>
        <s v="CENTRO/LLANOS" u="1"/>
        <s v="EJE /TOLHUCA" u="1"/>
        <s v="CENTRO " u="1"/>
        <m u="1"/>
      </sharedItems>
    </cacheField>
    <cacheField name="ENTRENADOR" numFmtId="0">
      <sharedItems/>
    </cacheField>
    <cacheField name="VISUAL MERCHANDISER" numFmtId="0">
      <sharedItems/>
    </cacheField>
    <cacheField name="SUPERVISOR" numFmtId="0">
      <sharedItems containsBlank="1" count="150">
        <s v="GARCIA BUITRAGO KELYN VIVIANA"/>
        <s v="OLAYA GUERRERO JUAN DAVID"/>
        <s v="GOMEZ OSCAR"/>
        <s v="ZAPATA AGUDELO KATHERIN"/>
        <s v="MERCADO OJEDA LILIANA PATRICIA"/>
        <s v="ORDOÑEZ VERGARA LEIDY ANDREA"/>
        <s v="CLAVIJO VEGA JOHN ALEXANDER"/>
        <s v="VEGA HERREÑO DIANA PATRICIA"/>
        <s v="CRUZ BOBADILLA NIDYA MILENA"/>
        <s v="IRLANDA VEGA YENNIFER"/>
        <s v="ALFONSO MARTINEZ VICTOR EMMANUEL"/>
        <s v="MORENO GONZALEZ MILENA BEATRIZ"/>
        <s v="GOMEZ SANDOVAL JOSE GUSTAVO"/>
        <s v="RODRIGUEZ LOZADA JAIRO IVAN"/>
        <s v="PARRA BAUTISTA JULIAN CAMILO"/>
        <s v="CHILAMA CRUZ MILLER ARMANDO"/>
        <s v="CARREÑO GOMEZ DIANA MARCELA"/>
        <s v="ARDILA BERMUDEZ ELIANA MARIA"/>
        <s v="ARBOLEDA PARRA MANUELA"/>
        <s v="VACANTE"/>
        <s v="PINZON PACHON RAFAEL RICARDO"/>
        <s v="CAMPOS HERNANDEZ LADY MARCELA" u="1"/>
        <s v="CELIS MORA OSCAR EDUARDO" u="1"/>
        <s v="LUCUMI FAGUA JUAN SEBASTIAN" u="1"/>
        <s v="OCAMPO POSADA ANDRES FELIPE" u="1"/>
        <s v="SALAZAR ABRIL JHONATAN ANDRES" u="1"/>
        <s v="CAMPO VANEGAS ADALBERTO MANUEL" u="1"/>
        <s v="RODRIGUEZ LLANOS JOSE REINER " u="1"/>
        <s v="NO APLICA" u="1"/>
        <s v="BAQUERO MARIN JULIAN ANDRES" u="1"/>
        <s v="ALDANA ROJAS JUAN DANILO" u="1"/>
        <s v="PACHECO SUAREZ YONATAN ALEXANDER" u="1"/>
        <s v="SUAREZ SANCHEZ YEIMI ALEJANDRA" u="1"/>
        <s v="CARBONELL VIZCAINO ANYELINE" u="1"/>
        <s v="VALLEJO BERJANO NIYIRETH" u="1"/>
        <s v="ORTIZ PEREA JOHANA" u="1"/>
        <s v="SANCHEZ MESA JEISON ESTEVEN" u="1"/>
        <s v="LÓPEZ JAVIER ALONSO" u="1"/>
        <s v="RIVERA VILLOTA JERSSON DAVID" u="1"/>
        <s v="GARCIA GARCIA MILLER ALEJANDRO" u="1"/>
        <s v="MUÑOZ REYES MIGUEL ANGEL" u="1"/>
        <s v="BARBARAN GONZALEZ TATIANA YULEY" u="1"/>
        <s v="ARDILA GALVIS JANETH SUSANA" u="1"/>
        <s v="NARVAEZ IBAÑEZ ALEX FABIAN" u="1"/>
        <s v="FLOREZ MARIANA" u="1"/>
        <s v="ORTEGA CALDERON JAVIER" u="1"/>
        <s v="LOAIZA CASTELLANOS EDISSON JULIAN" u="1"/>
        <s v="BENAVIDES ALEJANDRA" u="1"/>
        <s v="COPPELLAND ESTRADA WILLIAM" u="1"/>
        <s v="REYES DUARTE CRISTIAN HERNANDO" u="1"/>
        <s v="HERRERA SALAS JAFET ENRIQUE" u="1"/>
        <s v="CASTAÑO OCAMPO KATHERINE PAOLA" u="1"/>
        <s v="ENDO PORTILLA JULIANA CAROLINA" u="1"/>
        <s v="QUINTANA ANGIE LORENA" u="1"/>
        <s v="NIEBLES YURANIS VANESSA" u="1"/>
        <s v="LANDINEZ JIMENEZ JOHN ALEXANDER" u="1"/>
        <s v="TAVERA RUIZ LEIDY MILENA" u="1"/>
        <s v="VACANTE RAMIREZ SANCHEZ LUZ ADRIANA" u="1"/>
        <s v="RAMIREZ SANCHEZ LUZ ADRIANA" u="1"/>
        <s v="PERDOMO SERRANO CRISTIAN ARTURO" u="1"/>
        <s v="VACANTE UMBARILA CRISTIAN LEONARDO" u="1"/>
        <s v="UMBARILA CRISTIAN LEONARDO" u="1"/>
        <s v="DÍAZ LÓPEZ DIEGO MAURICIO" u="1"/>
        <s v="VACANTE CHACON RODRIGUEZ SERGIO ANDRES" u="1"/>
        <s v="VACANTE CABRA VEGA JESSICA ESTEFANÍA" u="1"/>
        <s v="CABRA VEGA JESSICA ESTEFANÍA" u="1"/>
        <s v="CHACON RODRIGUEZ SERGIO ANDRES" u="1"/>
        <s v="PAVA LOPEZ DAVID ENRIQUE" u="1"/>
        <s v="VACANTE CASTAÑO OCAMPO KATHERINE PAOLA" u="1"/>
        <s v="VACANTE TORRES MUÑOZ YESSICA MERCEDES" u="1"/>
        <s v="VACANTE REINA CASTILLO RAFAEL" u="1"/>
        <s v="VACANTE VARGAS OLAYA YAZMIN" u="1"/>
        <s v="VACANTE DIAZ PIRAQUIVE LADY JOHANNA" u="1"/>
        <s v="LIEVANO TOLEDO CRISTIAN CAMILO" u="1"/>
        <s v="DIAZ PIRAQUIVE LADY JOHANNA" u="1"/>
        <s v="REINA CASTILLO RAFAEL" u="1"/>
        <s v="CERPA LOAIZA MELISSA CRISTINA" u="1"/>
        <s v="GOMEZ CARMONA JUAN PABLO" u="1"/>
        <s v="USUGA SANCHEZ MONICA MILENA" u="1"/>
        <s v="HUERTAS SARMIENTO LUZ ANDREA" u="1"/>
        <s v="MANTILLA MONCADA PABLO CESAR" u="1"/>
        <s v="RODRIGUEZ CASTRO RAMIRO ANDRES" u="1"/>
        <s v="CASTAÑO MEJIA CRISTIAN CAMILO" u="1"/>
        <s v="CASTIBLANCO MURCIA SANDRA MILENA" u="1"/>
        <s v="VARGAS ORTIZ JHANER CAMILO" u="1"/>
        <s v="GONZALEZ CARDENAS ERIKA PAOLA" u="1"/>
        <s v="HINCAPIE ARIAS DUVAN ALONSO" u="1"/>
        <s v="IBAÑEZ GUZMAN YULIETH PAOLA" u="1"/>
        <s v="MARIN CARLOS ANDRES" u="1"/>
        <s v="VARGAS OLAYA YAZMIN" u="1"/>
        <s v="TORRES MUÑOZ YESSICA MERCEDES" u="1"/>
        <s v="COPPELLAND ESTRADA WILLIAM " u="1"/>
        <s v="BETANCUR CORAL DIANA CAROLINA" u="1"/>
        <s v="LEON JAIMES DIEGO ARMANDO" u="1"/>
        <s v="VACANTE GALLEGO ESCOBAR CARLOS FELIPE" u="1"/>
        <s v="PARRA AGUIRRE JUAN ESTEBAN" u="1"/>
        <s v="VACANTE MATEUS PAOLA" u="1"/>
        <s v="VACANTE GAONA SABOGAL DANIEL ORLANDO" u="1"/>
        <s v="LINARES PASTRAN ANDRES RICARDO" u="1"/>
        <s v="GONZALEZ DUQUE ALEJANDRO" u="1"/>
        <s v="MENDOZA SANCHEZ EDWIN ALBERTO" u="1"/>
        <s v="QUEVEDO LOPEZ JAM CARLOS" u="1"/>
        <s v="GALLEGO ESCOBAR CARLOS FELIPE" u="1"/>
        <s v="CORTES CABRERA YANEIRE" u="1"/>
        <s v="ACOSTA OSORIO GENISIS ENRIQUE" u="1"/>
        <s v="CALDERIN FAJARDO HENRY" u="1"/>
        <s v="PERALTA MILEXANDER" u="1"/>
        <s v="SOTAQUIRA BARRERA ANGELA MARIA" u="1"/>
        <s v="VEGA MELO JOSE JOAQUIN" u="1"/>
        <s v="ALBORNOZ QUIÑONEZ MAICOL BIANEY" u="1"/>
        <s v="VILLALBA YEPES RONALD" u="1"/>
        <s v="NARVAEZ TRUJILLO ROBINSON FRANCISCO" u="1"/>
        <s v="VACANTE HOYOS MONTOYA JORGE MARIO" u="1"/>
        <s v="MORELOS SUAREZ NATALIA" u="1"/>
        <s v="HOYOS MONTOYA JORGE MARIO" u="1"/>
        <s v="MORENO AYALA ALEXANDER" u="1"/>
        <s v="VACANTE LUCUMI FAGUA JUAN SEBASTIAN" u="1"/>
        <s v="GAONA SABOGAL DANIEL ORLANDO" u="1"/>
        <s v="MATEUS PAOLA" u="1"/>
        <s v="VACANTE RUIZ GUTIÉRREZ ELIZABETH" u="1"/>
        <s v="MURILLO PEREZ JULIO FIDEL" u="1"/>
        <s v="-" u="1"/>
        <m u="1"/>
        <s v="SARMIENTO SEGURA JULY ALEXANDRA" u="1"/>
        <s v="VACANTE CAICEDO PORTELA CATALINA" u="1"/>
        <s v="CAICEDO PORTELA CATALINA" u="1"/>
        <s v="VACANTE CASTRO JIMÉNEZ CESAR AUGUSTO" u="1"/>
        <s v="RAMIREZ SEBASTIAN" u="1"/>
        <s v="CASTRO JIMÉNEZ CESAR AUGUSTO" u="1"/>
        <s v="VACANTE VARELA DOMINGUEZ LEIDY YOHANNA" u="1"/>
        <s v="RUIZ GUTIÉRREZ ELIZABETH" u="1"/>
        <s v="GOMEZ CIFUENTES DENISE SAMANTHA" u="1"/>
        <s v="VARELA DOMINGUEZ LEIDY YOHANNA" u="1"/>
        <s v="VACANTE CASTRO CARDENAS VIVIAN MAYERLY" u="1"/>
        <s v="VACANTE PARALES CASTILLO JAVIER SANTIAGO" u="1"/>
        <s v="CARREÑO GOMEZ DIANA MARCELA " u="1"/>
        <s v="CASTRO CARDENAS VIVIAN MAYERLY" u="1"/>
        <s v="PARALES CASTILLO JAVIER SANTIAGO" u="1"/>
        <s v="GARCIA GARCIA MILLER ALEJANDRO " u="1"/>
        <s v="IBAÑEZ GUZMAN YULIETH PAOLA " u="1"/>
        <s v="GARCIA KELYN VIVIANA" u="1"/>
        <s v="VACANTE 2" u="1"/>
        <s v="VACANTE 1 GESTOR DE NEGOCIOS" u="1"/>
        <s v="VACANTE 3 GESTOR DE NEGOCIOS" u="1"/>
        <s v="VACANTE GARCIA GIRALDO JUAN CAMILO" u="1"/>
        <s v="GARCIA GIRALDO JUAN CAMILO" u="1"/>
        <s v="VACANTE RODRIGUEZ ANGEL IVAN" u="1"/>
        <s v="VACANTE TOBON OROZCO VERONICA" u="1"/>
        <s v="MORA ARIAS MAYERLI" u="1"/>
        <s v="RODRIGUEZ ANGEL IVAN" u="1"/>
      </sharedItems>
    </cacheField>
    <cacheField name="COORDINADOR" numFmtId="0">
      <sharedItems count="58">
        <s v="GARCIA BUITRAGO KELYN VIVIANA"/>
        <s v="MORA ARIAS MAYERLI"/>
        <s v="CORREA PINEDO JOHN EDISON"/>
        <s v="SARMIENTO SEGURA JULY ALEXANDRA"/>
        <s v="GOMEZ GUTIERREZ HEIDY"/>
        <s v="BARRERA VEGA DANIEL FERNANDO"/>
        <s v="VEGA HIDALGO CAMILO ANDRES"/>
        <s v="NO APLICA"/>
        <s v="CAMPOS HERNANDEZ LADY MARCELA" u="1"/>
        <s v="ESCORCIA RODRIGUEZ EDWIN ALBERTO" u="1"/>
        <s v="PEREZ OMAR STEVEN" u="1"/>
        <s v="GARZON BUESQUILLO JONATHAN" u="1"/>
        <s v="TORRES SERNA OMAR ANDRES" u="1"/>
        <s v="REYES DIAZ ANGIE PAOLA" u="1"/>
        <s v="AGUDELO VIDAL CARLOS MARIO" u="1"/>
        <s v="SUAREZ ANGELICA MARIA" u="1"/>
        <s v="RINCON CHANAGA WILLIAM JAVIER" u="1"/>
        <s v="CANO PATIÑO LUIS GERARDO" u="1"/>
        <s v="SOTAQUIRA BARRERA ANGELA MARIA" u="1"/>
        <s v="ORTIZ CHAVEZ SANDRA JOHANNA" u="1"/>
        <s v="QUINONES GAITAN CLARA FERNANDA" u="1"/>
        <s v="DIAZ PIRAQUIVE LADY JOHANNA" u="1"/>
        <s v="REYES DUARTE CRISTIAN HERNANDO" u="1"/>
        <s v="HERRERA SALAS JAFET ENRIQUE" u="1"/>
        <s v="RAMIREZ SANCHEZ LUZ ADRIANA" u="1"/>
        <s v="VACANTE MURILLO RESTREPO STIVENS ALEJANDRO" u="1"/>
        <s v="RINCON DAZA GABRIEL ANIBAL" u="1"/>
        <s v="MURILLO RESTREPO STIVENS ALEJANDRO" u="1"/>
        <s v="HERNANDEZ BETANCUR EDWIN MAURICIO" u="1"/>
        <s v="VACANTE COORD ALKOSTO" u="1"/>
        <s v="VACANTE GALLEGO ROJAS ANDRES FABIAN" u="1"/>
        <s v="VACANTE CASTRO BARRERA EDNA MARISOL" u="1"/>
        <s v="VCANTE GÓMEZ HERNÁNDEZ SANDRA MILENA" u="1"/>
        <s v="CASTRO BARRERA EDNA MARISOL" u="1"/>
        <s v="GALLEGO ROJAS ANDRES FABIAN" u="1"/>
        <s v="GÓMEZ HERNÁNDEZ SANDRA MILENA" u="1"/>
        <s v="VACANTE MORALES GALLEGO JHON JAIRO" u="1"/>
        <s v="LIEVANO TOLEDO CRISTIAN CAMILO" u="1"/>
        <s v="LEMUS ARBOLEDA JENNY ADRIANA" u="1"/>
        <s v="ROBLEDO GOMEZ JORGE ALBERTO" u="1"/>
        <s v="MARIN CARLOS ANDRES" u="1"/>
        <s v="MORALES GALLEGO JHON JAIRO" u="1"/>
        <s v="CLARA FERNANDA QUINONES GAITAN" u="1"/>
        <s v="VACANTE VERGARA MAYRA ALEJANDRA" u="1"/>
        <s v="VACANTE" u="1"/>
        <s v="VACANTE CRISTIAN HERNANDO REYES DUARTE" u="1"/>
        <s v="VACANTE SASTRE GARZON LEIDY VIVIANA" u="1"/>
        <s v="VACANTE MANJARRES POLO MARIBEL PATRICIA" u="1"/>
        <s v="RODRIGUEZ CASTRO RAMIRO ANDRES" u="1"/>
        <s v="-" u="1"/>
        <s v="VERGARA MAYRA ALEJANDRA" u="1"/>
        <s v="SASTRE GARZON LEIDY VIVIANA" u="1"/>
        <s v="CRISTIAN HERNANDO REYES DUARTE" u="1"/>
        <s v="RAMIREZ SEBASTIAN" u="1"/>
        <s v="GARCIA KELYN VIVIANA" u="1"/>
        <s v="VACANTE BARRIOS MEZA YESID ANTONIO" u="1"/>
        <s v="BARRIOS MEZA YESID ANTONIO" u="1"/>
        <s v="VACANTE CORD CENCOSUD" u="1"/>
      </sharedItems>
    </cacheField>
    <cacheField name="TOTAL DE CUPOS" numFmtId="0">
      <sharedItems containsSemiMixedTypes="0" containsString="0" containsNumber="1" minValue="0" maxValue="1"/>
    </cacheField>
    <cacheField name="DISPERSION DE CUPOS" numFmtId="0">
      <sharedItems containsSemiMixedTypes="0" containsString="0" containsNumber="1" minValue="0" maxValue="1"/>
    </cacheField>
    <cacheField name="FECHA DE INGRESO" numFmtId="14">
      <sharedItems containsDate="1" containsMixedTypes="1" minDate="2025-01-02T00:00:00" maxDate="2026-10-18T00:00:00"/>
    </cacheField>
    <cacheField name="DATE SENIORITY" numFmtId="14">
      <sharedItems containsDate="1" containsMixedTypes="1" minDate="2004-02-16T00:00:00" maxDate="2026-10-18T00:00:00"/>
    </cacheField>
    <cacheField name="LENGHT OF SERVICE" numFmtId="1">
      <sharedItems containsMixedTypes="1" containsNumber="1" containsInteger="1" minValue="0" maxValue="272"/>
    </cacheField>
    <cacheField name="SENIORITY RANGE CE" numFmtId="14">
      <sharedItems/>
    </cacheField>
    <cacheField name="TIPO DE POS" numFmtId="0">
      <sharedItems/>
    </cacheField>
    <cacheField name="TIPO DE POS GENERAL" numFmtId="0">
      <sharedItems/>
    </cacheField>
    <cacheField name="OBSERVACIONES" numFmtId="0">
      <sharedItems containsDate="1" containsBlank="1" containsMixedTypes="1" minDate="1899-12-30T00:00:00" maxDate="1899-12-31T00:00:00" count="7">
        <s v="MIGRADO"/>
        <s v="NUEVO"/>
        <s v="VACANTE"/>
        <s v="SIN ASIGNAR" u="1"/>
        <m u="1"/>
        <d v="1899-12-30T00:00:00" u="1"/>
        <e v="#REF!" u="1"/>
      </sharedItems>
    </cacheField>
    <cacheField name="LINEA CORPORATIVA" numFmtId="0">
      <sharedItems containsMixedTypes="1" containsNumber="1" containsInteger="1" minValue="3043488887" maxValue="3226832620"/>
    </cacheField>
    <cacheField name="STATUS LINEA" numFmtId="0">
      <sharedItems/>
    </cacheField>
    <cacheField name="POWER STORE / PARETO" numFmtId="0">
      <sharedItems/>
    </cacheField>
    <cacheField name="FECHA NACIMIENTO" numFmtId="14">
      <sharedItems containsDate="1" containsMixedTypes="1" minDate="1972-01-02T00:00:00" maxDate="2008-01-29T00:00:00"/>
    </cacheField>
    <cacheField name="EDAD AÑOS" numFmtId="0">
      <sharedItems containsMixedTypes="1" containsNumber="1" containsInteger="1" minValue="18" maxValue="54"/>
    </cacheField>
    <cacheField name="GENERO" numFmtId="0">
      <sharedItems/>
    </cacheField>
    <cacheField name="Campo1" numFmtId="0" formula="#NAME?*#NAME?" databaseField="0"/>
  </cacheFields>
  <extLst>
    <ext xmlns:x14="http://schemas.microsoft.com/office/spreadsheetml/2009/9/main" uri="{725AE2AE-9491-48be-B2B4-4EB974FC3084}">
      <x14:pivotCacheDefinition pivotCacheId="3551183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ACTIVO"/>
    <s v="CUPO FIJO"/>
    <s v="SIN NOVEDAD"/>
    <s v="1105788522"/>
    <s v="RODRIGUEZ LOZADA JAIRO IVAN"/>
    <n v="3102717863"/>
    <s v="jairo.rodriguez@visionymarketing.com.co "/>
    <x v="0"/>
    <x v="0"/>
    <x v="0"/>
    <s v="IBAGUE"/>
    <n v="1"/>
  </r>
  <r>
    <s v="ACTIVO"/>
    <s v="CUPO FIJO"/>
    <s v="SIN NOVEDAD"/>
    <s v="1143424569"/>
    <s v="MORENO GONZALEZ MILENA BEATRIZ"/>
    <n v="3102712358"/>
    <s v="milena.moreno@visionymarketing.com.co"/>
    <x v="0"/>
    <x v="1"/>
    <x v="0"/>
    <s v="BARRANQUILLA"/>
    <n v="1"/>
  </r>
  <r>
    <s v="ACTIVO"/>
    <s v="CUPO FIJO"/>
    <s v="SIN NOVEDAD"/>
    <s v="1069719793"/>
    <s v="GOMEZ SANDOVAL JOSE GUSTAVO"/>
    <n v="3145728682"/>
    <s v="jose.gomez@visionymarketing.com.co"/>
    <x v="0"/>
    <x v="1"/>
    <x v="0"/>
    <s v="BOGOTA"/>
    <n v="1"/>
  </r>
  <r>
    <s v="ACTIVO"/>
    <s v="CUPO FIJO"/>
    <s v="SIN NOVEDAD"/>
    <s v="91498870"/>
    <s v="GOMEZ OSCAR"/>
    <n v="3102714070"/>
    <s v="oscar.gomez@visionymarketing.com.co"/>
    <x v="0"/>
    <x v="1"/>
    <x v="0"/>
    <s v="BUCARAMANGA"/>
    <n v="1"/>
  </r>
  <r>
    <s v="ACTIVO"/>
    <s v="CUPO FIJO"/>
    <s v="SIN NOVEDAD"/>
    <s v="32777245"/>
    <s v="MERCADO OJEDA LILIANA PATRICIA"/>
    <n v="3102716419"/>
    <s v="Liliana.mercado@visionymarketing.com.co"/>
    <x v="0"/>
    <x v="2"/>
    <x v="0"/>
    <s v="BARRANQUILLA"/>
    <n v="1"/>
  </r>
  <r>
    <s v="ACTIVO"/>
    <s v="CUPO FIJO"/>
    <s v="SIN NOVEDAD"/>
    <s v="1022408879"/>
    <s v="CLAVIJO VEGA JOHN ALEXANDER"/>
    <n v="3102719008"/>
    <s v="John.clavijo@visionymarketing.com.co "/>
    <x v="0"/>
    <x v="1"/>
    <x v="0"/>
    <s v="BOGOTA"/>
    <n v="1"/>
  </r>
  <r>
    <s v="ACTIVO"/>
    <s v="CUPO FIJO"/>
    <s v="SIN NOVEDAD"/>
    <s v="1039449593"/>
    <s v="ZAPATA AGUDELO KATHERIN"/>
    <n v="3102712649"/>
    <s v="katherin.agudelo@visionymarketing.com.co "/>
    <x v="0"/>
    <x v="2"/>
    <x v="0"/>
    <s v="MEDELLIN"/>
    <n v="1"/>
  </r>
  <r>
    <s v="ACTIVO"/>
    <s v="CUPO FIJO"/>
    <s v="SIN NOVEDAD"/>
    <s v="41960973"/>
    <s v="VEGA HERREÑO DIANA PATRICIA"/>
    <n v="3102626594"/>
    <s v="Diana.vega@visionymarketing.com.co "/>
    <x v="0"/>
    <x v="1"/>
    <x v="0"/>
    <s v="PEREIRA"/>
    <n v="1"/>
  </r>
  <r>
    <s v="ACTIVO"/>
    <s v="IN HOUSE"/>
    <s v="SIN NOVEDAD"/>
    <s v="1000758114"/>
    <s v="ARBOLEDA PARRA MANUELA"/>
    <n v="3102718452"/>
    <s v="manuela.parra@visionymarketing.com.co"/>
    <x v="0"/>
    <x v="1"/>
    <x v="1"/>
    <s v="MEDELLIN"/>
    <n v="0.5"/>
  </r>
  <r>
    <s v="ACTIVO"/>
    <s v="CUPO FIJO"/>
    <s v="SIN NOVEDAD"/>
    <s v="8358331"/>
    <s v="VEGA HIDALGO CAMILO ANDRES"/>
    <n v="3102711709"/>
    <s v="camilo.vega@visionymarketing.com.co"/>
    <x v="1"/>
    <x v="3"/>
    <x v="0"/>
    <s v="MEDELLIN"/>
    <n v="1"/>
  </r>
  <r>
    <s v="ACTIVO"/>
    <s v="CUPO FIJO"/>
    <s v="SIN NOVEDAD"/>
    <s v="1143458873"/>
    <s v="GOMEZ GUTIERREZ HEIDY"/>
    <n v="3102717335"/>
    <s v="heidy.gomez@visionymarketing.com.co"/>
    <x v="1"/>
    <x v="3"/>
    <x v="0"/>
    <s v="BARRANQUILLA"/>
    <n v="1"/>
  </r>
  <r>
    <s v="ACTIVO"/>
    <s v="CUPO FIJO"/>
    <s v="SIN NOVEDAD"/>
    <s v="1143242514"/>
    <s v="MORA ARIAS MAYERLI"/>
    <n v="3102716340"/>
    <s v="mayerli.mora@visionymarketing.com.co"/>
    <x v="1"/>
    <x v="3"/>
    <x v="0"/>
    <s v="BOGOTA"/>
    <n v="1"/>
  </r>
  <r>
    <s v="ACTIVO"/>
    <s v="CUPO FIJO"/>
    <s v="SIN NOVEDAD"/>
    <s v="1020767454"/>
    <s v="BARRERA VEGA DANIEL FERNANDO"/>
    <n v="3112033169"/>
    <s v="daniel.barrera@visionymarketing.com.co"/>
    <x v="1"/>
    <x v="3"/>
    <x v="0"/>
    <s v="BOGOTA"/>
    <n v="1"/>
  </r>
  <r>
    <s v="ACTIVO"/>
    <s v="CUPO FIJO"/>
    <s v="SIN NOVEDAD"/>
    <s v="1035428765"/>
    <s v="CORREA PINEDO JOHN EDISON"/>
    <n v="3102714520"/>
    <s v="john.correa@visionymarketing.com.co"/>
    <x v="1"/>
    <x v="4"/>
    <x v="0"/>
    <s v="MEDELLIN"/>
    <n v="1"/>
  </r>
  <r>
    <s v="ACTIVO"/>
    <s v="CUPO FIJO"/>
    <s v="SIN NOVEDAD"/>
    <s v="1012318351"/>
    <s v="SARMIENTO SEGURA JULY ALEXANDRA"/>
    <n v="3102712380"/>
    <s v="july.sarmiento@visionymarketing.com.co "/>
    <x v="1"/>
    <x v="3"/>
    <x v="0"/>
    <s v="BOGOTA"/>
    <n v="1"/>
  </r>
  <r>
    <s v="ACTIVO"/>
    <s v="CUPO FIJO"/>
    <s v="SIN NOVEDAD"/>
    <s v="1130600732"/>
    <s v="ORDOÑEZ VERGARA LEIDY ANDREA"/>
    <n v="3102701415"/>
    <s v="leidy.ordonez@visionymarketing.com.co"/>
    <x v="0"/>
    <x v="0"/>
    <x v="0"/>
    <s v="CALI"/>
    <n v="1"/>
  </r>
  <r>
    <s v="ACTIVO"/>
    <s v="CUPO FIJO"/>
    <s v="SIN NOVEDAD"/>
    <s v="1019093142"/>
    <s v="OLAYA GUERRERO JUAN DAVID"/>
    <n v="3102712507"/>
    <s v="Juan.olaya@visionymarketing.com.co "/>
    <x v="0"/>
    <x v="1"/>
    <x v="0"/>
    <s v="BOGOTA"/>
    <n v="1"/>
  </r>
  <r>
    <s v="VACANTE"/>
    <s v="IN HOUSE"/>
    <s v="SIN NOVEDAD"/>
    <s v="16"/>
    <s v="VACANTE"/>
    <s v="VACANTE"/>
    <s v="VACANTE"/>
    <x v="0"/>
    <x v="1"/>
    <x v="0"/>
    <s v="BOGOTA"/>
    <n v="1"/>
  </r>
  <r>
    <s v="ACTIVO"/>
    <s v="IN HOUSE"/>
    <s v="SIN NOVEDAD"/>
    <s v="1012354374"/>
    <s v="PINZON PACHON RAFAEL RICARDO"/>
    <n v="3102717024"/>
    <s v="Rafael.pinzon@visionymarketing.com.co "/>
    <x v="0"/>
    <x v="2"/>
    <x v="0"/>
    <s v="BOGOTA"/>
    <n v="1"/>
  </r>
  <r>
    <s v="ACTIVO"/>
    <s v="CUPO FIJO"/>
    <s v="SIN NOVEDAD"/>
    <s v="80738291"/>
    <s v="PARRA BAUTISTA JULIAN CAMILO"/>
    <n v="3102711462"/>
    <s v="julian.parra@visionymarketing.com.co "/>
    <x v="0"/>
    <x v="0"/>
    <x v="0"/>
    <s v="BOGOTA"/>
    <n v="1"/>
  </r>
  <r>
    <s v="ACTIVO"/>
    <s v="CUPO FIJO"/>
    <s v="SIN NOVEDAD"/>
    <s v="1121823147"/>
    <s v="CRUZ BOBADILLA NIDYA MILENA"/>
    <n v="3102716214"/>
    <s v="nidya.cruz@visionymarketing.com.co "/>
    <x v="0"/>
    <x v="2"/>
    <x v="0"/>
    <s v="VILLAVICENCIO"/>
    <n v="1"/>
  </r>
  <r>
    <s v="ACTIVO"/>
    <s v="CUPO FIJO"/>
    <s v="SIN NOVEDAD"/>
    <s v="87068177"/>
    <s v="CHILAMA CRUZ MILLER ARMANDO"/>
    <n v="3102711641"/>
    <s v="miller.chilama@visionymarketing.com.co"/>
    <x v="0"/>
    <x v="2"/>
    <x v="0"/>
    <s v="PASTO"/>
    <n v="1"/>
  </r>
  <r>
    <s v="ACTIVO"/>
    <s v="CUPO FIJO"/>
    <s v="SIN NOVEDAD"/>
    <s v="1038768902"/>
    <s v="ARDILA BERMUDEZ ELIANA MARIA"/>
    <n v="3102716006"/>
    <s v="eliana.ardila@visionymarketing.com.co"/>
    <x v="0"/>
    <x v="0"/>
    <x v="0"/>
    <s v="MEDELLIN"/>
    <n v="1"/>
  </r>
  <r>
    <s v="ACTIVO"/>
    <s v="CUPO FIJO"/>
    <s v="SIN NOVEDAD"/>
    <s v="1012383841"/>
    <s v="GARCIA BUITRAGO KELYN VIVIANA"/>
    <n v="3102710737"/>
    <s v="kelyn.garcia@visionymarketing.com.co "/>
    <x v="2"/>
    <x v="5"/>
    <x v="0"/>
    <s v="BOGOTA"/>
    <n v="1"/>
  </r>
  <r>
    <s v="ACTIVO"/>
    <s v="CUPO FIJO"/>
    <s v="SIN NOVEDAD"/>
    <s v="1143843349"/>
    <s v="ALVAREZ LONDOÑO JOHNNY"/>
    <n v="3102628927"/>
    <s v="johnny.alvarez@visionymarketing.com.co"/>
    <x v="3"/>
    <x v="6"/>
    <x v="0"/>
    <s v="CALI"/>
    <n v="1"/>
  </r>
  <r>
    <s v="ACTIVO"/>
    <s v="CUPO FIJO"/>
    <s v="SIN NOVEDAD"/>
    <s v="1036617104"/>
    <s v="LOPEZ PALACIO PABLO EMILIO"/>
    <n v="3102712400"/>
    <s v="pablo.lopez@visionymarketing.com.co "/>
    <x v="3"/>
    <x v="7"/>
    <x v="0"/>
    <s v="MEDELLIN"/>
    <n v="1"/>
  </r>
  <r>
    <s v="ACTIVO"/>
    <s v="CUPO FIJO"/>
    <s v="SIN NOVEDAD"/>
    <s v="1010210279"/>
    <s v="RAMIREZ ANGULO JUAN SEBASTIAN"/>
    <n v="3102712755"/>
    <s v="juansebastian.ramirez@visionymarketing.com.co  "/>
    <x v="3"/>
    <x v="8"/>
    <x v="0"/>
    <s v="BOGOTA"/>
    <n v="1"/>
  </r>
  <r>
    <s v="ACTIVO"/>
    <s v="CUPO FIJO"/>
    <s v="SIN NOVEDAD"/>
    <s v="80188369"/>
    <s v="GAVIRIA FERRO DIEGO MAURICIO"/>
    <n v="3102639803"/>
    <s v="diego.gaviria@visionymarketing.com.co "/>
    <x v="3"/>
    <x v="7"/>
    <x v="0"/>
    <s v="BOGOTA"/>
    <n v="1"/>
  </r>
  <r>
    <s v="ACTIVO"/>
    <s v="CUPO FIJO"/>
    <s v="SIN NOVEDAD"/>
    <s v="72274366"/>
    <s v="PRENT SAMPAYO ANDERSON GUILLERMO"/>
    <n v="3102718034"/>
    <s v="anderson.prent@visionymarketing.com.co "/>
    <x v="3"/>
    <x v="9"/>
    <x v="0"/>
    <s v="BARRANQUILLA"/>
    <n v="1"/>
  </r>
  <r>
    <s v="ACTIVO"/>
    <s v="CUPO FIJO"/>
    <s v="SIN NOVEDAD"/>
    <s v="1006515144"/>
    <s v="PEÑA GARCIA JOINER ALEXIS"/>
    <n v="3102691909"/>
    <s v="joiner.pena@visionymarketing.com.co"/>
    <x v="3"/>
    <x v="7"/>
    <x v="0"/>
    <s v="BOGOTA"/>
    <n v="1"/>
  </r>
  <r>
    <s v="ACTIVO"/>
    <s v="CUPO FIJO"/>
    <s v="SIN NOVEDAD"/>
    <s v="1024484467"/>
    <s v="ROMERO ARENAS DANNY MAURICIO"/>
    <n v="3102645315"/>
    <s v="danny.romero@visionymarketing.com.co"/>
    <x v="4"/>
    <x v="10"/>
    <x v="0"/>
    <s v="MEDELLIN"/>
    <n v="1"/>
  </r>
  <r>
    <s v="ACTIVO"/>
    <s v="CUPO FIJO"/>
    <s v="SIN NOVEDAD"/>
    <s v="1043137275"/>
    <s v="GRANADOS NAVARRO YEFERSON ORLANDO"/>
    <n v="3102696044"/>
    <s v="yeferson.granados@visionymarketing.com.co"/>
    <x v="4"/>
    <x v="10"/>
    <x v="0"/>
    <s v="BARRANQUILLA"/>
    <n v="1"/>
  </r>
  <r>
    <s v="ACTIVO"/>
    <s v="CUPO FIJO"/>
    <s v="SIN NOVEDAD"/>
    <s v="29685706"/>
    <s v="IRLANDA VEGA YENNIFER"/>
    <n v="3102710518"/>
    <s v="yennifer.irlanda@visionymarketing.com.co"/>
    <x v="0"/>
    <x v="1"/>
    <x v="0"/>
    <s v="CALI"/>
    <n v="1"/>
  </r>
  <r>
    <s v="ACTIVO"/>
    <s v="CUPO FIJO"/>
    <s v="SIN NOVEDAD"/>
    <s v="1079186800"/>
    <s v="PASTUSO ACHICUE CLAUDIA PATRICIA"/>
    <n v="3102692553"/>
    <s v="claudia.pastuso@visionymarketing.com.co"/>
    <x v="4"/>
    <x v="10"/>
    <x v="0"/>
    <s v="BOGOTA"/>
    <n v="1"/>
  </r>
  <r>
    <s v="ACTIVO"/>
    <s v="CUPO FIJO"/>
    <s v="SIN NOVEDAD"/>
    <s v="1024518007"/>
    <s v="MUÑOZ CLAVIJO BRAYAN DAVID"/>
    <n v="3102655043"/>
    <s v="Brayan.munoz@visionymarketing.com.co"/>
    <x v="5"/>
    <x v="11"/>
    <x v="2"/>
    <s v="BOGOTA"/>
    <n v="0.5"/>
  </r>
  <r>
    <s v="ACTIVO"/>
    <s v="CUPO FIJO"/>
    <s v="SIN NOVEDAD"/>
    <s v="1030553121"/>
    <s v="CARREÑO GOMEZ DIANA MARCELA"/>
    <n v="3102716176"/>
    <s v="diana.carreno@visionymarketing.com.co"/>
    <x v="0"/>
    <x v="1"/>
    <x v="0"/>
    <s v="BOGOTA"/>
    <n v="1"/>
  </r>
  <r>
    <s v="ACTIVO"/>
    <s v="CUPO FIJO"/>
    <s v="SIN NOVEDAD"/>
    <s v="1053348209"/>
    <s v="ALFONSO MARTINEZ VICTOR EMMANUEL"/>
    <n v="3102620243"/>
    <s v="victor.alfonso@visionymarketing.com.co"/>
    <x v="0"/>
    <x v="1"/>
    <x v="0"/>
    <s v="BOGOTA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8">
  <r>
    <x v="0"/>
    <x v="0"/>
    <x v="0"/>
    <s v="1024518007"/>
    <s v="MUÑOZ CLAVIJO BRAYAN DAVID"/>
    <x v="0"/>
    <x v="0"/>
    <x v="0"/>
    <s v="NO APLICA"/>
    <x v="0"/>
    <s v="NO APLICA"/>
    <x v="0"/>
    <x v="0"/>
    <s v="NO APLICA"/>
    <x v="0"/>
    <s v="CUNDINAMARCA"/>
    <x v="0"/>
    <s v="NO APLICA"/>
    <s v="NO APLICA"/>
    <x v="0"/>
    <x v="0"/>
    <n v="0.5"/>
    <n v="0.5"/>
    <d v="2025-07-16T00:00:00"/>
    <d v="2025-02-10T00:00:00"/>
    <n v="20"/>
    <s v="12-24 Months"/>
    <s v="NO APLICA"/>
    <s v="NO APLICA"/>
    <x v="0"/>
    <n v="3102655043"/>
    <s v="OK LINEA"/>
    <s v="NO APLICA"/>
    <d v="1991-06-06T00:00:00"/>
    <n v="35"/>
    <s v="MASCULINO"/>
  </r>
  <r>
    <x v="0"/>
    <x v="0"/>
    <x v="0"/>
    <s v="1192750429"/>
    <s v="VILLALBA BASTIDAS MARIA ALEJANDRA"/>
    <x v="1"/>
    <x v="1"/>
    <x v="1"/>
    <s v="C813_00000000000292"/>
    <x v="1"/>
    <s v="CALLE 94 # 15-14 BOGOTA CUNDINAMARCA"/>
    <x v="1"/>
    <x v="1"/>
    <s v="HIPERMERCADO"/>
    <x v="0"/>
    <s v="CUNDINAMARCA"/>
    <x v="0"/>
    <s v="PEÑA GARCIA JOINER ALEXIS"/>
    <s v="PASTUSO ACHICUE CLAUDIA PATRICIA"/>
    <x v="1"/>
    <x v="1"/>
    <n v="1"/>
    <n v="1"/>
    <d v="2025-01-02T00:00:00"/>
    <d v="2023-07-21T00:00:00"/>
    <n v="38"/>
    <s v="+24 Mounths"/>
    <s v="C"/>
    <s v="C"/>
    <x v="0"/>
    <n v="3102702259"/>
    <s v="OK LINEA"/>
    <s v="SI"/>
    <d v="2003-09-15T00:00:00"/>
    <n v="23"/>
    <s v="FEMENINO"/>
  </r>
  <r>
    <x v="0"/>
    <x v="0"/>
    <x v="0"/>
    <s v="80123005"/>
    <s v="VARGAS GARCIA EDWIN"/>
    <x v="1"/>
    <x v="1"/>
    <x v="1"/>
    <s v="C813_00000000000291"/>
    <x v="2"/>
    <s v="CARRERA  68 B # 25B-80 BOGOTA CUNDINAMARCA"/>
    <x v="1"/>
    <x v="1"/>
    <s v="HIPERMERCADO"/>
    <x v="0"/>
    <s v="CUNDINAMARCA"/>
    <x v="0"/>
    <s v="PEÑA GARCIA JOINER ALEXIS"/>
    <s v="PASTUSO ACHICUE CLAUDIA PATRICIA"/>
    <x v="1"/>
    <x v="1"/>
    <n v="1"/>
    <n v="1"/>
    <d v="2025-01-02T00:00:00"/>
    <d v="2024-04-25T00:00:00"/>
    <n v="29"/>
    <s v="+24 Mounths"/>
    <s v="C"/>
    <s v="A"/>
    <x v="0"/>
    <n v="3102653939"/>
    <s v="OK LINEA"/>
    <s v="SI"/>
    <d v="1981-07-21T00:00:00"/>
    <n v="45"/>
    <s v="MASCULINO"/>
  </r>
  <r>
    <x v="0"/>
    <x v="0"/>
    <x v="0"/>
    <s v="1094275462"/>
    <s v="VALENCIA  ANDREA CAROLINA"/>
    <x v="1"/>
    <x v="1"/>
    <x v="1"/>
    <s v="C813_00000000006329"/>
    <x v="3"/>
    <s v="ANILLO VIAL KM 2 5 VIA FLORIDABLANCA GIRON FLORIDABLANCA SANTANDER"/>
    <x v="1"/>
    <x v="2"/>
    <s v="HIPERMERCADO"/>
    <x v="1"/>
    <s v="SANTANDER"/>
    <x v="1"/>
    <s v="PRENT SAMPAYO ANDERSON GUILLERMO"/>
    <s v="GRANADOS NAVARRO YEFERSON ORLANDO"/>
    <x v="2"/>
    <x v="1"/>
    <n v="1"/>
    <n v="1"/>
    <d v="2025-02-03T00:00:00"/>
    <d v="2025-02-03T00:00:00"/>
    <n v="20"/>
    <s v="12-24 Months"/>
    <s v="B"/>
    <s v="B"/>
    <x v="1"/>
    <n v="3102647447"/>
    <s v="OK LINEA"/>
    <s v="SI"/>
    <d v="1995-08-23T00:00:00"/>
    <n v="31"/>
    <s v="FEMENINO"/>
  </r>
  <r>
    <x v="0"/>
    <x v="0"/>
    <x v="0"/>
    <s v="1034277699"/>
    <s v="AGUILAR ANDRES SANTIAGO"/>
    <x v="1"/>
    <x v="1"/>
    <x v="1"/>
    <s v="C813_00000000000281"/>
    <x v="4"/>
    <s v="CRA 69 # 170-15 BOGOTA"/>
    <x v="1"/>
    <x v="2"/>
    <s v="HIPERMERCADO"/>
    <x v="0"/>
    <s v="CUNDINAMARCA"/>
    <x v="0"/>
    <s v="PEÑA GARCIA JOINER ALEXIS"/>
    <s v="PASTUSO ACHICUE CLAUDIA PATRICIA"/>
    <x v="1"/>
    <x v="1"/>
    <n v="1"/>
    <n v="1"/>
    <d v="2026-05-27T00:00:00"/>
    <d v="2026-05-27T00:00:00"/>
    <n v="4"/>
    <s v="3-6 Months"/>
    <s v="A"/>
    <s v="A"/>
    <x v="1"/>
    <s v="SIN ASIGNAR"/>
    <s v="SIN ASIGNAR"/>
    <s v="SI"/>
    <d v="2004-05-08T00:00:00"/>
    <n v="22"/>
    <s v="MASCULINO"/>
  </r>
  <r>
    <x v="0"/>
    <x v="0"/>
    <x v="0"/>
    <s v="1214743978"/>
    <s v="TAMAYO JUAN SEBASTIAN"/>
    <x v="1"/>
    <x v="1"/>
    <x v="1"/>
    <s v="C813_00000000001104"/>
    <x v="5"/>
    <s v="CR 25 A # 1A SUR – 45 TV SUP CC EL TESORO LC 3589"/>
    <x v="1"/>
    <x v="1"/>
    <s v="HIPERMERCADO"/>
    <x v="2"/>
    <s v="ANTIOQUIA"/>
    <x v="2"/>
    <s v="LOPEZ PALACIO PABLO EMILIO"/>
    <s v="ROMERO ARENAS DANNY MAURICIO"/>
    <x v="3"/>
    <x v="1"/>
    <n v="1"/>
    <n v="1"/>
    <d v="2026-06-04T00:00:00"/>
    <d v="2026-06-04T00:00:00"/>
    <n v="4"/>
    <s v="3-6 Months"/>
    <s v="C"/>
    <s v="A"/>
    <x v="1"/>
    <s v="SIN ASIGNAR"/>
    <s v="SIN ASIGNAR"/>
    <s v="SI"/>
    <d v="1998-05-07T00:00:00"/>
    <n v="28"/>
    <s v="MASCULINO"/>
  </r>
  <r>
    <x v="0"/>
    <x v="0"/>
    <x v="0"/>
    <s v="1140848361"/>
    <s v="PELUFFO GELVEZ WILLIAN DAVID"/>
    <x v="1"/>
    <x v="1"/>
    <x v="1"/>
    <s v="C813_00000000005388"/>
    <x v="6"/>
    <s v="CL 98 #51B -91 BARRANQUILLA - ATLANTICO"/>
    <x v="1"/>
    <x v="2"/>
    <s v="HIPERMERCADO"/>
    <x v="3"/>
    <s v="ATLANTICO"/>
    <x v="3"/>
    <s v="PRENT SAMPAYO ANDERSON GUILLERMO"/>
    <s v="GRANADOS NAVARRO YEFERSON ORLANDO"/>
    <x v="4"/>
    <x v="1"/>
    <n v="1"/>
    <n v="1"/>
    <d v="2025-01-02T00:00:00"/>
    <d v="2021-11-08T00:00:00"/>
    <n v="59"/>
    <s v="+24 Mounths"/>
    <s v="A"/>
    <s v="A"/>
    <x v="0"/>
    <n v="3102608430"/>
    <s v="OK LINEA"/>
    <s v="SI"/>
    <d v="1992-02-19T00:00:00"/>
    <n v="34"/>
    <s v="MASCULINO"/>
  </r>
  <r>
    <x v="0"/>
    <x v="0"/>
    <x v="0"/>
    <s v="1107069231"/>
    <s v="PATIÑO MADRID ALEXANDER"/>
    <x v="1"/>
    <x v="1"/>
    <x v="1"/>
    <s v="C813_00000000001058"/>
    <x v="7"/>
    <s v="CL 13 #80 - 187, CALI, VALLE DEL CAUCA"/>
    <x v="1"/>
    <x v="2"/>
    <s v="HIPERMERCADO"/>
    <x v="4"/>
    <s v="VALLE DEL CAUCA"/>
    <x v="4"/>
    <s v="ALVAREZ LONDOÑO JOHNNY"/>
    <s v="ROMERO ARENAS DANNY MAURICIO"/>
    <x v="5"/>
    <x v="1"/>
    <n v="1"/>
    <n v="1"/>
    <d v="2025-10-14T00:00:00"/>
    <d v="2025-10-14T00:00:00"/>
    <n v="12"/>
    <s v="12-24 Months"/>
    <s v="A"/>
    <s v="A"/>
    <x v="1"/>
    <n v="3102698904"/>
    <s v="OK LINEA"/>
    <s v="SI"/>
    <d v="1991-10-27T00:00:00"/>
    <n v="34"/>
    <s v="MASCULINO"/>
  </r>
  <r>
    <x v="0"/>
    <x v="0"/>
    <x v="0"/>
    <s v="1026291876"/>
    <s v="AYALA BRANDON ERNESTO"/>
    <x v="1"/>
    <x v="1"/>
    <x v="1"/>
    <s v="C813_00000000000284"/>
    <x v="8"/>
    <s v="CALLE 45 SUR #51-90 BOGOTA"/>
    <x v="1"/>
    <x v="2"/>
    <s v="HIPERMERCADO"/>
    <x v="0"/>
    <s v="CUNDINAMARCA"/>
    <x v="0"/>
    <s v="PEÑA GARCIA JOINER ALEXIS"/>
    <s v="PASTUSO ACHICUE CLAUDIA PATRICIA"/>
    <x v="6"/>
    <x v="1"/>
    <n v="1"/>
    <n v="1"/>
    <d v="2026-06-11T00:00:00"/>
    <d v="2026-06-11T00:00:00"/>
    <n v="4"/>
    <s v="3-6 Months"/>
    <s v="B"/>
    <s v="B"/>
    <x v="1"/>
    <s v="SIN ASIGNAR"/>
    <s v="SIN ASIGNAR"/>
    <s v="SI"/>
    <d v="1995-06-12T00:00:00"/>
    <n v="31"/>
    <s v="MASCULINO"/>
  </r>
  <r>
    <x v="0"/>
    <x v="0"/>
    <x v="1"/>
    <s v="1000723242"/>
    <s v="GUANA MARTIN KATERINE"/>
    <x v="1"/>
    <x v="1"/>
    <x v="1"/>
    <s v="C813_00000000004678"/>
    <x v="9"/>
    <s v="CARRERA 15 # 123-08 BOGOTA CUNDINAMARCA"/>
    <x v="1"/>
    <x v="1"/>
    <s v="HIPERMERCADO"/>
    <x v="0"/>
    <s v="CUNDINAMARCA"/>
    <x v="0"/>
    <s v="PEÑA GARCIA JOINER ALEXIS"/>
    <s v="PASTUSO ACHICUE CLAUDIA PATRICIA"/>
    <x v="1"/>
    <x v="1"/>
    <n v="1"/>
    <n v="1"/>
    <d v="2026-05-29T00:00:00"/>
    <d v="2026-05-29T00:00:00"/>
    <n v="4"/>
    <s v="3-6 Months"/>
    <s v="C"/>
    <s v="A"/>
    <x v="1"/>
    <s v="SIN ASIGNAR"/>
    <s v="SIN ASIGNAR"/>
    <s v="SI"/>
    <d v="1998-08-27T00:00:00"/>
    <n v="28"/>
    <s v="FEMENINO"/>
  </r>
  <r>
    <x v="0"/>
    <x v="0"/>
    <x v="0"/>
    <s v="1088352109"/>
    <s v="OTERO BETANCUR DAVID ALEJANDRO"/>
    <x v="1"/>
    <x v="1"/>
    <x v="1"/>
    <s v="C813_00000000000297"/>
    <x v="10"/>
    <s v="AV AMERICAS # 46-03 PEREIRA RISARALDA"/>
    <x v="1"/>
    <x v="2"/>
    <s v="HIPERMERCADO"/>
    <x v="5"/>
    <s v="RISARALDA"/>
    <x v="5"/>
    <s v="ALVAREZ LONDOÑO JOHNNY"/>
    <s v="ROMERO ARENAS DANNY MAURICIO"/>
    <x v="7"/>
    <x v="1"/>
    <n v="1"/>
    <n v="1"/>
    <d v="2025-01-02T00:00:00"/>
    <d v="2024-07-11T00:00:00"/>
    <n v="27"/>
    <s v="+24 Mounths"/>
    <s v="A"/>
    <s v="A"/>
    <x v="0"/>
    <n v="3102625061"/>
    <s v="OK LINEA"/>
    <s v="SI"/>
    <d v="1998-11-25T00:00:00"/>
    <n v="27"/>
    <s v="MASCULINO"/>
  </r>
  <r>
    <x v="0"/>
    <x v="0"/>
    <x v="0"/>
    <s v="1152440741"/>
    <s v="CASTAÑO ALZATE JULIÁN DAVID"/>
    <x v="1"/>
    <x v="1"/>
    <x v="1"/>
    <s v="C813_00000000000296"/>
    <x v="11"/>
    <s v="CARRERA 43 A # 1 SUR - 272 MEDELLIN ANTIOQUIA"/>
    <x v="1"/>
    <x v="1"/>
    <s v="HIPERMERCADO"/>
    <x v="2"/>
    <s v="ANTIOQUIA"/>
    <x v="2"/>
    <s v="LOPEZ PALACIO PABLO EMILIO"/>
    <s v="ROMERO ARENAS DANNY MAURICIO"/>
    <x v="3"/>
    <x v="1"/>
    <n v="1"/>
    <n v="1"/>
    <d v="2026-06-26T00:00:00"/>
    <d v="2026-06-26T00:00:00"/>
    <n v="3"/>
    <s v="3-6 Months"/>
    <s v="D"/>
    <s v="B"/>
    <x v="1"/>
    <s v="SIN ASIGNAR"/>
    <s v="SIN ASIGNAR"/>
    <s v="SI"/>
    <d v="1991-10-23T00:00:00"/>
    <n v="34"/>
    <s v="MASCULINO"/>
  </r>
  <r>
    <x v="0"/>
    <x v="0"/>
    <x v="0"/>
    <s v="1049637540"/>
    <s v="LOPEZ RUBIO MILTON ANDRES"/>
    <x v="1"/>
    <x v="1"/>
    <x v="1"/>
    <s v="C813_00000000006343"/>
    <x v="12"/>
    <s v="AV UNIVERSITARIA # 50-21 CENTRO COMERCIAL VIVA LOCAL 209 TUNJA BOYACA"/>
    <x v="1"/>
    <x v="1"/>
    <s v="HIPERMERCADO"/>
    <x v="6"/>
    <s v="BOYACA"/>
    <x v="0"/>
    <s v="PEÑA GARCIA JOINER ALEXIS"/>
    <s v="PASTUSO ACHICUE CLAUDIA PATRICIA"/>
    <x v="8"/>
    <x v="1"/>
    <n v="1"/>
    <n v="1"/>
    <d v="2025-01-02T00:00:00"/>
    <d v="2024-08-26T00:00:00"/>
    <n v="25"/>
    <s v="+24 Mounths"/>
    <s v="C"/>
    <s v="A"/>
    <x v="0"/>
    <n v="3102676129"/>
    <s v="OK LINEA"/>
    <s v="SI"/>
    <d v="1993-01-03T00:00:00"/>
    <n v="33"/>
    <s v="MASCULINO"/>
  </r>
  <r>
    <x v="0"/>
    <x v="0"/>
    <x v="0"/>
    <s v="1127611037"/>
    <s v="HERRERA ZAMBRANO DIEGO EDUARDO"/>
    <x v="1"/>
    <x v="1"/>
    <x v="1"/>
    <s v="C813_00000000004415"/>
    <x v="13"/>
    <s v="KM 25 VÍA CHÍA CAJICÁ COSTADO ORIENTAL LC 2 - 49B CC FONTANAR"/>
    <x v="1"/>
    <x v="1"/>
    <s v="HIPERMERCADO"/>
    <x v="7"/>
    <s v="CUNDINAMARCA"/>
    <x v="0"/>
    <s v="PEÑA GARCIA JOINER ALEXIS"/>
    <s v="PASTUSO ACHICUE CLAUDIA PATRICIA"/>
    <x v="1"/>
    <x v="1"/>
    <n v="1"/>
    <n v="1"/>
    <d v="2025-01-27T00:00:00"/>
    <d v="2025-01-27T00:00:00"/>
    <n v="20"/>
    <s v="12-24 Months"/>
    <s v="C"/>
    <s v="A"/>
    <x v="1"/>
    <n v="3102674547"/>
    <s v="OK LINEA"/>
    <s v="SI"/>
    <d v="2001-07-10T00:00:00"/>
    <n v="25"/>
    <s v="MASCULINO"/>
  </r>
  <r>
    <x v="0"/>
    <x v="0"/>
    <x v="0"/>
    <s v="79845047"/>
    <s v="GARAY BERMUDEZ CARLOS ANDRES "/>
    <x v="1"/>
    <x v="1"/>
    <x v="1"/>
    <s v="C813_00000000000936"/>
    <x v="14"/>
    <s v="AV CRA 27 # 38A-83 SUR LOCALES 13 14 15 16 Y 17 BOGOTA"/>
    <x v="1"/>
    <x v="1"/>
    <s v="HIPERMERCADO"/>
    <x v="0"/>
    <s v="CUNDINAMARCA"/>
    <x v="0"/>
    <s v="PEÑA GARCIA JOINER ALEXIS"/>
    <s v="PASTUSO ACHICUE CLAUDIA PATRICIA"/>
    <x v="6"/>
    <x v="1"/>
    <n v="0"/>
    <n v="0.5"/>
    <d v="2025-02-20T00:00:00"/>
    <d v="2025-02-20T00:00:00"/>
    <n v="19"/>
    <s v="12-24 Months"/>
    <s v="D"/>
    <s v="B"/>
    <x v="1"/>
    <n v="3102632482"/>
    <s v="OK LINEA"/>
    <s v="SI"/>
    <d v="1977-05-12T00:00:00"/>
    <n v="49"/>
    <s v="MASCULINO"/>
  </r>
  <r>
    <x v="0"/>
    <x v="0"/>
    <x v="0"/>
    <s v="79845047"/>
    <s v="GARAY BERMUDEZ CARLOS ANDRES "/>
    <x v="1"/>
    <x v="1"/>
    <x v="1"/>
    <s v="C813_00000000000923"/>
    <x v="15"/>
    <s v="TV 71D # 26 - 94 SUR / CC PLAZA DE LAS AMÉRICAS L1902 - B"/>
    <x v="1"/>
    <x v="1"/>
    <s v="HIPERMERCADO"/>
    <x v="0"/>
    <s v="CUNDINAMARCA"/>
    <x v="0"/>
    <s v="PEÑA GARCIA JOINER ALEXIS"/>
    <s v="PASTUSO ACHICUE CLAUDIA PATRICIA"/>
    <x v="6"/>
    <x v="1"/>
    <n v="1"/>
    <n v="0.5"/>
    <d v="2025-02-20T00:00:00"/>
    <d v="2025-02-20T00:00:00"/>
    <n v="19"/>
    <s v="12-24 Months"/>
    <s v="D"/>
    <s v="B"/>
    <x v="1"/>
    <n v="3102632482"/>
    <s v="OK LINEA"/>
    <s v="SI"/>
    <d v="1977-05-12T00:00:00"/>
    <n v="49"/>
    <s v="MASCULINO"/>
  </r>
  <r>
    <x v="0"/>
    <x v="0"/>
    <x v="0"/>
    <s v="75104779"/>
    <s v="FLOREZ TANGARIFE JHONY ANDRES"/>
    <x v="1"/>
    <x v="1"/>
    <x v="1"/>
    <s v="C813_00000000006278"/>
    <x v="16"/>
    <s v="AV KEVIN ANGEL # 55D-251 MANIZALES CALDAS"/>
    <x v="1"/>
    <x v="1"/>
    <s v="HIPERMERCADO"/>
    <x v="8"/>
    <s v="CALDAS"/>
    <x v="5"/>
    <s v="ALVAREZ LONDOÑO JOHNNY"/>
    <s v="ROMERO ARENAS DANNY MAURICIO"/>
    <x v="7"/>
    <x v="1"/>
    <n v="1"/>
    <n v="1"/>
    <d v="2025-01-02T00:00:00"/>
    <d v="2019-07-09T00:00:00"/>
    <n v="87"/>
    <s v="+24 Mounths"/>
    <s v="C"/>
    <s v="A"/>
    <x v="0"/>
    <n v="3102657128"/>
    <s v="OK LINEA"/>
    <s v="SI"/>
    <d v="1985-02-18T00:00:00"/>
    <n v="41"/>
    <s v="MASCULINO"/>
  </r>
  <r>
    <x v="0"/>
    <x v="0"/>
    <x v="0"/>
    <s v="1024590115"/>
    <s v="COSSIO DUARTE INGRID VANESSA"/>
    <x v="1"/>
    <x v="1"/>
    <x v="1"/>
    <s v="C813_00000000000282"/>
    <x v="17"/>
    <s v="AK 68 # 72-43 BOGOTA"/>
    <x v="1"/>
    <x v="2"/>
    <s v="HIPERMERCADO"/>
    <x v="0"/>
    <s v="CUNDINAMARCA"/>
    <x v="0"/>
    <s v="PEÑA GARCIA JOINER ALEXIS"/>
    <s v="PASTUSO ACHICUE CLAUDIA PATRICIA"/>
    <x v="1"/>
    <x v="1"/>
    <n v="1"/>
    <n v="1"/>
    <d v="2025-01-02T00:00:00"/>
    <d v="2023-11-16T00:00:00"/>
    <n v="35"/>
    <s v="+24 Mounths"/>
    <s v="A"/>
    <s v="A"/>
    <x v="0"/>
    <n v="3102614882"/>
    <s v="OK LINEA"/>
    <s v="SI"/>
    <d v="1998-05-15T00:00:00"/>
    <n v="28"/>
    <s v="FEMENINO"/>
  </r>
  <r>
    <x v="0"/>
    <x v="0"/>
    <x v="0"/>
    <s v="1122511176"/>
    <s v="MELO VALENTINA"/>
    <x v="1"/>
    <x v="1"/>
    <x v="1"/>
    <s v="C813_00000000000285"/>
    <x v="18"/>
    <s v="CRA 31 # 31-95 VILLAVICENCIO META"/>
    <x v="1"/>
    <x v="2"/>
    <s v="HIPERMERCADO"/>
    <x v="9"/>
    <s v="META"/>
    <x v="6"/>
    <s v="GAVIRIA FERRO DIEGO MAURICIO"/>
    <s v="PASTUSO ACHICUE CLAUDIA PATRICIA"/>
    <x v="8"/>
    <x v="1"/>
    <n v="1"/>
    <n v="0.5"/>
    <d v="2026-06-04T00:00:00"/>
    <d v="2026-06-04T00:00:00"/>
    <n v="4"/>
    <s v="3-6 Months"/>
    <s v="A"/>
    <s v="A"/>
    <x v="1"/>
    <s v="SIN ASIGNAR"/>
    <s v="SIN ASIGNAR"/>
    <s v="SI"/>
    <d v="2005-12-13T00:00:00"/>
    <n v="20"/>
    <s v="FEMENINO"/>
  </r>
  <r>
    <x v="0"/>
    <x v="0"/>
    <x v="0"/>
    <s v="1122511176"/>
    <s v="MELO VALENTINA"/>
    <x v="1"/>
    <x v="1"/>
    <x v="1"/>
    <s v="C813_00000000004980"/>
    <x v="19"/>
    <s v="CALLE 7 # 45  185 VILLAVICENCIO META"/>
    <x v="1"/>
    <x v="1"/>
    <s v="HIPERMERCADO"/>
    <x v="9"/>
    <s v="META"/>
    <x v="6"/>
    <s v="GAVIRIA FERRO DIEGO MAURICIO"/>
    <s v="PASTUSO ACHICUE CLAUDIA PATRICIA"/>
    <x v="8"/>
    <x v="1"/>
    <n v="0"/>
    <n v="0.5"/>
    <d v="2026-06-04T00:00:00"/>
    <d v="2026-06-04T00:00:00"/>
    <n v="4"/>
    <s v="3-6 Months"/>
    <s v="C"/>
    <s v="B"/>
    <x v="1"/>
    <s v="SIN ASIGNAR"/>
    <s v="SIN ASIGNAR"/>
    <s v="SI"/>
    <d v="2005-12-13T00:00:00"/>
    <n v="20"/>
    <s v="FEMENINO"/>
  </r>
  <r>
    <x v="0"/>
    <x v="0"/>
    <x v="0"/>
    <s v="1012441145"/>
    <s v="CAMARGO VALENCIA JUAN DIEGO"/>
    <x v="1"/>
    <x v="1"/>
    <x v="1"/>
    <s v="C813_00000000000282"/>
    <x v="17"/>
    <s v="AK 68 # 72-43 BOGOTA"/>
    <x v="1"/>
    <x v="2"/>
    <s v="HIPERMERCADO"/>
    <x v="0"/>
    <s v="CUNDINAMARCA"/>
    <x v="0"/>
    <s v="PEÑA GARCIA JOINER ALEXIS"/>
    <s v="PASTUSO ACHICUE CLAUDIA PATRICIA"/>
    <x v="1"/>
    <x v="1"/>
    <n v="1"/>
    <n v="1"/>
    <d v="2026-04-23T00:00:00"/>
    <d v="2026-04-23T00:00:00"/>
    <n v="5"/>
    <s v="3-6 Months"/>
    <s v="A"/>
    <s v="A"/>
    <x v="1"/>
    <s v="SIN ASIGNAR"/>
    <s v="SIN ASIGNAR"/>
    <s v="SI"/>
    <d v="1996-08-09T00:00:00"/>
    <n v="30"/>
    <s v="MASCULINO"/>
  </r>
  <r>
    <x v="0"/>
    <x v="0"/>
    <x v="0"/>
    <s v="1143826082"/>
    <s v="ARBOLEDA STEVEN CAMILO"/>
    <x v="1"/>
    <x v="1"/>
    <x v="1"/>
    <s v="C813_00000000006896"/>
    <x v="20"/>
    <s v="CARRERA 1 # 66 63"/>
    <x v="1"/>
    <x v="2"/>
    <s v="HIPERMERCADO"/>
    <x v="4"/>
    <s v="VALLE DEL CAUCA"/>
    <x v="4"/>
    <s v="ALVAREZ LONDOÑO JOHNNY"/>
    <s v="ROMERO ARENAS DANNY MAURICIO"/>
    <x v="5"/>
    <x v="1"/>
    <n v="1"/>
    <n v="1"/>
    <d v="2025-10-15T00:00:00"/>
    <d v="2025-10-15T00:00:00"/>
    <n v="12"/>
    <s v="12-24 Months"/>
    <s v="A"/>
    <s v="B"/>
    <x v="1"/>
    <n v="3102658778"/>
    <s v="OK LINEA"/>
    <s v="SI"/>
    <d v="1989-06-28T00:00:00"/>
    <n v="37"/>
    <s v="MASCULINO"/>
  </r>
  <r>
    <x v="0"/>
    <x v="1"/>
    <x v="0"/>
    <s v="1010219957"/>
    <s v="RAMIREZ RODRIGUEZ OSCAR DANIEL"/>
    <x v="1"/>
    <x v="1"/>
    <x v="2"/>
    <s v="C813_00000000000281"/>
    <x v="4"/>
    <s v="CRA 69 # 170-15 BOGOTA"/>
    <x v="1"/>
    <x v="2"/>
    <s v="HIPERMERCADO"/>
    <x v="0"/>
    <s v="CUNDINAMARCA"/>
    <x v="0"/>
    <s v="PEÑA GARCIA JOINER ALEXIS"/>
    <s v="PASTUSO ACHICUE CLAUDIA PATRICIA"/>
    <x v="1"/>
    <x v="1"/>
    <n v="1"/>
    <n v="1"/>
    <d v="2026-04-16T00:00:00"/>
    <d v="2026-04-16T00:00:00"/>
    <n v="6"/>
    <s v="6-9 Months"/>
    <s v="A"/>
    <s v="A"/>
    <x v="1"/>
    <s v="SIN ASIGNAR"/>
    <s v="SIN ASIGNAR"/>
    <s v="SI"/>
    <d v="1995-02-04T00:00:00"/>
    <n v="31"/>
    <s v="MASCULINO"/>
  </r>
  <r>
    <x v="0"/>
    <x v="0"/>
    <x v="0"/>
    <s v="1001271214"/>
    <s v="ZAPATA SANCHEZ JHERALD ESTEBAN"/>
    <x v="1"/>
    <x v="1"/>
    <x v="2"/>
    <s v="C813_00000000000688"/>
    <x v="21"/>
    <s v="CRA 10 # 14-71 PEREIRA RISARALDA"/>
    <x v="2"/>
    <x v="3"/>
    <s v="HIPERMERCADO"/>
    <x v="5"/>
    <s v="RISARALDA"/>
    <x v="5"/>
    <s v="ALVAREZ LONDOÑO JOHNNY"/>
    <s v="ROMERO ARENAS DANNY MAURICIO"/>
    <x v="7"/>
    <x v="2"/>
    <n v="1"/>
    <n v="1"/>
    <d v="2026-05-08T00:00:00"/>
    <d v="2026-05-08T00:00:00"/>
    <n v="5"/>
    <s v="3-6 Months"/>
    <s v="B"/>
    <s v="B"/>
    <x v="1"/>
    <s v="SIN ASIGNAR"/>
    <s v="SIN ASIGNAR"/>
    <s v="SI"/>
    <d v="2001-09-21T00:00:00"/>
    <n v="25"/>
    <s v="MASCULINO"/>
  </r>
  <r>
    <x v="0"/>
    <x v="0"/>
    <x v="0"/>
    <s v="6700505"/>
    <s v="SEQUERA GALLEGOS DIXON ALEJANDRO"/>
    <x v="1"/>
    <x v="1"/>
    <x v="2"/>
    <s v="C813_00000000000015"/>
    <x v="22"/>
    <s v="AVENIDA PASO ANCHO CALLE 13 # 100-00 CALI VALLE DEL CAUCA"/>
    <x v="2"/>
    <x v="3"/>
    <s v="HIPERMERCADO"/>
    <x v="4"/>
    <s v="VALLE DEL CAUCA"/>
    <x v="4"/>
    <s v="ALVAREZ LONDOÑO JOHNNY"/>
    <s v="ROMERO ARENAS DANNY MAURICIO"/>
    <x v="9"/>
    <x v="2"/>
    <n v="1"/>
    <n v="1"/>
    <d v="2026-07-01T00:00:00"/>
    <d v="2026-07-01T00:00:00"/>
    <n v="3"/>
    <s v="3-6 Months"/>
    <s v="B"/>
    <s v="C"/>
    <x v="1"/>
    <s v="SIN ASIGNAR"/>
    <s v="SIN ASIGNAR"/>
    <s v="SI"/>
    <d v="2003-05-09T00:00:00"/>
    <n v="23"/>
    <s v="MASCULINO"/>
  </r>
  <r>
    <x v="0"/>
    <x v="0"/>
    <x v="0"/>
    <s v="80725038"/>
    <s v="GONZALEZ MALDONADO CARLOS ALBERTO"/>
    <x v="1"/>
    <x v="1"/>
    <x v="2"/>
    <s v="C813_00000000000753"/>
    <x v="23"/>
    <s v="CARRERA 7 # 32-35 SOACHA - CUNDINAMARCA"/>
    <x v="3"/>
    <x v="4"/>
    <s v="TRADITIONAL"/>
    <x v="10"/>
    <s v="CUNDINAMARCA"/>
    <x v="0"/>
    <s v="GAVIRIA FERRO DIEGO MAURICIO"/>
    <s v="PASTUSO ACHICUE CLAUDIA PATRICIA"/>
    <x v="10"/>
    <x v="3"/>
    <n v="1"/>
    <n v="0.8"/>
    <d v="2025-01-02T00:00:00"/>
    <d v="2014-06-13T00:00:00"/>
    <n v="148"/>
    <s v="+24 Mounths"/>
    <s v="B"/>
    <s v="B"/>
    <x v="0"/>
    <n v="3102660893"/>
    <s v="OK LINEA"/>
    <s v="NO"/>
    <d v="1982-07-24T00:00:00"/>
    <n v="44"/>
    <s v="MASCULINO"/>
  </r>
  <r>
    <x v="0"/>
    <x v="0"/>
    <x v="0"/>
    <s v="80725038"/>
    <s v="GONZALEZ MALDONADO CARLOS ALBERTO"/>
    <x v="1"/>
    <x v="1"/>
    <x v="2"/>
    <s v="C813_00000000006341"/>
    <x v="24"/>
    <s v="CRA 1 # 38-53 CC VENTURA TERREROS, LOCAL 113"/>
    <x v="3"/>
    <x v="4"/>
    <s v="TRADITIONAL"/>
    <x v="10"/>
    <s v="CUNDINAMARCA"/>
    <x v="0"/>
    <s v="GAVIRIA FERRO DIEGO MAURICIO"/>
    <s v="PASTUSO ACHICUE CLAUDIA PATRICIA"/>
    <x v="10"/>
    <x v="3"/>
    <n v="0"/>
    <n v="0.2"/>
    <d v="2025-01-02T00:00:00"/>
    <d v="2014-06-13T00:00:00"/>
    <n v="148"/>
    <s v="+24 Mounths"/>
    <s v="NO DATA"/>
    <s v="NO DATA"/>
    <x v="0"/>
    <n v="3102660893"/>
    <s v="OK LINEA"/>
    <s v="NO"/>
    <d v="1982-07-24T00:00:00"/>
    <n v="44"/>
    <s v="MASCULINO"/>
  </r>
  <r>
    <x v="0"/>
    <x v="0"/>
    <x v="2"/>
    <s v="1121930285"/>
    <s v="VELASQUEZ ROBAYO YERSON NORBEY"/>
    <x v="1"/>
    <x v="1"/>
    <x v="2"/>
    <s v="C813_00000000000285"/>
    <x v="18"/>
    <s v="CRA 31 # 31-95 VILLAVICENCIO META"/>
    <x v="1"/>
    <x v="2"/>
    <s v="HIPERMERCADO"/>
    <x v="9"/>
    <s v="META"/>
    <x v="6"/>
    <s v="GAVIRIA FERRO DIEGO MAURICIO"/>
    <s v="PASTUSO ACHICUE CLAUDIA PATRICIA"/>
    <x v="8"/>
    <x v="1"/>
    <n v="0"/>
    <n v="0"/>
    <d v="2025-01-02T00:00:00"/>
    <d v="2024-06-27T00:00:00"/>
    <n v="27"/>
    <s v="+24 Mounths"/>
    <s v="A"/>
    <s v="A"/>
    <x v="0"/>
    <n v="3102683969"/>
    <s v="OK LINEA"/>
    <s v="SI"/>
    <d v="1996-01-12T00:00:00"/>
    <n v="30"/>
    <s v="MASCULINO"/>
  </r>
  <r>
    <x v="0"/>
    <x v="0"/>
    <x v="3"/>
    <s v="1006826207"/>
    <s v="ROMERO AYALA BRANDON STEVEN"/>
    <x v="1"/>
    <x v="1"/>
    <x v="2"/>
    <s v="C813_00000000000285"/>
    <x v="18"/>
    <s v="CRA 31 # 31-95 VILLAVICENCIO META"/>
    <x v="1"/>
    <x v="2"/>
    <s v="HIPERMERCADO"/>
    <x v="9"/>
    <s v="META"/>
    <x v="6"/>
    <s v="GAVIRIA FERRO DIEGO MAURICIO"/>
    <s v="PASTUSO ACHICUE CLAUDIA PATRICIA"/>
    <x v="8"/>
    <x v="1"/>
    <n v="1"/>
    <n v="1"/>
    <d v="2026-09-08T00:00:00"/>
    <d v="2026-09-08T00:00:00"/>
    <n v="1"/>
    <s v="-3 Months"/>
    <s v="A"/>
    <s v="A"/>
    <x v="1"/>
    <s v="SIN ASIGNAR"/>
    <s v="SIN ASIGNAR"/>
    <s v="SI"/>
    <d v="2003-07-15T00:00:00"/>
    <n v="23"/>
    <s v="MASCULINO"/>
  </r>
  <r>
    <x v="0"/>
    <x v="0"/>
    <x v="0"/>
    <s v="1098769531"/>
    <s v="VELÁSQUEZ LUNA MARCOS DAVID"/>
    <x v="1"/>
    <x v="1"/>
    <x v="2"/>
    <s v="C813_00000000000115"/>
    <x v="25"/>
    <s v="CARRERA 17 # 45-77 BUCARAMANGA SANTANDER"/>
    <x v="2"/>
    <x v="3"/>
    <s v="HIPERMERCADO"/>
    <x v="1"/>
    <s v="SANTANDER"/>
    <x v="1"/>
    <s v="LOPEZ PALACIO PABLO EMILIO"/>
    <s v="GRANADOS NAVARRO YEFERSON ORLANDO"/>
    <x v="2"/>
    <x v="2"/>
    <n v="1"/>
    <n v="1"/>
    <d v="2025-10-09T00:00:00"/>
    <d v="2025-10-09T00:00:00"/>
    <n v="12"/>
    <s v="12-24 Months"/>
    <s v="A"/>
    <s v="A"/>
    <x v="1"/>
    <n v="3102634703"/>
    <s v="OK LINEA"/>
    <s v="SI"/>
    <d v="1994-12-28T00:00:00"/>
    <n v="31"/>
    <s v="MASCULINO"/>
  </r>
  <r>
    <x v="0"/>
    <x v="0"/>
    <x v="0"/>
    <s v="1031806931"/>
    <s v="VELASCO PEÑA LAURA VALENTINA"/>
    <x v="1"/>
    <x v="1"/>
    <x v="2"/>
    <s v="C813_00000000000281"/>
    <x v="4"/>
    <s v="CRA 69 # 170-15 BOGOTA"/>
    <x v="1"/>
    <x v="2"/>
    <s v="HIPERMERCADO"/>
    <x v="0"/>
    <s v="CUNDINAMARCA"/>
    <x v="0"/>
    <s v="PEÑA GARCIA JOINER ALEXIS"/>
    <s v="PASTUSO ACHICUE CLAUDIA PATRICIA"/>
    <x v="1"/>
    <x v="1"/>
    <n v="1"/>
    <n v="1"/>
    <d v="2025-10-02T00:00:00"/>
    <d v="2025-10-02T00:00:00"/>
    <n v="12"/>
    <s v="12-24 Months"/>
    <s v="A"/>
    <s v="A"/>
    <x v="1"/>
    <s v="SIN ASIGNAR"/>
    <s v="SIN ASIGNAR"/>
    <s v="SI"/>
    <d v="2006-05-08T00:00:00"/>
    <n v="20"/>
    <s v="FEMENINO"/>
  </r>
  <r>
    <x v="0"/>
    <x v="0"/>
    <x v="4"/>
    <s v="1092528154"/>
    <s v="ECHEVERRIA GARCIA LIZZBETH VALENTINA"/>
    <x v="1"/>
    <x v="1"/>
    <x v="2"/>
    <s v="C813_00000000000346"/>
    <x v="26"/>
    <s v="AV 9A # 20N-55 LT2 (AVN LIBERTADORES CANAL BOGOTA) CUCUTA NORTE DE SANTANDER"/>
    <x v="4"/>
    <x v="5"/>
    <s v="HIPERMERCADO"/>
    <x v="11"/>
    <s v="NORTE DE SANTANDER"/>
    <x v="1"/>
    <s v="PRENT SAMPAYO ANDERSON GUILLERMO"/>
    <s v="GRANADOS NAVARRO YEFERSON ORLANDO"/>
    <x v="2"/>
    <x v="3"/>
    <n v="1"/>
    <n v="0.5"/>
    <d v="2026-08-01T00:00:00"/>
    <d v="2026-08-01T00:00:00"/>
    <n v="2"/>
    <s v="-3 Months"/>
    <s v="B"/>
    <s v="D"/>
    <x v="1"/>
    <s v="SIN ASIGNAR"/>
    <s v="SIN ASIGNAR"/>
    <s v="NO"/>
    <d v="2005-10-15T00:00:00"/>
    <n v="21"/>
    <s v="FEMENINO"/>
  </r>
  <r>
    <x v="0"/>
    <x v="0"/>
    <x v="4"/>
    <s v="1092528154"/>
    <s v="ECHEVERRIA GARCIA LIZZBETH VALENTINA"/>
    <x v="1"/>
    <x v="1"/>
    <x v="2"/>
    <s v="C813_00000000000736"/>
    <x v="27"/>
    <s v="CALLE 10 # 2E-90 CC VENTURA PLAZA CUCUTA NORTE DE SANTANDER"/>
    <x v="4"/>
    <x v="5"/>
    <s v="HIPERMERCADO"/>
    <x v="11"/>
    <s v="NORTE DE SANTANDER"/>
    <x v="1"/>
    <s v="PRENT SAMPAYO ANDERSON GUILLERMO"/>
    <s v="GRANADOS NAVARRO YEFERSON ORLANDO"/>
    <x v="2"/>
    <x v="3"/>
    <n v="0"/>
    <n v="0.5"/>
    <d v="2026-08-01T00:00:00"/>
    <d v="2026-08-01T00:00:00"/>
    <n v="2"/>
    <s v="-3 Months"/>
    <s v="B"/>
    <s v="D"/>
    <x v="1"/>
    <s v="SIN ASIGNAR"/>
    <s v="SIN ASIGNAR"/>
    <s v="NO"/>
    <d v="2005-10-15T00:00:00"/>
    <n v="21"/>
    <s v="FEMENINO"/>
  </r>
  <r>
    <x v="0"/>
    <x v="0"/>
    <x v="0"/>
    <s v="1093592437"/>
    <s v="VARELA SAMUDIO MARIAN DE LOS ANGELES"/>
    <x v="1"/>
    <x v="1"/>
    <x v="2"/>
    <s v="C813_00000000000710"/>
    <x v="28"/>
    <s v="AVENIDA DEMETRIO MENDOZA  DIAGONAL SANTANDER, CUCUTA, NORTE DE SANTANDER"/>
    <x v="2"/>
    <x v="3"/>
    <s v="HIPERMERCADO"/>
    <x v="11"/>
    <s v="NORTE DE SANTANDER"/>
    <x v="1"/>
    <s v="PRENT SAMPAYO ANDERSON GUILLERMO"/>
    <s v="GRANADOS NAVARRO YEFERSON ORLANDO"/>
    <x v="2"/>
    <x v="2"/>
    <n v="1"/>
    <n v="1"/>
    <d v="2025-10-01T00:00:00"/>
    <d v="2025-10-01T00:00:00"/>
    <n v="12"/>
    <s v="12-24 Months"/>
    <s v="B"/>
    <s v="B"/>
    <x v="1"/>
    <n v="3102628265"/>
    <s v="OK LINEA"/>
    <s v="SI"/>
    <d v="2005-03-07T00:00:00"/>
    <n v="21"/>
    <s v="FEMENINO"/>
  </r>
  <r>
    <x v="0"/>
    <x v="0"/>
    <x v="0"/>
    <s v="1049265413"/>
    <s v="VANEGAS OSPINO ALEXANDER"/>
    <x v="1"/>
    <x v="1"/>
    <x v="2"/>
    <s v="C813_00000000000131"/>
    <x v="29"/>
    <s v="CALLE 30 # 30-30 BARRANQUILLA ATLANTICO"/>
    <x v="5"/>
    <x v="6"/>
    <s v="HIPERMERCADO"/>
    <x v="3"/>
    <s v="ATLANTICO"/>
    <x v="3"/>
    <s v="PRENT SAMPAYO ANDERSON GUILLERMO"/>
    <s v="GRANADOS NAVARRO YEFERSON ORLANDO"/>
    <x v="11"/>
    <x v="4"/>
    <n v="1"/>
    <n v="1"/>
    <d v="2026-03-12T00:00:00"/>
    <d v="2026-03-12T00:00:00"/>
    <n v="7"/>
    <s v="6-9 Months"/>
    <s v="B"/>
    <s v="B"/>
    <x v="1"/>
    <s v="SIN ASIGNAR"/>
    <s v="SIN ASIGNAR"/>
    <s v="SI"/>
    <d v="1991-09-11T00:00:00"/>
    <n v="35"/>
    <s v="MASCULINO"/>
  </r>
  <r>
    <x v="0"/>
    <x v="0"/>
    <x v="0"/>
    <s v="1024556193"/>
    <s v="PARRAGA YESICA"/>
    <x v="1"/>
    <x v="1"/>
    <x v="2"/>
    <s v="C813_00000000000001"/>
    <x v="30"/>
    <s v="CALLE 38 A SUR # 34D-51 MUELLE FALABELLA BOGOTA"/>
    <x v="6"/>
    <x v="7"/>
    <s v="HIPERMERCADO"/>
    <x v="0"/>
    <s v="CUNDINAMARCA"/>
    <x v="0"/>
    <s v="PEÑA GARCIA JOINER ALEXIS"/>
    <s v="PASTUSO ACHICUE CLAUDIA PATRICIA"/>
    <x v="12"/>
    <x v="5"/>
    <n v="1"/>
    <n v="1"/>
    <d v="2026-05-27T00:00:00"/>
    <d v="2026-05-27T00:00:00"/>
    <n v="4"/>
    <s v="3-6 Months"/>
    <s v="B"/>
    <s v="B"/>
    <x v="1"/>
    <s v="SIN ASIGNAR"/>
    <s v="SIN ASIGNAR"/>
    <s v="SI"/>
    <d v="1994-07-07T00:00:00"/>
    <n v="32"/>
    <s v="FEMENINO"/>
  </r>
  <r>
    <x v="0"/>
    <x v="0"/>
    <x v="0"/>
    <s v="1033795398"/>
    <s v="VALENCIA SALAZAR CARLOS HERNAN "/>
    <x v="1"/>
    <x v="1"/>
    <x v="2"/>
    <s v="C813_00000000000284"/>
    <x v="8"/>
    <s v="CALLE 45 SUR #51-90 BOGOTA"/>
    <x v="1"/>
    <x v="2"/>
    <s v="HIPERMERCADO"/>
    <x v="0"/>
    <s v="CUNDINAMARCA"/>
    <x v="0"/>
    <s v="PEÑA GARCIA JOINER ALEXIS"/>
    <s v="PASTUSO ACHICUE CLAUDIA PATRICIA"/>
    <x v="6"/>
    <x v="1"/>
    <n v="1"/>
    <n v="1"/>
    <d v="2026-01-23T00:00:00"/>
    <d v="2026-01-23T00:00:00"/>
    <n v="8"/>
    <s v="6-9 Months"/>
    <s v="B"/>
    <s v="B"/>
    <x v="1"/>
    <s v="SIN ASIGNAR"/>
    <s v="SIN ASIGNAR"/>
    <s v="SI"/>
    <d v="1997-02-09T00:00:00"/>
    <n v="29"/>
    <s v="MASCULINO"/>
  </r>
  <r>
    <x v="0"/>
    <x v="0"/>
    <x v="0"/>
    <s v="1004751941"/>
    <s v="VALENCIA GALVIZ STIVEN"/>
    <x v="1"/>
    <x v="1"/>
    <x v="2"/>
    <s v="C813_00000000000297"/>
    <x v="10"/>
    <s v="AV AMERICAS # 46-03 PEREIRA RISARALDA"/>
    <x v="1"/>
    <x v="2"/>
    <s v="HIPERMERCADO"/>
    <x v="5"/>
    <s v="RISARALDA"/>
    <x v="5"/>
    <s v="ALVAREZ LONDOÑO JOHNNY"/>
    <s v="ROMERO ARENAS DANNY MAURICIO"/>
    <x v="7"/>
    <x v="1"/>
    <n v="1"/>
    <n v="1"/>
    <d v="2025-01-02T00:00:00"/>
    <d v="2024-04-25T00:00:00"/>
    <n v="29"/>
    <s v="+24 Mounths"/>
    <s v="A"/>
    <s v="A"/>
    <x v="0"/>
    <n v="3102605760"/>
    <s v="OK LINEA"/>
    <s v="SI"/>
    <d v="2000-03-26T00:00:00"/>
    <n v="26"/>
    <s v="MASCULINO"/>
  </r>
  <r>
    <x v="0"/>
    <x v="0"/>
    <x v="0"/>
    <s v="35199443"/>
    <s v="HERNANDEZ HERRERA MARIA VERONICA"/>
    <x v="1"/>
    <x v="1"/>
    <x v="2"/>
    <s v="C813_00000000004415"/>
    <x v="13"/>
    <s v="KM 25 VÍA CHÍA CAJICÁ COSTADO ORIENTAL LC 2 - 49B CC FONTANAR"/>
    <x v="1"/>
    <x v="1"/>
    <s v="HIPERMERCADO"/>
    <x v="7"/>
    <s v="CUNDINAMARCA"/>
    <x v="0"/>
    <s v="PEÑA GARCIA JOINER ALEXIS"/>
    <s v="PASTUSO ACHICUE CLAUDIA PATRICIA"/>
    <x v="1"/>
    <x v="1"/>
    <n v="1"/>
    <n v="1"/>
    <d v="2026-10-17T00:00:00"/>
    <d v="2026-10-17T00:00:00"/>
    <n v="0"/>
    <s v="-3 Months"/>
    <s v="C"/>
    <s v="A"/>
    <x v="1"/>
    <s v="SIN ASIGNAR"/>
    <s v="SIN ASIGNAR"/>
    <s v="SI"/>
    <s v="VACANTE"/>
    <s v="VACANTE"/>
    <s v="VACANTE"/>
  </r>
  <r>
    <x v="0"/>
    <x v="0"/>
    <x v="0"/>
    <s v="1065807339"/>
    <s v="MEDINA RAMOS JOHAN DAVID"/>
    <x v="1"/>
    <x v="1"/>
    <x v="2"/>
    <s v="C813_00000000007030"/>
    <x v="31"/>
    <s v="CALLE 8 #5-46"/>
    <x v="7"/>
    <x v="8"/>
    <s v="TRADITIONAL"/>
    <x v="11"/>
    <s v="NORTE DE SANTANDER"/>
    <x v="1"/>
    <s v="PRENT SAMPAYO ANDERSON GUILLERMO"/>
    <s v="GRANADOS NAVARRO YEFERSON ORLANDO"/>
    <x v="2"/>
    <x v="6"/>
    <n v="1"/>
    <n v="0.25"/>
    <d v="2025-01-02T00:00:00"/>
    <d v="2023-12-28T00:00:00"/>
    <n v="33"/>
    <s v="+24 Mounths"/>
    <s v="NO DATA"/>
    <s v="NO DATA"/>
    <x v="0"/>
    <n v="3102668732"/>
    <s v="OK LINEA"/>
    <s v="NO"/>
    <d v="1994-08-24T00:00:00"/>
    <n v="32"/>
    <s v="MASCULINO"/>
  </r>
  <r>
    <x v="0"/>
    <x v="0"/>
    <x v="0"/>
    <s v="1065807339"/>
    <s v="MEDINA RAMOS JOHAN DAVID"/>
    <x v="1"/>
    <x v="1"/>
    <x v="2"/>
    <s v="C813_00000000002374"/>
    <x v="32"/>
    <s v="CALLE 8 # 5-48 CUCUTA NORTE DE SANTANDER"/>
    <x v="7"/>
    <x v="9"/>
    <s v="TRADITIONAL"/>
    <x v="11"/>
    <s v="NORTE DE SANTANDER"/>
    <x v="1"/>
    <s v="PRENT SAMPAYO ANDERSON GUILLERMO"/>
    <s v="GRANADOS NAVARRO YEFERSON ORLANDO"/>
    <x v="2"/>
    <x v="6"/>
    <n v="0"/>
    <n v="0.75"/>
    <d v="2025-01-02T00:00:00"/>
    <d v="2023-12-28T00:00:00"/>
    <n v="33"/>
    <s v="+24 Mounths"/>
    <s v="C"/>
    <s v="C"/>
    <x v="0"/>
    <n v="3102668732"/>
    <s v="OK LINEA"/>
    <s v="NO"/>
    <d v="1994-08-24T00:00:00"/>
    <n v="32"/>
    <s v="MASCULINO"/>
  </r>
  <r>
    <x v="0"/>
    <x v="0"/>
    <x v="0"/>
    <s v="1006007476"/>
    <s v="HERRERA CAICEDO DIANA KATERINE"/>
    <x v="1"/>
    <x v="1"/>
    <x v="2"/>
    <s v="C813_00000000000020"/>
    <x v="33"/>
    <s v="CRA 5 # 80-60 IBAGUE TOLIMA"/>
    <x v="2"/>
    <x v="3"/>
    <s v="HIPERMERCADO"/>
    <x v="12"/>
    <s v="TOLIMA"/>
    <x v="7"/>
    <s v="PEÑA GARCIA JOINER ALEXIS"/>
    <s v="PASTUSO ACHICUE CLAUDIA PATRICIA"/>
    <x v="13"/>
    <x v="2"/>
    <n v="1"/>
    <n v="1"/>
    <d v="2026-05-19T00:00:00"/>
    <d v="2026-05-19T00:00:00"/>
    <n v="4"/>
    <s v="3-6 Months"/>
    <s v="A"/>
    <s v="A"/>
    <x v="1"/>
    <s v="SIN ASIGNAR"/>
    <s v="SIN ASIGNAR"/>
    <s v="SI"/>
    <d v="1999-02-18T00:00:00"/>
    <n v="27"/>
    <s v="FEMENINO"/>
  </r>
  <r>
    <x v="0"/>
    <x v="0"/>
    <x v="4"/>
    <s v="1109001688"/>
    <s v="GONZALEZ ZULY YARLEIDY"/>
    <x v="1"/>
    <x v="1"/>
    <x v="2"/>
    <s v="C813_00000000000703"/>
    <x v="34"/>
    <s v="CALLE 65 SUR # 78H-54 BOSA BOGOTA"/>
    <x v="2"/>
    <x v="3"/>
    <s v="HIPERMERCADO"/>
    <x v="0"/>
    <s v="CUNDINAMARCA"/>
    <x v="0"/>
    <s v="GAVIRIA FERRO DIEGO MAURICIO"/>
    <s v="PASTUSO ACHICUE CLAUDIA PATRICIA"/>
    <x v="14"/>
    <x v="2"/>
    <n v="1"/>
    <n v="1"/>
    <d v="2026-06-26T00:00:00"/>
    <d v="2026-06-26T00:00:00"/>
    <n v="3"/>
    <s v="3-6 Months"/>
    <s v="B"/>
    <s v="B"/>
    <x v="1"/>
    <s v="SIN ASIGNAR"/>
    <s v="SIN ASIGNAR"/>
    <s v="SI"/>
    <d v="2008-01-28T00:00:00"/>
    <n v="18"/>
    <s v="FEMENINO"/>
  </r>
  <r>
    <x v="0"/>
    <x v="0"/>
    <x v="0"/>
    <s v="1080185860"/>
    <s v="GARCIA DUARTE HUMBERTO SEBASTIAN"/>
    <x v="1"/>
    <x v="1"/>
    <x v="2"/>
    <s v="C813_00000000000112"/>
    <x v="35"/>
    <s v="CALLE 134 # 9-51 BOGOTA CUNDINAMARCA"/>
    <x v="2"/>
    <x v="3"/>
    <s v="HIPERMERCADO"/>
    <x v="0"/>
    <s v="CUNDINAMARCA"/>
    <x v="0"/>
    <s v="GAVIRIA FERRO DIEGO MAURICIO"/>
    <s v="PASTUSO ACHICUE CLAUDIA PATRICIA"/>
    <x v="14"/>
    <x v="2"/>
    <n v="1"/>
    <n v="1"/>
    <d v="2025-04-16T00:00:00"/>
    <d v="2025-04-16T00:00:00"/>
    <n v="18"/>
    <s v="12-24 Months"/>
    <s v="A"/>
    <s v="A"/>
    <x v="0"/>
    <n v="3102705131"/>
    <s v="OK LINEA"/>
    <s v="SI"/>
    <d v="1993-07-06T00:00:00"/>
    <n v="33"/>
    <s v="MASCULINO"/>
  </r>
  <r>
    <x v="0"/>
    <x v="0"/>
    <x v="0"/>
    <s v="1001967605"/>
    <s v="GÓMEZ CARVAJAL JUAN CAMILO"/>
    <x v="1"/>
    <x v="1"/>
    <x v="2"/>
    <s v="C813_00000000001218"/>
    <x v="36"/>
    <s v="DIAG 55# 35-217 CC PTA DEL NORTE LOC 2043 20542055 BELLO ANTIOQUIA 2DA TORRE"/>
    <x v="1"/>
    <x v="10"/>
    <s v="HIPERMERCADO"/>
    <x v="13"/>
    <s v="ANTIOQUIA"/>
    <x v="2"/>
    <s v="LOPEZ PALACIO PABLO EMILIO"/>
    <s v="ROMERO ARENAS DANNY MAURICIO"/>
    <x v="3"/>
    <x v="1"/>
    <n v="1"/>
    <n v="1"/>
    <d v="2026-06-17T00:00:00"/>
    <d v="2026-06-17T00:00:00"/>
    <n v="3"/>
    <s v="3-6 Months"/>
    <s v="D"/>
    <s v="B"/>
    <x v="1"/>
    <s v="SIN ASIGNAR"/>
    <s v="SIN ASIGNAR"/>
    <s v="SI"/>
    <d v="1999-12-28T00:00:00"/>
    <n v="26"/>
    <s v="MASCULINO"/>
  </r>
  <r>
    <x v="0"/>
    <x v="1"/>
    <x v="0"/>
    <s v="1021803970"/>
    <s v="USUGA LUIS ANGEL"/>
    <x v="1"/>
    <x v="1"/>
    <x v="2"/>
    <s v="C813_00000000000012"/>
    <x v="37"/>
    <s v="CARRERA 48 # 32 B SUR 139 MEDELLIN ANTIOQUIA"/>
    <x v="2"/>
    <x v="3"/>
    <s v="HIPERMERCADO"/>
    <x v="2"/>
    <s v="ANTIOQUIA"/>
    <x v="2"/>
    <s v="LOPEZ PALACIO PABLO EMILIO"/>
    <s v="ROMERO ARENAS DANNY MAURICIO"/>
    <x v="3"/>
    <x v="2"/>
    <n v="1"/>
    <n v="1"/>
    <d v="2026-03-05T00:00:00"/>
    <d v="2026-03-05T00:00:00"/>
    <n v="7"/>
    <s v="6-9 Months"/>
    <s v="A"/>
    <s v="A"/>
    <x v="1"/>
    <s v="SIN ASIGNAR"/>
    <s v="SIN ASIGNAR"/>
    <s v="SI"/>
    <d v="2005-01-01T00:00:00"/>
    <n v="21"/>
    <s v="MASCULINO"/>
  </r>
  <r>
    <x v="0"/>
    <x v="0"/>
    <x v="0"/>
    <s v="1085345472"/>
    <s v="URBANO FERNANDEZ EVELIN SOFIA"/>
    <x v="1"/>
    <x v="1"/>
    <x v="2"/>
    <s v="C813_00000000000287"/>
    <x v="38"/>
    <s v="CALLE 22 # 6-28 PASTO NARIÑO"/>
    <x v="8"/>
    <x v="11"/>
    <s v="TRADITIONAL"/>
    <x v="14"/>
    <s v="NARIÑO"/>
    <x v="8"/>
    <s v="ALVAREZ LONDOÑO JOHNNY"/>
    <s v="ROMERO ARENAS DANNY MAURICIO"/>
    <x v="15"/>
    <x v="6"/>
    <n v="1"/>
    <n v="1"/>
    <d v="2025-01-02T00:00:00"/>
    <d v="2022-04-21T00:00:00"/>
    <n v="53"/>
    <s v="+24 Mounths"/>
    <s v="A"/>
    <s v="A"/>
    <x v="0"/>
    <n v="3102612025"/>
    <s v="OK LINEA"/>
    <s v="SI"/>
    <d v="1999-05-25T00:00:00"/>
    <n v="27"/>
    <s v="FEMENINO"/>
  </r>
  <r>
    <x v="0"/>
    <x v="0"/>
    <x v="4"/>
    <s v="1151941629"/>
    <s v="FERNANDEZ SEBASTIAN"/>
    <x v="1"/>
    <x v="1"/>
    <x v="2"/>
    <s v="C813_00000000000110"/>
    <x v="39"/>
    <s v="AVENIDA 3 F NORTE # 52N-46 CALI VALLE DEL CAUCA"/>
    <x v="2"/>
    <x v="3"/>
    <s v="HIPERMERCADO"/>
    <x v="4"/>
    <s v="VALLE DEL CAUCA"/>
    <x v="4"/>
    <s v="ALVAREZ LONDOÑO JOHNNY"/>
    <s v="ROMERO ARENAS DANNY MAURICIO"/>
    <x v="9"/>
    <x v="2"/>
    <n v="1"/>
    <n v="1"/>
    <d v="2026-07-28T00:00:00"/>
    <d v="2026-02-05T00:00:00"/>
    <n v="8"/>
    <s v="6-9 Months"/>
    <s v="B"/>
    <s v="B"/>
    <x v="1"/>
    <s v="SIN ASIGNAR"/>
    <s v="SIN ASIGNAR"/>
    <s v="SI"/>
    <d v="1991-08-13T00:00:00"/>
    <n v="35"/>
    <s v="MASCULINO"/>
  </r>
  <r>
    <x v="0"/>
    <x v="0"/>
    <x v="0"/>
    <s v="1234192558"/>
    <s v="MUÑOZ PULECIO MARLIN YURLEY"/>
    <x v="1"/>
    <x v="1"/>
    <x v="2"/>
    <s v="C813_00000000000109"/>
    <x v="40"/>
    <s v="CALLE 5 # 38D-35 CALI VALLE DEL CAUCA"/>
    <x v="2"/>
    <x v="3"/>
    <s v="HIPERMERCADO"/>
    <x v="4"/>
    <s v="VALLE DEL CAUCA"/>
    <x v="4"/>
    <s v="ALVAREZ LONDOÑO JOHNNY"/>
    <s v="ROMERO ARENAS DANNY MAURICIO"/>
    <x v="9"/>
    <x v="2"/>
    <n v="1"/>
    <n v="1"/>
    <d v="2025-03-05T00:00:00"/>
    <d v="2025-03-05T00:00:00"/>
    <n v="19"/>
    <s v="12-24 Months"/>
    <s v="B"/>
    <s v="B"/>
    <x v="1"/>
    <n v="3102678347"/>
    <s v="OK LINEA"/>
    <s v="SI"/>
    <d v="1998-07-14T00:00:00"/>
    <n v="28"/>
    <s v="FEMENINO"/>
  </r>
  <r>
    <x v="0"/>
    <x v="0"/>
    <x v="4"/>
    <s v="1098748256"/>
    <s v="BURGOS VELANDIA JHEYMY CYRLEY"/>
    <x v="1"/>
    <x v="1"/>
    <x v="2"/>
    <s v="C813_00000000006329"/>
    <x v="3"/>
    <s v="ANILLO VIAL KM 2 5 VIA FLORIDABLANCA GIRON FLORIDABLANCA SANTANDER"/>
    <x v="1"/>
    <x v="2"/>
    <s v="HIPERMERCADO"/>
    <x v="15"/>
    <s v="SANTANDER"/>
    <x v="1"/>
    <s v="PRENT SAMPAYO ANDERSON GUILLERMO"/>
    <s v="GRANADOS NAVARRO YEFERSON ORLANDO"/>
    <x v="2"/>
    <x v="1"/>
    <n v="1"/>
    <n v="1"/>
    <d v="2026-08-04T00:00:00"/>
    <d v="2026-08-04T00:00:00"/>
    <n v="2"/>
    <s v="-3 Months"/>
    <s v="B"/>
    <s v="B"/>
    <x v="1"/>
    <s v="SIN ASIGNAR"/>
    <s v="SIN ASIGNAR"/>
    <s v="SI"/>
    <d v="1993-12-20T00:00:00"/>
    <n v="32"/>
    <s v="FEMENINO"/>
  </r>
  <r>
    <x v="0"/>
    <x v="1"/>
    <x v="0"/>
    <s v="1098611293"/>
    <s v="PATIÑO JUAN CARLOS"/>
    <x v="2"/>
    <x v="1"/>
    <x v="2"/>
    <s v="C813_00000000006329"/>
    <x v="3"/>
    <s v="ANILLO VIAL KM 2 5 VIA FLORIDABLANCA GIRON FLORIDABLANCA SANTANDER"/>
    <x v="1"/>
    <x v="2"/>
    <s v="HIPERMERCADO"/>
    <x v="15"/>
    <s v="SANTANDER"/>
    <x v="1"/>
    <s v="PRENT SAMPAYO ANDERSON GUILLERMO"/>
    <s v="GRANADOS NAVARRO YEFERSON ORLANDO"/>
    <x v="2"/>
    <x v="1"/>
    <n v="1"/>
    <n v="1"/>
    <d v="2026-10-16T00:00:00"/>
    <d v="2026-10-16T00:00:00"/>
    <n v="0"/>
    <s v="-3 Months"/>
    <s v="B"/>
    <s v="B"/>
    <x v="1"/>
    <s v="SIN ASIGNAR"/>
    <s v="SIN ASIGNAR"/>
    <s v="SI"/>
    <s v="VACANTE"/>
    <s v="VACANTE"/>
    <s v="VACANTE"/>
  </r>
  <r>
    <x v="0"/>
    <x v="0"/>
    <x v="0"/>
    <s v="1019034054"/>
    <s v="CAMARGO DAVID FELIPE"/>
    <x v="1"/>
    <x v="1"/>
    <x v="2"/>
    <s v="C813_00000000000333"/>
    <x v="41"/>
    <s v="CRA 7 # 32-25 SOACHA BOGOTA"/>
    <x v="4"/>
    <x v="5"/>
    <s v="HIPERMERCADO"/>
    <x v="10"/>
    <s v="CUNDINAMARCA"/>
    <x v="0"/>
    <s v="GAVIRIA FERRO DIEGO MAURICIO"/>
    <s v="PASTUSO ACHICUE CLAUDIA PATRICIA"/>
    <x v="16"/>
    <x v="3"/>
    <n v="1"/>
    <n v="1"/>
    <d v="2026-02-05T00:00:00"/>
    <d v="2026-02-05T00:00:00"/>
    <n v="8"/>
    <s v="6-9 Months"/>
    <s v="A"/>
    <s v="A"/>
    <x v="1"/>
    <n v="3102709012"/>
    <s v="OK LINEA"/>
    <s v="SI"/>
    <d v="1989-06-10T00:00:00"/>
    <n v="37"/>
    <s v="MASCULINO"/>
  </r>
  <r>
    <x v="0"/>
    <x v="0"/>
    <x v="0"/>
    <s v="80441534"/>
    <s v="CHAVES CALIXTO LUIS MANUEL"/>
    <x v="1"/>
    <x v="1"/>
    <x v="2"/>
    <s v="C813_00000000000282"/>
    <x v="17"/>
    <s v="AK 68 # 72-43 BOGOTA"/>
    <x v="1"/>
    <x v="2"/>
    <s v="HIPERMERCADO"/>
    <x v="0"/>
    <s v="CUNDINAMARCA"/>
    <x v="0"/>
    <s v="PEÑA GARCIA JOINER ALEXIS"/>
    <s v="PASTUSO ACHICUE CLAUDIA PATRICIA"/>
    <x v="1"/>
    <x v="1"/>
    <n v="1"/>
    <n v="1"/>
    <d v="2025-07-30T00:00:00"/>
    <d v="2025-07-30T00:00:00"/>
    <n v="14"/>
    <s v="12-24 Months"/>
    <s v="A"/>
    <s v="A"/>
    <x v="1"/>
    <s v="SIN ASIGNAR"/>
    <s v="SIN ASIGNAR"/>
    <s v="SI"/>
    <d v="1972-12-25T00:00:00"/>
    <n v="53"/>
    <s v="MASCULINO"/>
  </r>
  <r>
    <x v="0"/>
    <x v="0"/>
    <x v="0"/>
    <s v="1098729132"/>
    <s v="TARAZONA JENNIFER DAYANNA"/>
    <x v="1"/>
    <x v="1"/>
    <x v="2"/>
    <s v="C813_00000000003251"/>
    <x v="42"/>
    <s v="CALLE 36 # 18-38 BUCARAMANGA SANTANDER"/>
    <x v="7"/>
    <x v="12"/>
    <s v="TRADITIONAL"/>
    <x v="1"/>
    <s v="SANTANDER"/>
    <x v="1"/>
    <s v="LOPEZ PALACIO PABLO EMILIO"/>
    <s v="GRANADOS NAVARRO YEFERSON ORLANDO"/>
    <x v="2"/>
    <x v="6"/>
    <n v="1"/>
    <n v="0.33333333333333331"/>
    <d v="2025-11-21T00:00:00"/>
    <d v="2025-11-21T00:00:00"/>
    <n v="10"/>
    <s v="9-12 Months"/>
    <s v="D"/>
    <s v="D"/>
    <x v="1"/>
    <n v="3102683341"/>
    <s v="OK LINEA"/>
    <s v="NO"/>
    <d v="1992-10-14T00:00:00"/>
    <n v="34"/>
    <s v="FEMENINO"/>
  </r>
  <r>
    <x v="0"/>
    <x v="0"/>
    <x v="0"/>
    <s v="1098729132"/>
    <s v="TARAZONA JENNIFER DAYANNA"/>
    <x v="1"/>
    <x v="1"/>
    <x v="2"/>
    <s v="C813_00000000003252"/>
    <x v="43"/>
    <s v="CL 41 #15-29, BUCARAMANGA, SANTANDER"/>
    <x v="7"/>
    <x v="12"/>
    <s v="TRADITIONAL"/>
    <x v="1"/>
    <s v="SANTANDER"/>
    <x v="1"/>
    <s v="LOPEZ PALACIO PABLO EMILIO"/>
    <s v="GRANADOS NAVARRO YEFERSON ORLANDO"/>
    <x v="2"/>
    <x v="6"/>
    <n v="0"/>
    <n v="0.33333333333333331"/>
    <d v="2025-11-21T00:00:00"/>
    <d v="2025-11-21T00:00:00"/>
    <n v="10"/>
    <s v="9-12 Months"/>
    <s v="D"/>
    <s v="D"/>
    <x v="1"/>
    <n v="3102683341"/>
    <s v="OK LINEA"/>
    <s v="NO"/>
    <d v="1992-10-14T00:00:00"/>
    <n v="34"/>
    <s v="FEMENINO"/>
  </r>
  <r>
    <x v="0"/>
    <x v="0"/>
    <x v="0"/>
    <s v="1098729132"/>
    <s v="TARAZONA JENNIFER DAYANNA"/>
    <x v="1"/>
    <x v="1"/>
    <x v="2"/>
    <s v="C813_00000000003241"/>
    <x v="44"/>
    <s v="CALLE 33 # 17-32 CENTRO BUCARAMANGA SANTANDER"/>
    <x v="7"/>
    <x v="12"/>
    <s v="TRADITIONAL"/>
    <x v="1"/>
    <s v="SANTANDER"/>
    <x v="1"/>
    <s v="LOPEZ PALACIO PABLO EMILIO"/>
    <s v="GRANADOS NAVARRO YEFERSON ORLANDO"/>
    <x v="2"/>
    <x v="6"/>
    <n v="0"/>
    <n v="0.33333333333333331"/>
    <d v="2025-11-21T00:00:00"/>
    <d v="2025-11-21T00:00:00"/>
    <n v="10"/>
    <s v="9-12 Months"/>
    <s v="D"/>
    <s v="D"/>
    <x v="1"/>
    <n v="3102683341"/>
    <s v="OK LINEA"/>
    <s v="NO"/>
    <d v="1992-10-14T00:00:00"/>
    <n v="34"/>
    <s v="FEMENINO"/>
  </r>
  <r>
    <x v="0"/>
    <x v="0"/>
    <x v="0"/>
    <s v="1128434431"/>
    <s v="MONTOYA MARIA FERNANDA"/>
    <x v="1"/>
    <x v="1"/>
    <x v="2"/>
    <s v="C813_00000000006824"/>
    <x v="45"/>
    <s v="RINCON SANTOS, BELLO, ANTIOQUIA, COLOMBIA"/>
    <x v="2"/>
    <x v="3"/>
    <s v="HIPERMERCADO"/>
    <x v="13"/>
    <s v="ANTIOQUIA"/>
    <x v="2"/>
    <s v="LOPEZ PALACIO PABLO EMILIO"/>
    <s v="ROMERO ARENAS DANNY MAURICIO"/>
    <x v="3"/>
    <x v="2"/>
    <n v="1"/>
    <n v="0.25"/>
    <d v="2026-10-09T00:00:00"/>
    <d v="2026-10-09T00:00:00"/>
    <n v="0"/>
    <s v="-3 Months"/>
    <s v="C"/>
    <s v="C"/>
    <x v="1"/>
    <s v="SIN ASIGNAR"/>
    <s v="SIN ASIGNAR"/>
    <s v="NO"/>
    <s v="VACANTE"/>
    <s v="VACANTE"/>
    <s v="VACANTE"/>
  </r>
  <r>
    <x v="0"/>
    <x v="0"/>
    <x v="0"/>
    <s v="1128434431"/>
    <s v="MONTOYA MARIA FERNANDA"/>
    <x v="1"/>
    <x v="1"/>
    <x v="2"/>
    <s v="C813_00000000000095"/>
    <x v="46"/>
    <s v="CRA 50 A # 41-42"/>
    <x v="2"/>
    <x v="3"/>
    <s v="HIPERMERCADO"/>
    <x v="16"/>
    <s v="ANTIOQUIA"/>
    <x v="2"/>
    <s v="LOPEZ PALACIO PABLO EMILIO"/>
    <s v="ROMERO ARENAS DANNY MAURICIO"/>
    <x v="3"/>
    <x v="2"/>
    <n v="0"/>
    <n v="0.25"/>
    <d v="2026-10-09T00:00:00"/>
    <d v="2026-10-09T00:00:00"/>
    <n v="0"/>
    <s v="-3 Months"/>
    <s v="D"/>
    <s v="D"/>
    <x v="1"/>
    <s v="SIN ASIGNAR"/>
    <s v="SIN ASIGNAR"/>
    <s v="NO"/>
    <s v="VACANTE"/>
    <s v="VACANTE"/>
    <s v="VACANTE"/>
  </r>
  <r>
    <x v="0"/>
    <x v="0"/>
    <x v="0"/>
    <s v="1128434431"/>
    <s v="MONTOYA MARIA FERNANDA"/>
    <x v="1"/>
    <x v="1"/>
    <x v="2"/>
    <s v="C813_00000000000864"/>
    <x v="47"/>
    <s v="CARRERA 25 # 3 - 01 MEDELLIN"/>
    <x v="2"/>
    <x v="3"/>
    <s v="HIPERMERCADO"/>
    <x v="2"/>
    <s v="ANTIOQUIA"/>
    <x v="2"/>
    <s v="LOPEZ PALACIO PABLO EMILIO"/>
    <s v="ROMERO ARENAS DANNY MAURICIO"/>
    <x v="3"/>
    <x v="2"/>
    <n v="0"/>
    <n v="0.25"/>
    <d v="2026-10-09T00:00:00"/>
    <d v="2026-10-09T00:00:00"/>
    <n v="0"/>
    <s v="-3 Months"/>
    <s v="C"/>
    <s v="C"/>
    <x v="1"/>
    <s v="SIN ASIGNAR"/>
    <s v="SIN ASIGNAR"/>
    <s v="NO"/>
    <s v="VACANTE"/>
    <s v="VACANTE"/>
    <s v="VACANTE"/>
  </r>
  <r>
    <x v="0"/>
    <x v="0"/>
    <x v="0"/>
    <s v="1128434431"/>
    <s v="MONTOYA MARIA FERNANDA"/>
    <x v="1"/>
    <x v="1"/>
    <x v="2"/>
    <s v="C813_00000000000697"/>
    <x v="48"/>
    <s v="CL. 74A SUR #44-11, SABANETA, ANTIOQUIA, COLOMBIA "/>
    <x v="2"/>
    <x v="3"/>
    <s v="HIPERMERCADO"/>
    <x v="17"/>
    <s v="ANTIOQUIA"/>
    <x v="2"/>
    <s v="LOPEZ PALACIO PABLO EMILIO"/>
    <s v="ROMERO ARENAS DANNY MAURICIO"/>
    <x v="3"/>
    <x v="2"/>
    <n v="0"/>
    <n v="0.25"/>
    <d v="2026-10-09T00:00:00"/>
    <d v="2026-10-09T00:00:00"/>
    <n v="0"/>
    <s v="-3 Months"/>
    <s v="D"/>
    <s v="D"/>
    <x v="1"/>
    <s v="SIN ASIGNAR"/>
    <s v="SIN ASIGNAR"/>
    <s v="NO"/>
    <s v="VACANTE"/>
    <s v="VACANTE"/>
    <s v="VACANTE"/>
  </r>
  <r>
    <x v="0"/>
    <x v="0"/>
    <x v="0"/>
    <s v="1010147281"/>
    <s v="TABARES GIRALDO SANTIAGO"/>
    <x v="1"/>
    <x v="1"/>
    <x v="2"/>
    <s v="C813_00000000000101"/>
    <x v="49"/>
    <s v="CALLE 48 # 46-115 MEDELLIN ANTIOQUIA"/>
    <x v="2"/>
    <x v="3"/>
    <s v="HIPERMERCADO"/>
    <x v="2"/>
    <s v="ANTIOQUIA"/>
    <x v="2"/>
    <s v="LOPEZ PALACIO PABLO EMILIO"/>
    <s v="ROMERO ARENAS DANNY MAURICIO"/>
    <x v="3"/>
    <x v="2"/>
    <n v="1"/>
    <n v="1"/>
    <d v="2026-03-11T00:00:00"/>
    <d v="2026-03-11T00:00:00"/>
    <n v="7"/>
    <s v="6-9 Months"/>
    <s v="B"/>
    <s v="A"/>
    <x v="1"/>
    <s v="SIN ASIGNAR"/>
    <s v="SIN ASIGNAR"/>
    <s v="SI"/>
    <d v="2000-05-24T00:00:00"/>
    <n v="26"/>
    <s v="MASCULINO"/>
  </r>
  <r>
    <x v="0"/>
    <x v="0"/>
    <x v="0"/>
    <s v="75075710"/>
    <s v="TABARES CUARTAS ANDRES FELIPE"/>
    <x v="1"/>
    <x v="1"/>
    <x v="2"/>
    <s v="C813_00000000006274"/>
    <x v="50"/>
    <s v="CRA 14 # 56D-1 MANIZALES CALDAS"/>
    <x v="6"/>
    <x v="7"/>
    <s v="HIPERMERCADO"/>
    <x v="8"/>
    <s v="CALDAS"/>
    <x v="5"/>
    <s v="ALVAREZ LONDOÑO JOHNNY"/>
    <s v="ROMERO ARENAS DANNY MAURICIO"/>
    <x v="7"/>
    <x v="5"/>
    <n v="1"/>
    <n v="1"/>
    <d v="2025-01-02T00:00:00"/>
    <d v="2021-09-27T00:00:00"/>
    <n v="60"/>
    <s v="+24 Mounths"/>
    <s v="C"/>
    <s v="C"/>
    <x v="0"/>
    <n v="3102694906"/>
    <s v="OK LINEA"/>
    <s v="NO"/>
    <d v="1974-04-29T00:00:00"/>
    <n v="52"/>
    <s v="MASCULINO"/>
  </r>
  <r>
    <x v="0"/>
    <x v="0"/>
    <x v="0"/>
    <s v="1016099708"/>
    <s v="SUAREZ OSORIO BRIAN GERARDO"/>
    <x v="1"/>
    <x v="1"/>
    <x v="2"/>
    <s v="C813_00000000000168"/>
    <x v="51"/>
    <s v="CALLE 23 # 7-150  SANTA MARTA MAGDALENA"/>
    <x v="5"/>
    <x v="6"/>
    <s v="HIPERMERCADO"/>
    <x v="18"/>
    <s v="MAGDALENA"/>
    <x v="3"/>
    <s v="PRENT SAMPAYO ANDERSON GUILLERMO"/>
    <s v="GRANADOS NAVARRO YEFERSON ORLANDO"/>
    <x v="11"/>
    <x v="4"/>
    <n v="1"/>
    <n v="1"/>
    <d v="2025-08-22T00:00:00"/>
    <d v="2025-08-22T00:00:00"/>
    <n v="13"/>
    <s v="12-24 Months"/>
    <s v="B"/>
    <s v="B"/>
    <x v="1"/>
    <n v="3102690992"/>
    <s v="OK LINEA"/>
    <s v="SI"/>
    <d v="1998-01-02T00:00:00"/>
    <n v="28"/>
    <s v="MASCULINO"/>
  </r>
  <r>
    <x v="0"/>
    <x v="0"/>
    <x v="0"/>
    <s v="1012428745"/>
    <s v="ESPITIA FLOREZ HAROL SMITH"/>
    <x v="1"/>
    <x v="1"/>
    <x v="2"/>
    <s v="C813_00000000000333"/>
    <x v="41"/>
    <s v="CRA 7 # 32-25 SOACHA BOGOTA"/>
    <x v="4"/>
    <x v="5"/>
    <s v="HIPERMERCADO"/>
    <x v="10"/>
    <s v="CUNDINAMARCA"/>
    <x v="0"/>
    <s v="GAVIRIA FERRO DIEGO MAURICIO"/>
    <s v="PASTUSO ACHICUE CLAUDIA PATRICIA"/>
    <x v="16"/>
    <x v="3"/>
    <n v="1"/>
    <n v="1"/>
    <d v="2025-10-17T00:00:00"/>
    <d v="2025-10-17T00:00:00"/>
    <n v="11"/>
    <s v="9-12 Months"/>
    <s v="A"/>
    <s v="A"/>
    <x v="1"/>
    <n v="3102615067"/>
    <s v="OK LINEA"/>
    <s v="SI"/>
    <d v="1996-01-01T00:00:00"/>
    <n v="30"/>
    <s v="MASCULINO"/>
  </r>
  <r>
    <x v="0"/>
    <x v="0"/>
    <x v="0"/>
    <s v="5501369"/>
    <s v="RODRÍGUEZ FRANCO JEFERSON MIGUEL"/>
    <x v="2"/>
    <x v="1"/>
    <x v="2"/>
    <s v="C813_00000000000281"/>
    <x v="4"/>
    <s v="CRA 69 # 170-15 BOGOTA"/>
    <x v="1"/>
    <x v="2"/>
    <s v="HIPERMERCADO"/>
    <x v="0"/>
    <s v="CUNDINAMARCA"/>
    <x v="0"/>
    <s v="PEÑA GARCIA JOINER ALEXIS"/>
    <s v="PASTUSO ACHICUE CLAUDIA PATRICIA"/>
    <x v="1"/>
    <x v="1"/>
    <n v="1"/>
    <n v="1"/>
    <d v="2026-05-13T00:00:00"/>
    <d v="2026-05-13T00:00:00"/>
    <n v="5"/>
    <s v="3-6 Months"/>
    <s v="A"/>
    <s v="A"/>
    <x v="1"/>
    <s v="SIN ASIGNAR"/>
    <s v="SIN ASIGNAR"/>
    <s v="SI"/>
    <d v="1992-05-24T00:00:00"/>
    <n v="34"/>
    <s v="MASCULINO"/>
  </r>
  <r>
    <x v="0"/>
    <x v="0"/>
    <x v="0"/>
    <s v="1104011800"/>
    <s v="SOLORZANO SOLORZANO ALVARO JAVIER"/>
    <x v="1"/>
    <x v="1"/>
    <x v="2"/>
    <s v="C813_00000000005978"/>
    <x v="52"/>
    <s v="CALLE 28 # 25B-97 SINCELEJO SUCRE"/>
    <x v="1"/>
    <x v="2"/>
    <s v="HIPERMERCADO"/>
    <x v="19"/>
    <s v="SUCRE"/>
    <x v="3"/>
    <s v="PRENT SAMPAYO ANDERSON GUILLERMO"/>
    <s v="GRANADOS NAVARRO YEFERSON ORLANDO"/>
    <x v="4"/>
    <x v="1"/>
    <n v="1"/>
    <n v="1"/>
    <d v="2025-01-02T00:00:00"/>
    <d v="2022-09-20T00:00:00"/>
    <n v="48"/>
    <s v="+24 Mounths"/>
    <s v="D"/>
    <s v="B"/>
    <x v="0"/>
    <n v="3102693093"/>
    <s v="OK LINEA"/>
    <s v="SI"/>
    <d v="1990-05-28T00:00:00"/>
    <n v="36"/>
    <s v="MASCULINO"/>
  </r>
  <r>
    <x v="0"/>
    <x v="0"/>
    <x v="0"/>
    <s v="1085293171"/>
    <s v="SINISTERRA CAICEDO PEDRO ALONSO"/>
    <x v="1"/>
    <x v="1"/>
    <x v="2"/>
    <s v="C813_00000000000688"/>
    <x v="21"/>
    <s v="CRA 10 # 14-71 PEREIRA RISARALDA"/>
    <x v="2"/>
    <x v="3"/>
    <s v="HIPERMERCADO"/>
    <x v="5"/>
    <s v="RISARALDA"/>
    <x v="5"/>
    <s v="ALVAREZ LONDOÑO JOHNNY"/>
    <s v="ROMERO ARENAS DANNY MAURICIO"/>
    <x v="7"/>
    <x v="2"/>
    <n v="1"/>
    <n v="1"/>
    <d v="2025-01-02T00:00:00"/>
    <d v="2024-05-30T00:00:00"/>
    <n v="28"/>
    <s v="+24 Mounths"/>
    <s v="B"/>
    <s v="B"/>
    <x v="0"/>
    <n v="3102624137"/>
    <s v="OK LINEA"/>
    <s v="SI"/>
    <d v="1991-11-28T00:00:00"/>
    <n v="34"/>
    <s v="MASCULINO"/>
  </r>
  <r>
    <x v="0"/>
    <x v="0"/>
    <x v="0"/>
    <s v="1125848112"/>
    <s v="SILVA SABANA YERALDINE JASBLEIDY "/>
    <x v="1"/>
    <x v="1"/>
    <x v="2"/>
    <s v="C813_00000000000285"/>
    <x v="18"/>
    <s v="CRA 31 # 31-95 VILLAVICENCIO META"/>
    <x v="1"/>
    <x v="2"/>
    <s v="HIPERMERCADO"/>
    <x v="9"/>
    <s v="META"/>
    <x v="6"/>
    <s v="GAVIRIA FERRO DIEGO MAURICIO"/>
    <s v="PASTUSO ACHICUE CLAUDIA PATRICIA"/>
    <x v="8"/>
    <x v="1"/>
    <n v="1"/>
    <n v="1"/>
    <d v="2025-01-24T00:00:00"/>
    <d v="2025-01-24T00:00:00"/>
    <n v="20"/>
    <s v="12-24 Months"/>
    <s v="A"/>
    <s v="A"/>
    <x v="1"/>
    <n v="3102657767"/>
    <s v="OK LINEA"/>
    <s v="SI"/>
    <d v="2004-03-06T00:00:00"/>
    <n v="22"/>
    <s v="FEMENINO"/>
  </r>
  <r>
    <x v="0"/>
    <x v="0"/>
    <x v="0"/>
    <s v="1002461411"/>
    <s v="SIERRA SALAMANCA YESSID FELIPE"/>
    <x v="3"/>
    <x v="1"/>
    <x v="2"/>
    <s v="C813_00000000000729"/>
    <x v="53"/>
    <s v="CALLE 20A #12 - 70 DUITAMA BOYACA"/>
    <x v="4"/>
    <x v="5"/>
    <s v="HIPERMERCADO"/>
    <x v="20"/>
    <s v="BOYACA"/>
    <x v="0"/>
    <s v="GAVIRIA FERRO DIEGO MAURICIO"/>
    <s v="PASTUSO ACHICUE CLAUDIA PATRICIA"/>
    <x v="8"/>
    <x v="3"/>
    <n v="1"/>
    <n v="1"/>
    <d v="2025-01-02T00:00:00"/>
    <d v="2021-08-03T00:00:00"/>
    <n v="62"/>
    <s v="+24 Mounths"/>
    <s v="A"/>
    <s v="B"/>
    <x v="0"/>
    <n v="3102630516"/>
    <s v="OK LINEA"/>
    <s v="SI"/>
    <d v="1998-07-07T00:00:00"/>
    <n v="28"/>
    <s v="MASCULINO"/>
  </r>
  <r>
    <x v="0"/>
    <x v="0"/>
    <x v="0"/>
    <s v="1098828329"/>
    <s v="SERRANO BERRIOS GABRIEL JOSUE"/>
    <x v="1"/>
    <x v="1"/>
    <x v="2"/>
    <s v="C813_00000000004072"/>
    <x v="54"/>
    <s v="CRA 15 #37-55"/>
    <x v="7"/>
    <x v="13"/>
    <s v="TRADITIONAL"/>
    <x v="1"/>
    <s v="SANTANDER"/>
    <x v="1"/>
    <s v="LOPEZ PALACIO PABLO EMILIO"/>
    <s v="GRANADOS NAVARRO YEFERSON ORLANDO"/>
    <x v="2"/>
    <x v="6"/>
    <n v="1"/>
    <n v="0.33333333333333331"/>
    <d v="2025-02-21T00:00:00"/>
    <d v="2025-02-21T00:00:00"/>
    <n v="19"/>
    <s v="12-24 Months"/>
    <s v="D"/>
    <s v="D"/>
    <x v="0"/>
    <n v="3102690727"/>
    <s v="OK LINEA"/>
    <s v="NO"/>
    <d v="2002-04-02T00:00:00"/>
    <n v="24"/>
    <s v="MASCULINO"/>
  </r>
  <r>
    <x v="0"/>
    <x v="0"/>
    <x v="0"/>
    <s v="1098828329"/>
    <s v="SERRANO BERRIOS GABRIEL JOSUE"/>
    <x v="1"/>
    <x v="1"/>
    <x v="2"/>
    <s v="C813_00000000003205"/>
    <x v="55"/>
    <s v="CALLE 36 # 21-50 BUCARAMANGA SANTANDER"/>
    <x v="7"/>
    <x v="13"/>
    <s v="TRADITIONAL"/>
    <x v="1"/>
    <s v="SANTANDER"/>
    <x v="1"/>
    <s v="LOPEZ PALACIO PABLO EMILIO"/>
    <s v="GRANADOS NAVARRO YEFERSON ORLANDO"/>
    <x v="2"/>
    <x v="6"/>
    <n v="0"/>
    <n v="0.33333333333333331"/>
    <d v="2025-02-21T00:00:00"/>
    <d v="2025-02-21T00:00:00"/>
    <n v="19"/>
    <s v="12-24 Months"/>
    <s v="D"/>
    <s v="D"/>
    <x v="0"/>
    <n v="3102690727"/>
    <s v="OK LINEA"/>
    <s v="NO"/>
    <d v="2002-04-02T00:00:00"/>
    <n v="24"/>
    <s v="MASCULINO"/>
  </r>
  <r>
    <x v="0"/>
    <x v="0"/>
    <x v="0"/>
    <s v="1098828329"/>
    <s v="SERRANO BERRIOS GABRIEL JOSUE"/>
    <x v="1"/>
    <x v="1"/>
    <x v="2"/>
    <s v="C813_00000000003203"/>
    <x v="56"/>
    <s v="CALLE 36 # 15-66 BUCARAMANGA SANTANDER"/>
    <x v="7"/>
    <x v="13"/>
    <s v="TRADITIONAL"/>
    <x v="1"/>
    <s v="SANTANDER"/>
    <x v="1"/>
    <s v="LOPEZ PALACIO PABLO EMILIO"/>
    <s v="GRANADOS NAVARRO YEFERSON ORLANDO"/>
    <x v="2"/>
    <x v="6"/>
    <n v="0"/>
    <n v="0.33333333333333331"/>
    <d v="2025-02-21T00:00:00"/>
    <d v="2025-02-21T00:00:00"/>
    <n v="19"/>
    <s v="12-24 Months"/>
    <s v="D"/>
    <s v="D"/>
    <x v="0"/>
    <n v="3102690727"/>
    <s v="OK LINEA"/>
    <s v="NO"/>
    <d v="2002-04-02T00:00:00"/>
    <n v="24"/>
    <s v="MASCULINO"/>
  </r>
  <r>
    <x v="0"/>
    <x v="0"/>
    <x v="0"/>
    <s v="1085265017"/>
    <s v="SANTACRUZ MARTINEZ CARLOS ALBERTO"/>
    <x v="1"/>
    <x v="1"/>
    <x v="2"/>
    <s v="C813_00000000000287"/>
    <x v="38"/>
    <s v="CALLE 22 # 6-28 PASTO NARIÑO"/>
    <x v="8"/>
    <x v="11"/>
    <s v="TRADITIONAL"/>
    <x v="14"/>
    <s v="NARIÑO"/>
    <x v="8"/>
    <s v="ALVAREZ LONDOÑO JOHNNY"/>
    <s v="ROMERO ARENAS DANNY MAURICIO"/>
    <x v="15"/>
    <x v="6"/>
    <n v="1"/>
    <n v="0.5"/>
    <d v="2025-01-02T00:00:00"/>
    <d v="2017-10-12T00:00:00"/>
    <n v="108"/>
    <s v="+24 Mounths"/>
    <s v="A"/>
    <s v="A"/>
    <x v="0"/>
    <n v="3102682296"/>
    <s v="OK LINEA"/>
    <s v="SI"/>
    <d v="1988-04-26T00:00:00"/>
    <n v="38"/>
    <s v="MASCULINO"/>
  </r>
  <r>
    <x v="0"/>
    <x v="0"/>
    <x v="0"/>
    <s v="1085265017"/>
    <s v="SANTACRUZ MARTINEZ CARLOS ALBERTO"/>
    <x v="1"/>
    <x v="1"/>
    <x v="2"/>
    <s v="C813_00000000000288"/>
    <x v="57"/>
    <s v="CALLE 19 # 28 - 89 PASTO NARIÑO"/>
    <x v="8"/>
    <x v="11"/>
    <s v="TRADITIONAL"/>
    <x v="14"/>
    <s v="NARIÑO"/>
    <x v="8"/>
    <s v="ALVAREZ LONDOÑO JOHNNY"/>
    <s v="ROMERO ARENAS DANNY MAURICIO"/>
    <x v="15"/>
    <x v="6"/>
    <n v="0"/>
    <n v="0.5"/>
    <d v="2025-01-02T00:00:00"/>
    <d v="2017-10-12T00:00:00"/>
    <n v="108"/>
    <s v="+24 Mounths"/>
    <s v="B"/>
    <s v="B"/>
    <x v="0"/>
    <n v="3102682296"/>
    <s v="OK LINEA"/>
    <s v="SI"/>
    <d v="1988-04-26T00:00:00"/>
    <n v="38"/>
    <s v="MASCULINO"/>
  </r>
  <r>
    <x v="0"/>
    <x v="0"/>
    <x v="0"/>
    <s v="1130598039"/>
    <s v="MORA MULCUE TATIANA"/>
    <x v="1"/>
    <x v="1"/>
    <x v="2"/>
    <s v="C813_00000000005002"/>
    <x v="58"/>
    <s v="CALLE 36 # 6A - 65  CENTRO COMERCIAL PACIFIC MALL WORLD TRADE CENTER CALI VALLE DEL CAUCA"/>
    <x v="6"/>
    <x v="7"/>
    <s v="HIPERMERCADO"/>
    <x v="4"/>
    <s v="VALLE DEL CAUCA"/>
    <x v="4"/>
    <s v="ALVAREZ LONDOÑO JOHNNY"/>
    <s v="ROMERO ARENAS DANNY MAURICIO"/>
    <x v="5"/>
    <x v="5"/>
    <n v="1"/>
    <n v="1"/>
    <d v="2025-12-12T00:00:00"/>
    <d v="2025-12-12T00:00:00"/>
    <n v="10"/>
    <s v="9-12 Months"/>
    <s v="B"/>
    <s v="C"/>
    <x v="1"/>
    <s v="SIN ASIGNAR"/>
    <s v="SIN ASIGNAR"/>
    <s v="NO"/>
    <d v="1988-03-23T00:00:00"/>
    <n v="38"/>
    <s v="FEMENINO"/>
  </r>
  <r>
    <x v="0"/>
    <x v="0"/>
    <x v="0"/>
    <s v="1144204889"/>
    <s v="SANCHEZ VALERO CRISTIAN CAMILO"/>
    <x v="1"/>
    <x v="1"/>
    <x v="2"/>
    <s v="C813_00000000000517"/>
    <x v="59"/>
    <s v="CRA 1 # 13-71 IBAGUE - TOLIMA"/>
    <x v="8"/>
    <x v="14"/>
    <s v="TRADITIONAL"/>
    <x v="12"/>
    <s v="TOLIMA"/>
    <x v="7"/>
    <s v="PEÑA GARCIA JOINER ALEXIS"/>
    <s v="PASTUSO ACHICUE CLAUDIA PATRICIA"/>
    <x v="13"/>
    <x v="6"/>
    <n v="1"/>
    <n v="0.5"/>
    <d v="2025-01-02T00:00:00"/>
    <d v="2024-02-22T00:00:00"/>
    <n v="31"/>
    <s v="+24 Mounths"/>
    <s v="D"/>
    <s v="D"/>
    <x v="0"/>
    <n v="3102690083"/>
    <s v="OK LINEA"/>
    <s v="NO"/>
    <d v="1997-12-02T00:00:00"/>
    <n v="28"/>
    <s v="MASCULINO"/>
  </r>
  <r>
    <x v="0"/>
    <x v="0"/>
    <x v="0"/>
    <s v="1144204889"/>
    <s v="SANCHEZ VALERO CRISTIAN CAMILO"/>
    <x v="1"/>
    <x v="1"/>
    <x v="2"/>
    <s v="C813_00000000004616"/>
    <x v="60"/>
    <s v="CALLE 20 # 11 S-47"/>
    <x v="8"/>
    <x v="14"/>
    <s v="TRADITIONAL"/>
    <x v="12"/>
    <s v="TOLIMA"/>
    <x v="7"/>
    <s v="PEÑA GARCIA JOINER ALEXIS"/>
    <s v="PASTUSO ACHICUE CLAUDIA PATRICIA"/>
    <x v="13"/>
    <x v="6"/>
    <n v="0"/>
    <n v="0.5"/>
    <d v="2025-01-02T00:00:00"/>
    <d v="2024-02-22T00:00:00"/>
    <n v="31"/>
    <s v="+24 Mounths"/>
    <s v="D"/>
    <s v="D"/>
    <x v="0"/>
    <n v="3102690083"/>
    <s v="OK LINEA"/>
    <s v="NO"/>
    <d v="1997-12-02T00:00:00"/>
    <n v="28"/>
    <s v="MASCULINO"/>
  </r>
  <r>
    <x v="0"/>
    <x v="0"/>
    <x v="0"/>
    <s v="1007363017"/>
    <s v="MONCADA DURAN DUVAN"/>
    <x v="1"/>
    <x v="1"/>
    <x v="2"/>
    <s v="C813_00000000006329"/>
    <x v="3"/>
    <s v="ANILLO VIAL KM 2 5 VIA FLORIDABLANCA GIRON FLORIDABLANCA SANTANDER"/>
    <x v="1"/>
    <x v="2"/>
    <s v="HIPERMERCADO"/>
    <x v="15"/>
    <s v="SANTANDER"/>
    <x v="1"/>
    <s v="PRENT SAMPAYO ANDERSON GUILLERMO"/>
    <s v="GRANADOS NAVARRO YEFERSON ORLANDO"/>
    <x v="2"/>
    <x v="1"/>
    <n v="1"/>
    <n v="1"/>
    <d v="2026-03-03T00:00:00"/>
    <d v="2026-03-03T00:00:00"/>
    <n v="7"/>
    <s v="6-9 Months"/>
    <s v="B"/>
    <s v="B"/>
    <x v="1"/>
    <s v="SIN ASIGNAR"/>
    <s v="SIN ASIGNAR"/>
    <s v="SI"/>
    <d v="2000-04-24T00:00:00"/>
    <n v="26"/>
    <s v="MASCULINO"/>
  </r>
  <r>
    <x v="0"/>
    <x v="0"/>
    <x v="0"/>
    <s v="14476244"/>
    <s v="SANCHEZ PONTE GUSTAVO ADOLFO"/>
    <x v="1"/>
    <x v="1"/>
    <x v="2"/>
    <s v="C813_00000000000250"/>
    <x v="61"/>
    <s v="CALLE 2A #1A - 08, BUENAVENTURA"/>
    <x v="5"/>
    <x v="6"/>
    <s v="HIPERMERCADO"/>
    <x v="21"/>
    <s v="VALLE DEL CAUCA"/>
    <x v="4"/>
    <s v="ALVAREZ LONDOÑO JOHNNY"/>
    <s v="ROMERO ARENAS DANNY MAURICIO"/>
    <x v="9"/>
    <x v="4"/>
    <n v="1"/>
    <n v="0.5"/>
    <d v="2025-08-05T00:00:00"/>
    <d v="2025-08-05T00:00:00"/>
    <n v="14"/>
    <s v="12-24 Months"/>
    <s v="NO DATA"/>
    <s v="NO DATA"/>
    <x v="1"/>
    <n v="3153717405"/>
    <s v="OK LINEA"/>
    <s v="NO"/>
    <d v="1984-07-09T00:00:00"/>
    <n v="42"/>
    <s v="MASCULINO"/>
  </r>
  <r>
    <x v="0"/>
    <x v="0"/>
    <x v="0"/>
    <s v="14476244"/>
    <s v="SANCHEZ PONTE GUSTAVO ADOLFO"/>
    <x v="1"/>
    <x v="1"/>
    <x v="2"/>
    <s v="C813_00000000000881"/>
    <x v="62"/>
    <s v="CRA 46 # 1-25 BUENAVENTURA VALLE DEL CAUCA"/>
    <x v="5"/>
    <x v="6"/>
    <s v="HIPERMERCADO"/>
    <x v="21"/>
    <s v="VALLE DEL CAUCA"/>
    <x v="4"/>
    <s v="ALVAREZ LONDOÑO JOHNNY"/>
    <s v="ROMERO ARENAS DANNY MAURICIO"/>
    <x v="9"/>
    <x v="4"/>
    <n v="0"/>
    <n v="0.5"/>
    <d v="2025-08-05T00:00:00"/>
    <d v="2025-08-05T00:00:00"/>
    <n v="14"/>
    <s v="12-24 Months"/>
    <s v="C"/>
    <s v="C"/>
    <x v="1"/>
    <n v="3153717405"/>
    <s v="OK LINEA"/>
    <s v="SI"/>
    <d v="1984-07-09T00:00:00"/>
    <n v="42"/>
    <s v="MASCULINO"/>
  </r>
  <r>
    <x v="0"/>
    <x v="0"/>
    <x v="1"/>
    <s v="1024523021"/>
    <s v="ALBA ANGULO NANCY YERALDIN"/>
    <x v="1"/>
    <x v="1"/>
    <x v="2"/>
    <s v="C813_00000000000514"/>
    <x v="63"/>
    <s v="CRA 13 # 16-06 BOGOTA"/>
    <x v="9"/>
    <x v="15"/>
    <s v="TRADITIONAL"/>
    <x v="0"/>
    <s v="CUNDINAMARCA"/>
    <x v="0"/>
    <s v="GAVIRIA FERRO DIEGO MAURICIO"/>
    <s v="PASTUSO ACHICUE CLAUDIA PATRICIA"/>
    <x v="12"/>
    <x v="5"/>
    <n v="1"/>
    <n v="0.5"/>
    <d v="2026-07-06T00:00:00"/>
    <d v="2026-07-22T00:00:00"/>
    <n v="2"/>
    <s v="-3 Months"/>
    <s v="C"/>
    <s v="C"/>
    <x v="1"/>
    <s v="SIN ASIGNAR"/>
    <s v="SIN ASIGNAR"/>
    <s v="NO"/>
    <d v="1991-10-25T00:00:00"/>
    <n v="34"/>
    <s v="FEMENINO"/>
  </r>
  <r>
    <x v="0"/>
    <x v="0"/>
    <x v="1"/>
    <s v="1024523021"/>
    <s v="ALBA ANGULO NANCY YERALDIN"/>
    <x v="1"/>
    <x v="1"/>
    <x v="2"/>
    <s v="C813_00000000000516"/>
    <x v="64"/>
    <s v="AUTOPISTA NORTE # 127B BIS-05"/>
    <x v="9"/>
    <x v="15"/>
    <s v="TRADITIONAL"/>
    <x v="0"/>
    <s v="CUNDINAMARCA"/>
    <x v="0"/>
    <s v="GAVIRIA FERRO DIEGO MAURICIO"/>
    <s v="PASTUSO ACHICUE CLAUDIA PATRICIA"/>
    <x v="12"/>
    <x v="5"/>
    <n v="0"/>
    <n v="0.3"/>
    <d v="2026-07-06T00:00:00"/>
    <d v="2026-07-22T00:00:00"/>
    <n v="2"/>
    <s v="-3 Months"/>
    <s v="B"/>
    <s v="B"/>
    <x v="1"/>
    <s v="SIN ASIGNAR"/>
    <s v="SIN ASIGNAR"/>
    <s v="NO"/>
    <d v="1991-10-25T00:00:00"/>
    <n v="34"/>
    <s v="FEMENINO"/>
  </r>
  <r>
    <x v="0"/>
    <x v="0"/>
    <x v="1"/>
    <s v="1024523021"/>
    <s v="ALBA ANGULO NANCY YERALDIN"/>
    <x v="1"/>
    <x v="1"/>
    <x v="2"/>
    <s v="C813_00000000000876"/>
    <x v="65"/>
    <s v="CALLE 17A # 69F-15 BOGOTA"/>
    <x v="9"/>
    <x v="15"/>
    <s v="TRADITIONAL"/>
    <x v="0"/>
    <s v="CUNDINAMARCA"/>
    <x v="0"/>
    <s v="GAVIRIA FERRO DIEGO MAURICIO"/>
    <s v="PASTUSO ACHICUE CLAUDIA PATRICIA"/>
    <x v="12"/>
    <x v="5"/>
    <n v="0"/>
    <n v="0.2"/>
    <d v="2026-07-06T00:00:00"/>
    <d v="2026-07-22T00:00:00"/>
    <n v="2"/>
    <s v="-3 Months"/>
    <s v="C"/>
    <s v="C"/>
    <x v="1"/>
    <s v="SIN ASIGNAR"/>
    <s v="SIN ASIGNAR"/>
    <s v="NO"/>
    <d v="1991-10-25T00:00:00"/>
    <n v="34"/>
    <s v="FEMENINO"/>
  </r>
  <r>
    <x v="0"/>
    <x v="0"/>
    <x v="5"/>
    <s v="1019047327"/>
    <s v="SANCHEZ BALCERO NORMA VICTORIA"/>
    <x v="1"/>
    <x v="1"/>
    <x v="2"/>
    <s v="C813_00000000000514"/>
    <x v="63"/>
    <s v="CRA 13 # 16-06 BOGOTA"/>
    <x v="9"/>
    <x v="15"/>
    <s v="TRADITIONAL"/>
    <x v="0"/>
    <s v="CUNDINAMARCA"/>
    <x v="0"/>
    <s v="GAVIRIA FERRO DIEGO MAURICIO"/>
    <s v="PASTUSO ACHICUE CLAUDIA PATRICIA"/>
    <x v="12"/>
    <x v="5"/>
    <n v="0"/>
    <n v="0"/>
    <d v="2025-10-23T00:00:00"/>
    <d v="2025-10-23T00:00:00"/>
    <n v="11"/>
    <s v="9-12 Months"/>
    <s v="C"/>
    <s v="C"/>
    <x v="1"/>
    <n v="3102628343"/>
    <s v="OK LINEA"/>
    <s v="NO"/>
    <d v="1990-06-14T00:00:00"/>
    <n v="36"/>
    <s v="FEMENINO"/>
  </r>
  <r>
    <x v="0"/>
    <x v="0"/>
    <x v="5"/>
    <s v="1019047327"/>
    <s v="SANCHEZ BALCERO NORMA VICTORIA"/>
    <x v="1"/>
    <x v="1"/>
    <x v="2"/>
    <s v="C813_00000000000516"/>
    <x v="64"/>
    <s v="AUTOPISTA NORTE # 127B BIS-05"/>
    <x v="9"/>
    <x v="15"/>
    <s v="TRADITIONAL"/>
    <x v="0"/>
    <s v="CUNDINAMARCA"/>
    <x v="0"/>
    <s v="GAVIRIA FERRO DIEGO MAURICIO"/>
    <s v="PASTUSO ACHICUE CLAUDIA PATRICIA"/>
    <x v="12"/>
    <x v="5"/>
    <n v="0"/>
    <n v="0"/>
    <d v="2025-10-23T00:00:00"/>
    <d v="2025-10-23T00:00:00"/>
    <n v="11"/>
    <s v="9-12 Months"/>
    <s v="B"/>
    <s v="B"/>
    <x v="1"/>
    <n v="3102628343"/>
    <s v="OK LINEA"/>
    <s v="NO"/>
    <d v="1990-06-14T00:00:00"/>
    <n v="36"/>
    <s v="FEMENINO"/>
  </r>
  <r>
    <x v="0"/>
    <x v="0"/>
    <x v="5"/>
    <s v="1019047327"/>
    <s v="SANCHEZ BALCERO NORMA VICTORIA"/>
    <x v="1"/>
    <x v="1"/>
    <x v="2"/>
    <s v="C813_00000000000876"/>
    <x v="65"/>
    <s v="CALLE 17A # 69F-15 BOGOTA"/>
    <x v="9"/>
    <x v="15"/>
    <s v="TRADITIONAL"/>
    <x v="0"/>
    <s v="CUNDINAMARCA"/>
    <x v="0"/>
    <s v="GAVIRIA FERRO DIEGO MAURICIO"/>
    <s v="PASTUSO ACHICUE CLAUDIA PATRICIA"/>
    <x v="12"/>
    <x v="5"/>
    <n v="0"/>
    <n v="0"/>
    <d v="2025-10-23T00:00:00"/>
    <d v="2025-10-23T00:00:00"/>
    <n v="11"/>
    <s v="9-12 Months"/>
    <s v="C"/>
    <s v="C"/>
    <x v="1"/>
    <n v="3102628343"/>
    <s v="OK LINEA"/>
    <s v="NO"/>
    <d v="1990-06-14T00:00:00"/>
    <n v="36"/>
    <s v="FEMENINO"/>
  </r>
  <r>
    <x v="0"/>
    <x v="0"/>
    <x v="4"/>
    <s v="1073533396"/>
    <s v="LONDOÑO YEISON"/>
    <x v="1"/>
    <x v="1"/>
    <x v="2"/>
    <s v="C813_00000000000339"/>
    <x v="66"/>
    <s v="CALLE 8 # 21-156 ZIPAQUIRA CUNDINAMARCA"/>
    <x v="4"/>
    <x v="5"/>
    <s v="HIPERMERCADO"/>
    <x v="22"/>
    <s v="CUNDINAMARCA"/>
    <x v="0"/>
    <s v="GAVIRIA FERRO DIEGO MAURICIO"/>
    <s v="PASTUSO ACHICUE CLAUDIA PATRICIA"/>
    <x v="16"/>
    <x v="3"/>
    <n v="1"/>
    <n v="1"/>
    <d v="2026-08-01T00:00:00"/>
    <d v="2026-08-01T00:00:00"/>
    <n v="2"/>
    <s v="-3 Months"/>
    <s v="B"/>
    <s v="D"/>
    <x v="1"/>
    <s v="SIN ASIGNAR"/>
    <s v="SIN ASIGNAR"/>
    <s v="NO"/>
    <d v="1992-07-22T00:00:00"/>
    <n v="34"/>
    <s v="MASCULINO"/>
  </r>
  <r>
    <x v="0"/>
    <x v="0"/>
    <x v="0"/>
    <s v="1014179924"/>
    <s v="OSPITIA MORENO YEISON ARLEY"/>
    <x v="1"/>
    <x v="1"/>
    <x v="2"/>
    <s v="C813_00000000000107"/>
    <x v="67"/>
    <s v="CARRERA 72 #146A - 25 BOGOTA CUNDINAMARCA"/>
    <x v="2"/>
    <x v="3"/>
    <s v="HIPERMERCADO"/>
    <x v="0"/>
    <s v="CUNDINAMARCA"/>
    <x v="0"/>
    <s v="GAVIRIA FERRO DIEGO MAURICIO"/>
    <s v="PASTUSO ACHICUE CLAUDIA PATRICIA"/>
    <x v="14"/>
    <x v="2"/>
    <n v="1"/>
    <n v="1"/>
    <d v="2026-05-28T00:00:00"/>
    <d v="2026-05-28T00:00:00"/>
    <n v="4"/>
    <s v="3-6 Months"/>
    <s v="A"/>
    <s v="A"/>
    <x v="1"/>
    <s v="SIN ASIGNAR"/>
    <s v="SIN ASIGNAR"/>
    <s v="SI"/>
    <d v="1986-08-17T00:00:00"/>
    <n v="40"/>
    <s v="MASCULINO"/>
  </r>
  <r>
    <x v="0"/>
    <x v="0"/>
    <x v="0"/>
    <s v="1062957937"/>
    <s v="PORTILLO JESUS DAVID"/>
    <x v="1"/>
    <x v="1"/>
    <x v="2"/>
    <s v="C813_00000000005387"/>
    <x v="68"/>
    <s v="CARRERA 7 # 30 B -139 SOACHA  - CUNDINAMARCA"/>
    <x v="2"/>
    <x v="3"/>
    <s v="HIPERMERCADO"/>
    <x v="10"/>
    <s v="CUNDINAMARCA"/>
    <x v="0"/>
    <s v="GAVIRIA FERRO DIEGO MAURICIO"/>
    <s v="PASTUSO ACHICUE CLAUDIA PATRICIA"/>
    <x v="14"/>
    <x v="2"/>
    <n v="1"/>
    <n v="1"/>
    <d v="2026-05-12T00:00:00"/>
    <d v="2026-05-12T00:00:00"/>
    <n v="5"/>
    <s v="3-6 Months"/>
    <s v="B"/>
    <s v="B"/>
    <x v="1"/>
    <s v="SIN ASIGNAR"/>
    <s v="SIN ASIGNAR"/>
    <s v="SI"/>
    <d v="2002-11-23T00:00:00"/>
    <n v="23"/>
    <s v="MASCULINO"/>
  </r>
  <r>
    <x v="0"/>
    <x v="0"/>
    <x v="0"/>
    <s v="1117539387"/>
    <s v="JARAMILLO GALVIS DANIELA"/>
    <x v="1"/>
    <x v="1"/>
    <x v="2"/>
    <s v="EN CREACION_60"/>
    <x v="69"/>
    <s v="CARRERA 11# 17-37 "/>
    <x v="9"/>
    <x v="15"/>
    <s v="TRADITIONAL"/>
    <x v="23"/>
    <s v="CAQUETA"/>
    <x v="7"/>
    <s v="PEÑA GARCIA JOINER ALEXIS"/>
    <s v="PASTUSO ACHICUE CLAUDIA PATRICIA"/>
    <x v="13"/>
    <x v="5"/>
    <n v="1"/>
    <n v="1"/>
    <d v="2026-08-15T00:00:00"/>
    <d v="2026-08-15T00:00:00"/>
    <n v="2"/>
    <s v="-3 Months"/>
    <s v="NO DATA"/>
    <s v="NO DATA"/>
    <x v="1"/>
    <s v="SIN ASIGNAR"/>
    <s v="SIN ASIGNAR"/>
    <s v="NO"/>
    <d v="1995-02-20T00:00:00"/>
    <n v="31"/>
    <s v="FEMENINO"/>
  </r>
  <r>
    <x v="0"/>
    <x v="0"/>
    <x v="0"/>
    <s v="1214469307"/>
    <s v="NAVA VIDIANNY"/>
    <x v="1"/>
    <x v="1"/>
    <x v="2"/>
    <s v="C813_00000000000002"/>
    <x v="70"/>
    <s v="CALLE 53 #  25 - 30 BOGOTA CUNDINAMARCA"/>
    <x v="6"/>
    <x v="7"/>
    <s v="HIPERMERCADO"/>
    <x v="0"/>
    <s v="CUNDINAMARCA"/>
    <x v="0"/>
    <s v="PEÑA GARCIA JOINER ALEXIS"/>
    <s v="PASTUSO ACHICUE CLAUDIA PATRICIA"/>
    <x v="12"/>
    <x v="5"/>
    <n v="1"/>
    <n v="0.5"/>
    <d v="2025-10-20T00:00:00"/>
    <d v="2025-10-20T00:00:00"/>
    <n v="11"/>
    <s v="9-12 Months"/>
    <s v="C"/>
    <s v="C"/>
    <x v="1"/>
    <n v="3102683817"/>
    <s v="OK LINEA"/>
    <s v="NO"/>
    <d v="2003-12-29T00:00:00"/>
    <n v="22"/>
    <s v="FEMENINO"/>
  </r>
  <r>
    <x v="0"/>
    <x v="0"/>
    <x v="0"/>
    <s v="8486505"/>
    <s v="ROVIRA COLLANTE CARLOS EMIGDIO"/>
    <x v="1"/>
    <x v="1"/>
    <x v="2"/>
    <s v="C813_00000000006857"/>
    <x v="71"/>
    <s v="CALLE 30 # 6B 25"/>
    <x v="1"/>
    <x v="1"/>
    <s v="HIPERMERCADO"/>
    <x v="3"/>
    <s v="ATLANTICO"/>
    <x v="3"/>
    <s v="PRENT SAMPAYO ANDERSON GUILLERMO"/>
    <s v="GRANADOS NAVARRO YEFERSON ORLANDO"/>
    <x v="4"/>
    <x v="1"/>
    <n v="1"/>
    <n v="1"/>
    <d v="2026-04-01T00:00:00"/>
    <d v="2026-04-01T00:00:00"/>
    <n v="6"/>
    <s v="6-9 Months"/>
    <s v="D"/>
    <s v="B"/>
    <x v="1"/>
    <s v="SIN ASIGNAR"/>
    <s v="SIN ASIGNAR"/>
    <s v="SI"/>
    <d v="1983-05-24T00:00:00"/>
    <n v="43"/>
    <s v="MASCULINO"/>
  </r>
  <r>
    <x v="0"/>
    <x v="0"/>
    <x v="0"/>
    <s v="1010212200"/>
    <s v="ROSERO RAMOS BORIS SANTIAGO"/>
    <x v="1"/>
    <x v="1"/>
    <x v="2"/>
    <s v="ALCA_0001"/>
    <x v="72"/>
    <s v="CALLE 14# 13-58"/>
    <x v="7"/>
    <x v="12"/>
    <s v="TRADITIONAL"/>
    <x v="0"/>
    <s v="CUNDINAMARCA"/>
    <x v="0"/>
    <s v="PEÑA GARCIA JOINER ALEXIS"/>
    <s v="PASTUSO ACHICUE CLAUDIA PATRICIA"/>
    <x v="12"/>
    <x v="6"/>
    <n v="0"/>
    <n v="0.5"/>
    <d v="2025-04-07T00:00:00"/>
    <d v="2025-04-07T00:00:00"/>
    <n v="18"/>
    <s v="12-24 Months"/>
    <s v="NO DATA"/>
    <s v="NO DATA"/>
    <x v="1"/>
    <n v="3102659907"/>
    <s v="OK LINEA"/>
    <s v="NO"/>
    <d v="1993-12-17T00:00:00"/>
    <n v="32"/>
    <s v="MASCULINO"/>
  </r>
  <r>
    <x v="0"/>
    <x v="0"/>
    <x v="0"/>
    <s v="1010212200"/>
    <s v="ROSERO RAMOS BORIS SANTIAGO"/>
    <x v="1"/>
    <x v="1"/>
    <x v="2"/>
    <s v="C813_00000000005547"/>
    <x v="73"/>
    <s v="CARRERA 13 # 15-30"/>
    <x v="7"/>
    <x v="12"/>
    <s v="TRADITIONAL"/>
    <x v="0"/>
    <s v="CUNDINAMARCA"/>
    <x v="0"/>
    <s v="PEÑA GARCIA JOINER ALEXIS"/>
    <s v="PASTUSO ACHICUE CLAUDIA PATRICIA"/>
    <x v="12"/>
    <x v="6"/>
    <n v="1"/>
    <n v="0.5"/>
    <d v="2025-04-07T00:00:00"/>
    <d v="2025-04-07T00:00:00"/>
    <n v="18"/>
    <s v="12-24 Months"/>
    <s v="NO DATA"/>
    <s v="NO DATA"/>
    <x v="1"/>
    <n v="3102659907"/>
    <s v="OK LINEA"/>
    <s v="NO"/>
    <d v="1993-12-17T00:00:00"/>
    <n v="32"/>
    <s v="MASCULINO"/>
  </r>
  <r>
    <x v="0"/>
    <x v="0"/>
    <x v="0"/>
    <s v="1002796804"/>
    <s v="AUSECHA ALBERTO"/>
    <x v="1"/>
    <x v="1"/>
    <x v="2"/>
    <s v="C813_00000000001058"/>
    <x v="7"/>
    <s v="CL 13 #80 - 187, CALI, VALLE DEL CAUCA"/>
    <x v="1"/>
    <x v="2"/>
    <s v="HIPERMERCADO"/>
    <x v="4"/>
    <s v="VALLE DEL CAUCA"/>
    <x v="4"/>
    <s v="ALVAREZ LONDOÑO JOHNNY"/>
    <s v="ROMERO ARENAS DANNY MAURICIO"/>
    <x v="5"/>
    <x v="1"/>
    <n v="1"/>
    <n v="1"/>
    <d v="2025-09-17T00:00:00"/>
    <d v="2025-09-17T00:00:00"/>
    <n v="12"/>
    <s v="12-24 Months"/>
    <s v="A"/>
    <s v="A"/>
    <x v="1"/>
    <n v="3102645086"/>
    <s v="OK LINEA"/>
    <s v="SI"/>
    <d v="2000-06-19T00:00:00"/>
    <n v="26"/>
    <s v="MASCULINO"/>
  </r>
  <r>
    <x v="0"/>
    <x v="0"/>
    <x v="0"/>
    <s v="1152451943"/>
    <s v="MOSQUERA PABLO ANDRES"/>
    <x v="1"/>
    <x v="1"/>
    <x v="2"/>
    <s v="C813_00000000004381"/>
    <x v="74"/>
    <s v="CALLE 44 # 65-100 MEDELLIN ANTIOQUIA"/>
    <x v="9"/>
    <x v="16"/>
    <s v="HIPERMERCADO"/>
    <x v="2"/>
    <s v="ANTIOQUIA"/>
    <x v="2"/>
    <s v="LOPEZ PALACIO PABLO EMILIO"/>
    <s v="ROMERO ARENAS DANNY MAURICIO"/>
    <x v="17"/>
    <x v="4"/>
    <n v="1"/>
    <n v="1"/>
    <d v="2025-12-02T00:00:00"/>
    <d v="2025-12-02T00:00:00"/>
    <n v="10"/>
    <s v="9-12 Months"/>
    <s v="D"/>
    <s v="D"/>
    <x v="1"/>
    <s v="SIN ASIGNAR"/>
    <s v="SIN ASIGNAR"/>
    <s v="SI"/>
    <d v="1994-10-31T00:00:00"/>
    <n v="31"/>
    <s v="MASCULINO"/>
  </r>
  <r>
    <x v="0"/>
    <x v="0"/>
    <x v="0"/>
    <s v="1017228455"/>
    <s v="GAVIRIA ALVAREZ DUVAN "/>
    <x v="1"/>
    <x v="1"/>
    <x v="2"/>
    <s v="C813_00000000000032"/>
    <x v="75"/>
    <s v="CRA 66 No 49 - 01 MEDELLIN ANTIOQUIA"/>
    <x v="2"/>
    <x v="3"/>
    <s v="HIPERMERCADO"/>
    <x v="2"/>
    <s v="ANTIOQUIA"/>
    <x v="2"/>
    <s v="LOPEZ PALACIO PABLO EMILIO"/>
    <s v="ROMERO ARENAS DANNY MAURICIO"/>
    <x v="3"/>
    <x v="2"/>
    <n v="1"/>
    <n v="1"/>
    <d v="2025-02-17T00:00:00"/>
    <d v="2025-02-17T00:00:00"/>
    <n v="19"/>
    <s v="12-24 Months"/>
    <s v="A"/>
    <s v="A"/>
    <x v="1"/>
    <n v="3102642270"/>
    <s v="OK LINEA"/>
    <s v="SI"/>
    <d v="1995-03-06T00:00:00"/>
    <n v="31"/>
    <s v="MASCULINO"/>
  </r>
  <r>
    <x v="0"/>
    <x v="0"/>
    <x v="4"/>
    <s v="1019126121"/>
    <s v="MORALES RIBON CRISTIAN EDUARDO"/>
    <x v="1"/>
    <x v="1"/>
    <x v="2"/>
    <s v="C813_00000000000295"/>
    <x v="76"/>
    <s v="TRANVERSAL 91 # 135-56 BOGOTA CUNDINAMARCA"/>
    <x v="1"/>
    <x v="1"/>
    <s v="HIPERMERCADO"/>
    <x v="0"/>
    <s v="CUNDINAMARCA"/>
    <x v="0"/>
    <s v="PEÑA GARCIA JOINER ALEXIS"/>
    <s v="PASTUSO ACHICUE CLAUDIA PATRICIA"/>
    <x v="1"/>
    <x v="1"/>
    <n v="1"/>
    <n v="1"/>
    <d v="2026-08-12T00:00:00"/>
    <d v="2026-08-12T00:00:00"/>
    <n v="2"/>
    <s v="-3 Months"/>
    <s v="D"/>
    <s v="B"/>
    <x v="1"/>
    <s v="SIN ASIGNAR"/>
    <s v="SIN ASIGNAR"/>
    <s v="SI"/>
    <d v="1996-10-31T00:00:00"/>
    <n v="29"/>
    <s v="MASCULINO"/>
  </r>
  <r>
    <x v="0"/>
    <x v="0"/>
    <x v="0"/>
    <s v="1019060946"/>
    <s v="ROJAS HERNANDEZ EDUIN ANDRES"/>
    <x v="1"/>
    <x v="1"/>
    <x v="2"/>
    <s v="C813_00000000000334"/>
    <x v="77"/>
    <s v="CALLE 146A # 106-20 BOGOTA"/>
    <x v="4"/>
    <x v="5"/>
    <s v="HIPERMERCADO"/>
    <x v="0"/>
    <s v="CUNDINAMARCA"/>
    <x v="0"/>
    <s v="GAVIRIA FERRO DIEGO MAURICIO"/>
    <s v="PASTUSO ACHICUE CLAUDIA PATRICIA"/>
    <x v="16"/>
    <x v="3"/>
    <n v="1"/>
    <n v="1"/>
    <d v="2026-01-16T00:00:00"/>
    <d v="2026-01-16T00:00:00"/>
    <n v="9"/>
    <s v="9-12 Months"/>
    <s v="A"/>
    <s v="D"/>
    <x v="1"/>
    <n v="3102690054"/>
    <s v="OK LINEA"/>
    <s v="SI"/>
    <d v="1991-06-07T00:00:00"/>
    <n v="35"/>
    <s v="MASCULINO"/>
  </r>
  <r>
    <x v="0"/>
    <x v="0"/>
    <x v="0"/>
    <s v="92518220"/>
    <s v="ROJAS GOMEZ ELKIN DARIO"/>
    <x v="1"/>
    <x v="1"/>
    <x v="2"/>
    <s v="C813_00000000003349"/>
    <x v="78"/>
    <s v="CARRERA 104 # 148 - 07  BOGOTA - CUNDINAMARCA"/>
    <x v="3"/>
    <x v="4"/>
    <s v="TRADITIONAL"/>
    <x v="0"/>
    <s v="CUNDINAMARCA"/>
    <x v="0"/>
    <s v="GAVIRIA FERRO DIEGO MAURICIO"/>
    <s v="PASTUSO ACHICUE CLAUDIA PATRICIA"/>
    <x v="10"/>
    <x v="3"/>
    <n v="1"/>
    <n v="0.8"/>
    <d v="2025-01-17T00:00:00"/>
    <d v="2025-01-17T00:00:00"/>
    <n v="20"/>
    <s v="12-24 Months"/>
    <s v="NO DATA"/>
    <s v="NO DATA"/>
    <x v="1"/>
    <n v="3102651362"/>
    <s v="OK LINEA"/>
    <s v="NO"/>
    <d v="1972-01-30T00:00:00"/>
    <n v="54"/>
    <s v="MASCULINO"/>
  </r>
  <r>
    <x v="0"/>
    <x v="0"/>
    <x v="0"/>
    <s v="92518220"/>
    <s v="ROJAS GOMEZ ELKIN DARIO"/>
    <x v="1"/>
    <x v="1"/>
    <x v="2"/>
    <s v="C813_00000000003351"/>
    <x v="79"/>
    <s v="CLL 185 # 45 - 03 LC N1-022"/>
    <x v="3"/>
    <x v="4"/>
    <s v="TRADITIONAL"/>
    <x v="0"/>
    <s v="CUNDINAMARCA"/>
    <x v="0"/>
    <s v="GAVIRIA FERRO DIEGO MAURICIO"/>
    <s v="PASTUSO ACHICUE CLAUDIA PATRICIA"/>
    <x v="10"/>
    <x v="3"/>
    <n v="0"/>
    <n v="0.2"/>
    <d v="2025-01-17T00:00:00"/>
    <d v="2025-01-17T00:00:00"/>
    <n v="20"/>
    <s v="12-24 Months"/>
    <s v="NO DATA"/>
    <s v="NO DATA"/>
    <x v="1"/>
    <n v="3102651362"/>
    <s v="OK LINEA"/>
    <s v="NO"/>
    <d v="1972-01-30T00:00:00"/>
    <n v="54"/>
    <s v="MASCULINO"/>
  </r>
  <r>
    <x v="0"/>
    <x v="0"/>
    <x v="0"/>
    <s v="1144209023"/>
    <s v="ROJAS GARCIA NATHALIA"/>
    <x v="1"/>
    <x v="1"/>
    <x v="2"/>
    <s v="C813_00000000000744"/>
    <x v="80"/>
    <s v="CRA 3 # 52-126 CC UNICO LOCAL 10-07 CALI VALLE DEL CAUCA"/>
    <x v="1"/>
    <x v="10"/>
    <s v="HIPERMERCADO"/>
    <x v="4"/>
    <s v="VALLE DEL CAUCA"/>
    <x v="4"/>
    <s v="ALVAREZ LONDOÑO JOHNNY"/>
    <s v="ROMERO ARENAS DANNY MAURICIO"/>
    <x v="5"/>
    <x v="1"/>
    <n v="1"/>
    <n v="1"/>
    <d v="2025-01-02T00:00:00"/>
    <d v="2021-10-26T00:00:00"/>
    <n v="59"/>
    <s v="+24 Mounths"/>
    <s v="B"/>
    <s v="B"/>
    <x v="0"/>
    <n v="3102683316"/>
    <s v="OK LINEA"/>
    <s v="SI"/>
    <d v="1998-10-30T00:00:00"/>
    <n v="27"/>
    <s v="FEMENINO"/>
  </r>
  <r>
    <x v="0"/>
    <x v="0"/>
    <x v="0"/>
    <s v="1023032113"/>
    <s v="GUZMAN DIAZ EDWARD SEBASTIAN"/>
    <x v="1"/>
    <x v="1"/>
    <x v="2"/>
    <s v="C813_00000000000105"/>
    <x v="81"/>
    <s v="CRA 59 A # 79-30 BOGOTA"/>
    <x v="2"/>
    <x v="3"/>
    <s v="HIPERMERCADO"/>
    <x v="0"/>
    <s v="CUNDINAMARCA"/>
    <x v="0"/>
    <s v="GAVIRIA FERRO DIEGO MAURICIO"/>
    <s v="PASTUSO ACHICUE CLAUDIA PATRICIA"/>
    <x v="14"/>
    <x v="2"/>
    <n v="1"/>
    <n v="1"/>
    <d v="2026-05-19T00:00:00"/>
    <d v="2026-05-19T00:00:00"/>
    <n v="4"/>
    <s v="3-6 Months"/>
    <s v="A"/>
    <s v="A"/>
    <x v="1"/>
    <s v="SIN ASIGNAR"/>
    <s v="SIN ASIGNAR"/>
    <s v="SI"/>
    <d v="1998-12-11T00:00:00"/>
    <n v="27"/>
    <s v="MASCULINO"/>
  </r>
  <r>
    <x v="0"/>
    <x v="0"/>
    <x v="0"/>
    <s v="1042429464"/>
    <s v="ROJAS CALLE NAIDER YAIR"/>
    <x v="1"/>
    <x v="1"/>
    <x v="2"/>
    <s v="C813_00000000000138"/>
    <x v="82"/>
    <s v="CALLE 53 # 46-38"/>
    <x v="5"/>
    <x v="6"/>
    <s v="HIPERMERCADO"/>
    <x v="3"/>
    <s v="ATLANTICO"/>
    <x v="3"/>
    <s v="PRENT SAMPAYO ANDERSON GUILLERMO"/>
    <s v="GRANADOS NAVARRO YEFERSON ORLANDO"/>
    <x v="11"/>
    <x v="4"/>
    <n v="1"/>
    <n v="1"/>
    <d v="2025-04-07T00:00:00"/>
    <d v="2025-04-07T00:00:00"/>
    <n v="18"/>
    <s v="12-24 Months"/>
    <s v="A"/>
    <s v="A"/>
    <x v="1"/>
    <n v="3102705647"/>
    <s v="OK LINEA"/>
    <s v="SI"/>
    <d v="1989-05-01T00:00:00"/>
    <n v="37"/>
    <s v="MASCULINO"/>
  </r>
  <r>
    <x v="0"/>
    <x v="0"/>
    <x v="0"/>
    <s v="80902976"/>
    <s v="RIVERA RIVERA SERGIO LUIS"/>
    <x v="1"/>
    <x v="1"/>
    <x v="2"/>
    <s v="C813_00000000000206"/>
    <x v="83"/>
    <s v="CRA 71D #6-94 SUR BOGOTA"/>
    <x v="5"/>
    <x v="6"/>
    <s v="HIPERMERCADO"/>
    <x v="0"/>
    <s v="CUNDINAMARCA"/>
    <x v="0"/>
    <s v="GAVIRIA FERRO DIEGO MAURICIO"/>
    <s v="PASTUSO ACHICUE CLAUDIA PATRICIA"/>
    <x v="14"/>
    <x v="4"/>
    <n v="1"/>
    <n v="1"/>
    <d v="2025-01-02T00:00:00"/>
    <d v="2024-10-23T00:00:00"/>
    <n v="23"/>
    <s v="12-24 Months"/>
    <s v="B"/>
    <s v="B"/>
    <x v="0"/>
    <n v="3102637256"/>
    <s v="OK LINEA"/>
    <s v="NO"/>
    <d v="1985-08-13T00:00:00"/>
    <n v="41"/>
    <s v="MASCULINO"/>
  </r>
  <r>
    <x v="0"/>
    <x v="0"/>
    <x v="0"/>
    <s v="1019148348"/>
    <s v="RIVERA MENDEZ JUAN DAVID"/>
    <x v="1"/>
    <x v="1"/>
    <x v="2"/>
    <s v="C813_00000000000284"/>
    <x v="8"/>
    <s v="CALLE 45 SUR #51-90 BOGOTA"/>
    <x v="1"/>
    <x v="2"/>
    <s v="HIPERMERCADO"/>
    <x v="0"/>
    <s v="CUNDINAMARCA"/>
    <x v="0"/>
    <s v="PEÑA GARCIA JOINER ALEXIS"/>
    <s v="PASTUSO ACHICUE CLAUDIA PATRICIA"/>
    <x v="6"/>
    <x v="1"/>
    <n v="1"/>
    <n v="1"/>
    <d v="2026-04-07T00:00:00"/>
    <d v="2026-04-07T00:00:00"/>
    <n v="6"/>
    <s v="6-9 Months"/>
    <s v="B"/>
    <s v="B"/>
    <x v="1"/>
    <s v="SIN ASIGNAR"/>
    <s v="SIN ASIGNAR"/>
    <s v="SI"/>
    <d v="1999-05-04T00:00:00"/>
    <n v="27"/>
    <s v="MASCULINO"/>
  </r>
  <r>
    <x v="0"/>
    <x v="0"/>
    <x v="0"/>
    <s v="1143431044"/>
    <s v="RIVERA DIAZ MAYRA ALEJANDRA"/>
    <x v="1"/>
    <x v="1"/>
    <x v="2"/>
    <s v="C813_00000000005388"/>
    <x v="6"/>
    <s v="CL 98 #51B -91 BARRANQUILLA - ATLANTICO"/>
    <x v="1"/>
    <x v="2"/>
    <s v="HIPERMERCADO"/>
    <x v="3"/>
    <s v="ATLANTICO"/>
    <x v="3"/>
    <s v="PRENT SAMPAYO ANDERSON GUILLERMO"/>
    <s v="GRANADOS NAVARRO YEFERSON ORLANDO"/>
    <x v="4"/>
    <x v="1"/>
    <n v="1"/>
    <n v="1"/>
    <d v="2025-01-02T00:00:00"/>
    <d v="2024-03-12T00:00:00"/>
    <n v="31"/>
    <s v="+24 Mounths"/>
    <s v="A"/>
    <s v="A"/>
    <x v="0"/>
    <n v="3102709097"/>
    <s v="OK LINEA"/>
    <s v="SI"/>
    <d v="1991-03-12T00:00:00"/>
    <n v="35"/>
    <s v="FEMENINO"/>
  </r>
  <r>
    <x v="0"/>
    <x v="0"/>
    <x v="0"/>
    <s v="1012316033"/>
    <s v="CONTRERAS CABRERA LINEY BRIYITH"/>
    <x v="1"/>
    <x v="1"/>
    <x v="2"/>
    <s v="EN CREACION_36"/>
    <x v="84"/>
    <s v="NO APLICA"/>
    <x v="3"/>
    <x v="4"/>
    <s v="TRADITIONAL"/>
    <x v="0"/>
    <s v="CUNDINAMARCA"/>
    <x v="0"/>
    <s v="GAVIRIA FERRO DIEGO MAURICIO"/>
    <s v="PASTUSO ACHICUE CLAUDIA PATRICIA"/>
    <x v="10"/>
    <x v="3"/>
    <n v="1"/>
    <n v="0.2"/>
    <d v="2025-01-02T00:00:00"/>
    <d v="2024-03-04T00:00:00"/>
    <n v="31"/>
    <s v="+24 Mounths"/>
    <s v="NO DATA"/>
    <s v="NO DATA"/>
    <x v="0"/>
    <n v="3102672031"/>
    <s v="OK LINEA"/>
    <s v="NO"/>
    <d v="2003-10-23T00:00:00"/>
    <n v="22"/>
    <s v="FEMENINO"/>
  </r>
  <r>
    <x v="0"/>
    <x v="0"/>
    <x v="0"/>
    <s v="1012316033"/>
    <s v="CONTRERAS CABRERA LINEY BRIYITH"/>
    <x v="1"/>
    <x v="1"/>
    <x v="2"/>
    <s v="SED_0015"/>
    <x v="85"/>
    <s v="CR 42 BIS #17A-53 OFI 502"/>
    <x v="3"/>
    <x v="4"/>
    <s v="TRADITIONAL"/>
    <x v="0"/>
    <s v="CUNDINAMARCA"/>
    <x v="0"/>
    <s v="GAVIRIA FERRO DIEGO MAURICIO"/>
    <s v="PASTUSO ACHICUE CLAUDIA PATRICIA"/>
    <x v="10"/>
    <x v="3"/>
    <n v="0"/>
    <n v="0.8"/>
    <d v="2025-01-02T00:00:00"/>
    <d v="2024-03-04T00:00:00"/>
    <n v="31"/>
    <s v="+24 Mounths"/>
    <s v="NO DATA"/>
    <s v="NO DATA"/>
    <x v="0"/>
    <n v="3102672031"/>
    <s v="OK LINEA"/>
    <s v="NO"/>
    <d v="2003-10-23T00:00:00"/>
    <n v="22"/>
    <s v="FEMENINO"/>
  </r>
  <r>
    <x v="0"/>
    <x v="0"/>
    <x v="0"/>
    <s v="80174317"/>
    <s v="RIOS JHONNATAN SMITH"/>
    <x v="1"/>
    <x v="1"/>
    <x v="2"/>
    <s v="C813_00000000000872"/>
    <x v="86"/>
    <s v="CALLE DE LA UNIVERSIDAD # 36-90 CHIA CUNDINAMARCA"/>
    <x v="2"/>
    <x v="3"/>
    <s v="HIPERMERCADO"/>
    <x v="7"/>
    <s v="CUNDINAMARCA"/>
    <x v="0"/>
    <s v="GAVIRIA FERRO DIEGO MAURICIO"/>
    <s v="PASTUSO ACHICUE CLAUDIA PATRICIA"/>
    <x v="14"/>
    <x v="2"/>
    <n v="1"/>
    <n v="1"/>
    <d v="2026-03-06T00:00:00"/>
    <d v="2026-03-06T00:00:00"/>
    <n v="7"/>
    <s v="6-9 Months"/>
    <s v="C"/>
    <s v="C"/>
    <x v="1"/>
    <s v="SIN ASIGNAR"/>
    <s v="SIN ASIGNAR"/>
    <s v="NO"/>
    <d v="1983-03-19T00:00:00"/>
    <n v="43"/>
    <s v="MASCULINO"/>
  </r>
  <r>
    <x v="0"/>
    <x v="0"/>
    <x v="0"/>
    <s v="93479113"/>
    <s v="REYES ROMERO FIDEL"/>
    <x v="1"/>
    <x v="1"/>
    <x v="2"/>
    <s v="C813_00000000001067"/>
    <x v="87"/>
    <s v="CARRERA 3A BIS # 21A-14"/>
    <x v="2"/>
    <x v="3"/>
    <s v="HIPERMERCADO"/>
    <x v="23"/>
    <s v="CAQUETA"/>
    <x v="7"/>
    <s v="PEÑA GARCIA JOINER ALEXIS"/>
    <s v="PASTUSO ACHICUE CLAUDIA PATRICIA"/>
    <x v="13"/>
    <x v="2"/>
    <n v="1"/>
    <n v="1"/>
    <d v="2026-01-29T00:00:00"/>
    <d v="2026-01-29T00:00:00"/>
    <n v="8"/>
    <s v="6-9 Months"/>
    <s v="A"/>
    <s v="A"/>
    <x v="1"/>
    <n v="3102622546"/>
    <s v="OK LINEA"/>
    <s v="SI"/>
    <d v="1986-01-09T00:00:00"/>
    <n v="40"/>
    <s v="MASCULINO"/>
  </r>
  <r>
    <x v="0"/>
    <x v="0"/>
    <x v="0"/>
    <s v="1007334931"/>
    <s v="RESTREPO HINCAPIE DIEGO ALEJANDRO"/>
    <x v="1"/>
    <x v="1"/>
    <x v="2"/>
    <s v="C813_00000000000684"/>
    <x v="88"/>
    <s v="CALLE 43 # 54 - 139 RIONEGRO CENTRO COMERCIAL SAN NICOLAS"/>
    <x v="2"/>
    <x v="3"/>
    <s v="HIPERMERCADO"/>
    <x v="24"/>
    <s v="ANTIOQUIA"/>
    <x v="2"/>
    <s v="LOPEZ PALACIO PABLO EMILIO"/>
    <s v="ROMERO ARENAS DANNY MAURICIO"/>
    <x v="3"/>
    <x v="2"/>
    <n v="1"/>
    <n v="1"/>
    <d v="2026-05-06T00:00:00"/>
    <d v="2026-05-06T00:00:00"/>
    <n v="5"/>
    <s v="3-6 Months"/>
    <s v="B"/>
    <s v="B"/>
    <x v="1"/>
    <s v="SIN ASIGNAR"/>
    <s v="SIN ASIGNAR"/>
    <s v="SI"/>
    <d v="2000-08-25T00:00:00"/>
    <n v="26"/>
    <s v="MASCULINO"/>
  </r>
  <r>
    <x v="0"/>
    <x v="0"/>
    <x v="0"/>
    <s v="1065006259"/>
    <s v="REGINO ESPITIA ELIAS RICARDO"/>
    <x v="1"/>
    <x v="1"/>
    <x v="2"/>
    <s v="C813_00000000005816"/>
    <x v="89"/>
    <s v="TRASVERSAL 29 # 29-69 MONTERIA CORDOBA"/>
    <x v="1"/>
    <x v="10"/>
    <s v="HIPERMERCADO"/>
    <x v="25"/>
    <s v="CORDOBA"/>
    <x v="3"/>
    <s v="PRENT SAMPAYO ANDERSON GUILLERMO"/>
    <s v="GRANADOS NAVARRO YEFERSON ORLANDO"/>
    <x v="4"/>
    <x v="1"/>
    <n v="1"/>
    <n v="1"/>
    <d v="2025-02-10T00:00:00"/>
    <d v="2025-02-10T00:00:00"/>
    <n v="20"/>
    <s v="12-24 Months"/>
    <s v="D"/>
    <s v="B"/>
    <x v="1"/>
    <n v="3102610293"/>
    <s v="OK LINEA"/>
    <s v="SI"/>
    <d v="1994-12-23T00:00:00"/>
    <n v="31"/>
    <s v="MASCULINO"/>
  </r>
  <r>
    <x v="0"/>
    <x v="0"/>
    <x v="0"/>
    <s v="1121899188"/>
    <s v="RANGEL ARIAS SANTIAGO ANDRES"/>
    <x v="1"/>
    <x v="1"/>
    <x v="2"/>
    <s v="C813_00000000000043"/>
    <x v="90"/>
    <s v="CALLE 7A #45-185"/>
    <x v="2"/>
    <x v="3"/>
    <s v="HIPERMERCADO"/>
    <x v="9"/>
    <s v="META"/>
    <x v="6"/>
    <s v="GAVIRIA FERRO DIEGO MAURICIO"/>
    <s v="PASTUSO ACHICUE CLAUDIA PATRICIA"/>
    <x v="8"/>
    <x v="2"/>
    <n v="1"/>
    <n v="1"/>
    <d v="2026-08-06T00:00:00"/>
    <d v="2026-08-06T00:00:00"/>
    <n v="2"/>
    <s v="-3 Months"/>
    <s v="B"/>
    <s v="B"/>
    <x v="1"/>
    <s v="SIN ASIGNAR"/>
    <s v="SIN ASIGNAR"/>
    <s v="SI"/>
    <d v="1993-04-18T00:00:00"/>
    <n v="33"/>
    <s v="MASCULINO"/>
  </r>
  <r>
    <x v="0"/>
    <x v="1"/>
    <x v="0"/>
    <s v="1033683370"/>
    <s v="CHAVARRO SILVA ANDRES FELIPE"/>
    <x v="1"/>
    <x v="1"/>
    <x v="2"/>
    <s v="C813_00000000000291"/>
    <x v="2"/>
    <s v="CARRERA  68 B # 25B-80 BOGOTA CUNDINAMARCA"/>
    <x v="1"/>
    <x v="1"/>
    <s v="HIPERMERCADO"/>
    <x v="0"/>
    <s v="CUNDINAMARCA"/>
    <x v="0"/>
    <s v="PEÑA GARCIA JOINER ALEXIS"/>
    <s v="PASTUSO ACHICUE CLAUDIA PATRICIA"/>
    <x v="1"/>
    <x v="1"/>
    <n v="1"/>
    <n v="1"/>
    <d v="2026-07-23T00:00:00"/>
    <d v="2026-07-23T00:00:00"/>
    <n v="2"/>
    <s v="-3 Months"/>
    <s v="C"/>
    <s v="A"/>
    <x v="1"/>
    <s v="SIN ASIGNAR"/>
    <s v="SIN ASIGNAR"/>
    <s v="SI"/>
    <d v="2004-12-23T00:00:00"/>
    <n v="21"/>
    <s v="MASCULINO"/>
  </r>
  <r>
    <x v="0"/>
    <x v="0"/>
    <x v="0"/>
    <s v="1020468301"/>
    <s v="OLARTE QUIROZ ESTEFANIA"/>
    <x v="1"/>
    <x v="1"/>
    <x v="2"/>
    <s v="C813_00000000003123"/>
    <x v="91"/>
    <s v="CRA 51 # 50-43 ITAGUI ANTIOQUIA"/>
    <x v="10"/>
    <x v="17"/>
    <s v="TRADITIONAL"/>
    <x v="16"/>
    <s v="ANTIOQUIA"/>
    <x v="2"/>
    <s v="LOPEZ PALACIO PABLO EMILIO"/>
    <s v="ROMERO ARENAS DANNY MAURICIO"/>
    <x v="17"/>
    <x v="6"/>
    <n v="1"/>
    <n v="0.5"/>
    <d v="2025-07-30T00:00:00"/>
    <d v="2025-07-30T00:00:00"/>
    <n v="14"/>
    <s v="12-24 Months"/>
    <s v="D"/>
    <s v="D"/>
    <x v="1"/>
    <n v="3102622739"/>
    <s v="OK LINEA"/>
    <s v="NO"/>
    <d v="1995-04-04T00:00:00"/>
    <n v="31"/>
    <s v="FEMENINO"/>
  </r>
  <r>
    <x v="0"/>
    <x v="0"/>
    <x v="0"/>
    <s v="1020468301"/>
    <s v="OLARTE QUIROZ ESTEFANIA"/>
    <x v="1"/>
    <x v="1"/>
    <x v="2"/>
    <s v="C813_00000000000426"/>
    <x v="92"/>
    <s v="CARRERA 50 # 49-29 BELLO ANTIOQUIA"/>
    <x v="10"/>
    <x v="17"/>
    <s v="TRADITIONAL"/>
    <x v="13"/>
    <s v="ANTIOQUIA"/>
    <x v="2"/>
    <s v="LOPEZ PALACIO PABLO EMILIO"/>
    <s v="ROMERO ARENAS DANNY MAURICIO"/>
    <x v="17"/>
    <x v="6"/>
    <n v="0"/>
    <n v="0.5"/>
    <d v="2025-07-30T00:00:00"/>
    <d v="2025-07-30T00:00:00"/>
    <n v="14"/>
    <s v="12-24 Months"/>
    <s v="D"/>
    <s v="D"/>
    <x v="1"/>
    <n v="3102622739"/>
    <s v="OK LINEA"/>
    <s v="NO"/>
    <d v="1995-04-04T00:00:00"/>
    <n v="31"/>
    <s v="FEMENINO"/>
  </r>
  <r>
    <x v="0"/>
    <x v="0"/>
    <x v="0"/>
    <s v="1002600204"/>
    <s v="GUTIERREZ SANTOFIMIO DANNA VALENTINA"/>
    <x v="1"/>
    <x v="1"/>
    <x v="2"/>
    <s v="C813_00000000000282"/>
    <x v="17"/>
    <s v="AK 68 # 72-43 BOGOTA"/>
    <x v="1"/>
    <x v="2"/>
    <s v="HIPERMERCADO"/>
    <x v="0"/>
    <s v="CUNDINAMARCA"/>
    <x v="0"/>
    <s v="PEÑA GARCIA JOINER ALEXIS"/>
    <s v="PASTUSO ACHICUE CLAUDIA PATRICIA"/>
    <x v="1"/>
    <x v="1"/>
    <n v="1"/>
    <n v="1"/>
    <d v="2025-01-02T00:00:00"/>
    <d v="2024-03-06T00:00:00"/>
    <n v="31"/>
    <s v="+24 Mounths"/>
    <s v="A"/>
    <s v="A"/>
    <x v="0"/>
    <n v="3102639501"/>
    <s v="OK LINEA"/>
    <s v="SI"/>
    <d v="2002-08-18T00:00:00"/>
    <n v="24"/>
    <s v="FEMENINO"/>
  </r>
  <r>
    <x v="0"/>
    <x v="0"/>
    <x v="0"/>
    <s v="1003047571"/>
    <s v="RAMIREZ RAMOS LORAINE SOFIA"/>
    <x v="1"/>
    <x v="1"/>
    <x v="2"/>
    <s v="C813_00000000000746"/>
    <x v="93"/>
    <s v="CALLE 30A # 82A-26 LOC 1101-1301-1305 MEDELLIN ANTIOQUIA"/>
    <x v="1"/>
    <x v="10"/>
    <s v="HIPERMERCADO"/>
    <x v="2"/>
    <s v="ANTIOQUIA"/>
    <x v="2"/>
    <s v="LOPEZ PALACIO PABLO EMILIO"/>
    <s v="ROMERO ARENAS DANNY MAURICIO"/>
    <x v="3"/>
    <x v="1"/>
    <n v="1"/>
    <n v="1"/>
    <d v="2025-06-06T00:00:00"/>
    <d v="2025-06-06T00:00:00"/>
    <n v="16"/>
    <s v="12-24 Months"/>
    <s v="C"/>
    <s v="B"/>
    <x v="1"/>
    <n v="3102645243"/>
    <s v="OK LINEA"/>
    <s v="SI"/>
    <d v="2000-07-20T00:00:00"/>
    <n v="26"/>
    <s v="FEMENINO"/>
  </r>
  <r>
    <x v="0"/>
    <x v="0"/>
    <x v="0"/>
    <s v="1061801837"/>
    <s v="RAMIREZ MURILLO JOSE DAVID"/>
    <x v="1"/>
    <x v="1"/>
    <x v="2"/>
    <s v="C813_00000000000054"/>
    <x v="94"/>
    <s v="CRA 9 # 6N-03 POPAYAN - CAUCA"/>
    <x v="2"/>
    <x v="3"/>
    <s v="HIPERMERCADO"/>
    <x v="26"/>
    <s v="CAUCA"/>
    <x v="4"/>
    <s v="ALVAREZ LONDOÑO JOHNNY"/>
    <s v="ROMERO ARENAS DANNY MAURICIO"/>
    <x v="9"/>
    <x v="2"/>
    <n v="1"/>
    <n v="1"/>
    <d v="2026-03-26T00:00:00"/>
    <d v="2026-03-26T00:00:00"/>
    <n v="6"/>
    <s v="6-9 Months"/>
    <s v="B"/>
    <s v="B"/>
    <x v="1"/>
    <s v="SIN ASIGNAR"/>
    <s v="SIN ASIGNAR"/>
    <s v="SI"/>
    <d v="1997-06-12T00:00:00"/>
    <n v="29"/>
    <s v="MASCULINO"/>
  </r>
  <r>
    <x v="0"/>
    <x v="0"/>
    <x v="0"/>
    <s v="1000135258"/>
    <s v="CUESTA CORREDOR DIEGO ALEJANDRO"/>
    <x v="1"/>
    <x v="1"/>
    <x v="2"/>
    <s v="C813_00000000000284"/>
    <x v="8"/>
    <s v="CALLE 45 SUR #51-90 BOGOTA"/>
    <x v="1"/>
    <x v="2"/>
    <s v="HIPERMERCADO"/>
    <x v="0"/>
    <s v="CUNDINAMARCA"/>
    <x v="0"/>
    <s v="PEÑA GARCIA JOINER ALEXIS"/>
    <s v="PASTUSO ACHICUE CLAUDIA PATRICIA"/>
    <x v="6"/>
    <x v="1"/>
    <n v="1"/>
    <n v="1"/>
    <d v="2025-01-02T00:00:00"/>
    <d v="2022-11-03T00:00:00"/>
    <n v="47"/>
    <s v="+24 Mounths"/>
    <s v="B"/>
    <s v="B"/>
    <x v="0"/>
    <n v="3102630784"/>
    <s v="OK LINEA"/>
    <s v="SI"/>
    <d v="1998-07-28T00:00:00"/>
    <n v="28"/>
    <s v="MASCULINO"/>
  </r>
  <r>
    <x v="0"/>
    <x v="0"/>
    <x v="0"/>
    <s v="1085949023"/>
    <s v="QUIROZ CUASQUER BRAYAN JHOAN"/>
    <x v="1"/>
    <x v="1"/>
    <x v="2"/>
    <s v="C813_00000000000289"/>
    <x v="95"/>
    <s v="CRA 5 # 8-26 IPIALES NARI#"/>
    <x v="8"/>
    <x v="11"/>
    <s v="TRADITIONAL"/>
    <x v="27"/>
    <s v="NARIÑO"/>
    <x v="8"/>
    <s v="ALVAREZ LONDOÑO JOHNNY"/>
    <s v="ROMERO ARENAS DANNY MAURICIO"/>
    <x v="15"/>
    <x v="6"/>
    <n v="1"/>
    <n v="1"/>
    <d v="2025-01-02T00:00:00"/>
    <d v="2023-08-22T00:00:00"/>
    <n v="37"/>
    <s v="+24 Mounths"/>
    <s v="C"/>
    <s v="C"/>
    <x v="0"/>
    <n v="3102646916"/>
    <s v="OK LINEA"/>
    <s v="SI"/>
    <d v="1998-07-05T00:00:00"/>
    <n v="28"/>
    <s v="MASCULINO"/>
  </r>
  <r>
    <x v="0"/>
    <x v="0"/>
    <x v="0"/>
    <s v="1221970453"/>
    <s v="QUIÑONEZ CAMPUZANO EDWARD FABIÁN"/>
    <x v="1"/>
    <x v="1"/>
    <x v="2"/>
    <s v="C813_00000000004391"/>
    <x v="96"/>
    <s v="CARRERA 35 #29A - 355 SANTA MARTA"/>
    <x v="9"/>
    <x v="16"/>
    <s v="HIPERMERCADO"/>
    <x v="18"/>
    <s v="MAGDALENA"/>
    <x v="3"/>
    <s v="PRENT SAMPAYO ANDERSON GUILLERMO"/>
    <s v="GRANADOS NAVARRO YEFERSON ORLANDO"/>
    <x v="11"/>
    <x v="4"/>
    <n v="1"/>
    <n v="1"/>
    <d v="2025-09-25T00:00:00"/>
    <d v="2025-09-25T00:00:00"/>
    <n v="12"/>
    <s v="12-24 Months"/>
    <s v="B"/>
    <s v="B"/>
    <x v="1"/>
    <n v="3102646871"/>
    <s v="OK LINEA"/>
    <s v="SI"/>
    <d v="1996-09-28T00:00:00"/>
    <n v="30"/>
    <s v="MASCULINO"/>
  </r>
  <r>
    <x v="0"/>
    <x v="1"/>
    <x v="0"/>
    <s v="1005871030"/>
    <s v="QUINTANA OSCAR EDUARDO"/>
    <x v="1"/>
    <x v="1"/>
    <x v="2"/>
    <s v="C813_00000000001058"/>
    <x v="7"/>
    <s v="CL 13 #80 - 187, CALI, VALLE DEL CAUCA"/>
    <x v="1"/>
    <x v="2"/>
    <s v="HIPERMERCADO"/>
    <x v="4"/>
    <s v="VALLE DEL CAUCA"/>
    <x v="4"/>
    <s v="ALVAREZ LONDOÑO JOHNNY"/>
    <s v="ROMERO ARENAS DANNY MAURICIO"/>
    <x v="5"/>
    <x v="1"/>
    <n v="1"/>
    <n v="1"/>
    <d v="2026-04-09T00:00:00"/>
    <d v="2026-04-09T00:00:00"/>
    <n v="6"/>
    <s v="6-9 Months"/>
    <s v="A"/>
    <s v="A"/>
    <x v="1"/>
    <s v="SIN ASIGNAR"/>
    <s v="SIN ASIGNAR"/>
    <s v="SI"/>
    <d v="2000-11-05T00:00:00"/>
    <n v="25"/>
    <s v="MASCULINO"/>
  </r>
  <r>
    <x v="0"/>
    <x v="0"/>
    <x v="4"/>
    <s v="1082858340"/>
    <s v="PEÑARANDA LOBO DAVID OSVALDO"/>
    <x v="1"/>
    <x v="1"/>
    <x v="2"/>
    <s v="C813_00000000000717"/>
    <x v="97"/>
    <s v="CALLE 32 #29A-500 MAMATOCO SANTA MARTA"/>
    <x v="2"/>
    <x v="3"/>
    <s v="HIPERMERCADO"/>
    <x v="18"/>
    <s v="MAGDALENA"/>
    <x v="3"/>
    <s v="PRENT SAMPAYO ANDERSON GUILLERMO"/>
    <s v="GRANADOS NAVARRO YEFERSON ORLANDO"/>
    <x v="4"/>
    <x v="2"/>
    <n v="1"/>
    <n v="1"/>
    <d v="2026-09-14T00:00:00"/>
    <d v="2026-09-14T00:00:00"/>
    <n v="1"/>
    <s v="-3 Months"/>
    <s v="B"/>
    <s v="B"/>
    <x v="1"/>
    <s v="SIN ASIGNAR"/>
    <s v="SIN ASIGNAR"/>
    <s v="SI"/>
    <d v="1987-04-20T00:00:00"/>
    <n v="39"/>
    <s v="MASCULINO"/>
  </r>
  <r>
    <x v="0"/>
    <x v="0"/>
    <x v="4"/>
    <s v="1007766667"/>
    <s v="LEMUS LOZANO LEKAN YESID"/>
    <x v="1"/>
    <x v="1"/>
    <x v="2"/>
    <s v="C813_00000000005551"/>
    <x v="98"/>
    <s v="CARRERA 7N # 30B-139 SOACHA CUNDINAMARCA"/>
    <x v="1"/>
    <x v="1"/>
    <s v="HIPERMERCADO"/>
    <x v="10"/>
    <s v="CUNDINAMARCA"/>
    <x v="0"/>
    <s v="PEÑA GARCIA JOINER ALEXIS"/>
    <s v="PASTUSO ACHICUE CLAUDIA PATRICIA"/>
    <x v="6"/>
    <x v="1"/>
    <n v="1"/>
    <n v="1"/>
    <d v="2026-09-04T00:00:00"/>
    <d v="2026-09-04T00:00:00"/>
    <n v="1"/>
    <s v="-3 Months"/>
    <s v="B"/>
    <s v="B"/>
    <x v="1"/>
    <s v="SIN ASIGNAR"/>
    <s v="SIN ASIGNAR"/>
    <s v="SI"/>
    <d v="2000-05-04T00:00:00"/>
    <n v="26"/>
    <s v="MASCULINO"/>
  </r>
  <r>
    <x v="0"/>
    <x v="0"/>
    <x v="0"/>
    <s v="1001048168"/>
    <s v="PRIETO CONTRERAS MARIA CAMILA"/>
    <x v="1"/>
    <x v="1"/>
    <x v="2"/>
    <s v="C813_00000000006340"/>
    <x v="99"/>
    <s v="CALLE 65 SUR # 78 H-51 BOGOTA - CUNDINAMARCA"/>
    <x v="3"/>
    <x v="4"/>
    <s v="TRADITIONAL"/>
    <x v="0"/>
    <s v="CUNDINAMARCA"/>
    <x v="0"/>
    <s v="GAVIRIA FERRO DIEGO MAURICIO"/>
    <s v="PASTUSO ACHICUE CLAUDIA PATRICIA"/>
    <x v="10"/>
    <x v="3"/>
    <n v="1"/>
    <n v="0.8"/>
    <d v="2025-01-02T00:00:00"/>
    <d v="2024-11-27T00:00:00"/>
    <n v="22"/>
    <s v="12-24 Months"/>
    <s v="NO DATA"/>
    <s v="NO DATA"/>
    <x v="0"/>
    <n v="3102692284"/>
    <s v="OK LINEA"/>
    <s v="NO"/>
    <d v="2002-09-03T00:00:00"/>
    <n v="24"/>
    <s v="FEMENINO"/>
  </r>
  <r>
    <x v="0"/>
    <x v="0"/>
    <x v="0"/>
    <s v="1001048168"/>
    <s v="PRIETO CONTRERAS MARIA CAMILA"/>
    <x v="1"/>
    <x v="1"/>
    <x v="2"/>
    <s v="C813_00000000006396"/>
    <x v="100"/>
    <s v="CARRERA 51 N° 59 C SUR 93 LC 1-23 Y 1-24 "/>
    <x v="3"/>
    <x v="4"/>
    <s v="TRADITIONAL"/>
    <x v="0"/>
    <s v="CUNDINAMARCA"/>
    <x v="0"/>
    <s v="GAVIRIA FERRO DIEGO MAURICIO"/>
    <s v="PASTUSO ACHICUE CLAUDIA PATRICIA"/>
    <x v="10"/>
    <x v="3"/>
    <n v="0"/>
    <n v="0.2"/>
    <d v="2025-01-02T00:00:00"/>
    <d v="2024-11-27T00:00:00"/>
    <n v="22"/>
    <s v="12-24 Months"/>
    <s v="NO DATA"/>
    <s v="NO DATA"/>
    <x v="0"/>
    <n v="3102692284"/>
    <s v="OK LINEA"/>
    <s v="NO"/>
    <d v="2002-09-03T00:00:00"/>
    <n v="24"/>
    <s v="FEMENINO"/>
  </r>
  <r>
    <x v="0"/>
    <x v="0"/>
    <x v="0"/>
    <s v="80168538"/>
    <s v="MONTAÑA WILLIAM RICARDO"/>
    <x v="1"/>
    <x v="1"/>
    <x v="2"/>
    <s v="C813_00000000000107"/>
    <x v="67"/>
    <s v="CARRERA 72 #146A - 25 BOGOTA CUNDINAMARCA"/>
    <x v="2"/>
    <x v="3"/>
    <s v="HIPERMERCADO"/>
    <x v="0"/>
    <s v="CUNDINAMARCA"/>
    <x v="0"/>
    <s v="GAVIRIA FERRO DIEGO MAURICIO"/>
    <s v="PASTUSO ACHICUE CLAUDIA PATRICIA"/>
    <x v="14"/>
    <x v="2"/>
    <n v="1"/>
    <n v="1"/>
    <d v="2026-05-09T00:00:00"/>
    <d v="2026-05-09T00:00:00"/>
    <n v="5"/>
    <s v="3-6 Months"/>
    <s v="A"/>
    <s v="A"/>
    <x v="1"/>
    <s v="SIN ASIGNAR"/>
    <s v="SIN ASIGNAR"/>
    <s v="SI"/>
    <d v="1981-09-07T00:00:00"/>
    <n v="45"/>
    <s v="MASCULINO"/>
  </r>
  <r>
    <x v="0"/>
    <x v="0"/>
    <x v="4"/>
    <s v="1030593863"/>
    <s v="BARBOSA OSORIO FAUSTO"/>
    <x v="1"/>
    <x v="1"/>
    <x v="2"/>
    <s v="C813_00000000000749"/>
    <x v="101"/>
    <s v="CRA 1RA # 65D SUR - 58 BOGOTA"/>
    <x v="2"/>
    <x v="3"/>
    <s v="HIPERMERCADO"/>
    <x v="0"/>
    <s v="CUNDINAMARCA"/>
    <x v="0"/>
    <s v="GAVIRIA FERRO DIEGO MAURICIO"/>
    <s v="PASTUSO ACHICUE CLAUDIA PATRICIA"/>
    <x v="14"/>
    <x v="2"/>
    <n v="1"/>
    <n v="1"/>
    <d v="2025-03-11T00:00:00"/>
    <d v="2025-03-11T00:00:00"/>
    <n v="19"/>
    <s v="12-24 Months"/>
    <s v="B"/>
    <s v="B"/>
    <x v="1"/>
    <n v="3102607930"/>
    <s v="OK LINEA"/>
    <s v="SI"/>
    <d v="1991-06-05T00:00:00"/>
    <n v="35"/>
    <s v="MASCULINO"/>
  </r>
  <r>
    <x v="0"/>
    <x v="0"/>
    <x v="0"/>
    <s v="1042996566"/>
    <s v="POLO NIETO JOAN ALFRANIS"/>
    <x v="1"/>
    <x v="1"/>
    <x v="2"/>
    <s v="C813_00000000000335"/>
    <x v="102"/>
    <s v="CRA 86B # 42B-54 SUR BOGOTA CUNDINAMARCA"/>
    <x v="4"/>
    <x v="5"/>
    <s v="HIPERMERCADO"/>
    <x v="0"/>
    <s v="CUNDINAMARCA"/>
    <x v="0"/>
    <s v="GAVIRIA FERRO DIEGO MAURICIO"/>
    <s v="PASTUSO ACHICUE CLAUDIA PATRICIA"/>
    <x v="16"/>
    <x v="3"/>
    <n v="1"/>
    <n v="1"/>
    <d v="2025-01-02T00:00:00"/>
    <d v="2024-05-16T00:00:00"/>
    <n v="29"/>
    <s v="+24 Mounths"/>
    <s v="A"/>
    <s v="A"/>
    <x v="0"/>
    <n v="3102604782"/>
    <s v="OK LINEA"/>
    <s v="SI"/>
    <d v="2003-10-28T00:00:00"/>
    <n v="22"/>
    <s v="MASCULINO"/>
  </r>
  <r>
    <x v="0"/>
    <x v="0"/>
    <x v="0"/>
    <s v="1023905834"/>
    <s v="MALDONADO SALAMANCA SERGIO DUVAN"/>
    <x v="1"/>
    <x v="1"/>
    <x v="2"/>
    <s v="C813_00000000004631"/>
    <x v="103"/>
    <s v="CARRERA 19 # 60-180 CC LA ESTACION IBAGUE TOLIMA"/>
    <x v="1"/>
    <x v="10"/>
    <s v="HIPERMERCADO"/>
    <x v="12"/>
    <s v="TOLIMA"/>
    <x v="7"/>
    <s v="PEÑA GARCIA JOINER ALEXIS"/>
    <s v="PASTUSO ACHICUE CLAUDIA PATRICIA"/>
    <x v="13"/>
    <x v="1"/>
    <n v="1"/>
    <n v="1"/>
    <d v="2026-06-22T00:00:00"/>
    <d v="2026-06-22T00:00:00"/>
    <n v="3"/>
    <s v="3-6 Months"/>
    <s v="D"/>
    <s v="B"/>
    <x v="1"/>
    <s v="SIN ASIGNAR"/>
    <s v="SIN ASIGNAR"/>
    <s v="SI"/>
    <d v="1991-02-27T00:00:00"/>
    <n v="35"/>
    <s v="MASCULINO"/>
  </r>
  <r>
    <x v="0"/>
    <x v="0"/>
    <x v="0"/>
    <s v="1130608442"/>
    <s v="AGUILON TOVAR WILLIAM ALEJANDRO"/>
    <x v="1"/>
    <x v="1"/>
    <x v="2"/>
    <s v="C813_00000000004377"/>
    <x v="104"/>
    <s v="CARRERA 100 # 16-25 CALI VALLE DEL CAUCA"/>
    <x v="9"/>
    <x v="16"/>
    <s v="HIPERMERCADO"/>
    <x v="4"/>
    <s v="VALLE DEL CAUCA"/>
    <x v="4"/>
    <s v="ALVAREZ LONDOÑO JOHNNY"/>
    <s v="ROMERO ARENAS DANNY MAURICIO"/>
    <x v="5"/>
    <x v="4"/>
    <n v="1"/>
    <n v="0.75"/>
    <d v="2026-06-12T00:00:00"/>
    <d v="2026-06-12T00:00:00"/>
    <n v="4"/>
    <s v="3-6 Months"/>
    <s v="C"/>
    <s v="C"/>
    <x v="1"/>
    <s v="SIN ASIGNAR"/>
    <s v="SIN ASIGNAR"/>
    <s v="SI"/>
    <d v="1986-09-24T00:00:00"/>
    <n v="40"/>
    <s v="MASCULINO"/>
  </r>
  <r>
    <x v="0"/>
    <x v="0"/>
    <x v="0"/>
    <s v="1130608442"/>
    <s v="AGUILON TOVAR WILLIAM ALEJANDRO"/>
    <x v="1"/>
    <x v="1"/>
    <x v="2"/>
    <s v="C813_00000000004378"/>
    <x v="105"/>
    <s v="AVENIDA 6A NORTE # 35-00 SANTA CALI VALLE DEL CAUCA"/>
    <x v="9"/>
    <x v="16"/>
    <s v="HIPERMERCADO"/>
    <x v="4"/>
    <s v="VALLE DEL CAUCA"/>
    <x v="4"/>
    <s v="ALVAREZ LONDOÑO JOHNNY"/>
    <s v="ROMERO ARENAS DANNY MAURICIO"/>
    <x v="5"/>
    <x v="4"/>
    <n v="0"/>
    <n v="0.25"/>
    <d v="2026-06-12T00:00:00"/>
    <d v="2026-06-12T00:00:00"/>
    <n v="4"/>
    <s v="3-6 Months"/>
    <s v="NO DATA"/>
    <s v="NO DATA"/>
    <x v="1"/>
    <s v="SIN ASIGNAR"/>
    <s v="SIN ASIGNAR"/>
    <s v="NO"/>
    <d v="1986-09-24T00:00:00"/>
    <n v="40"/>
    <s v="MASCULINO"/>
  </r>
  <r>
    <x v="0"/>
    <x v="0"/>
    <x v="0"/>
    <s v="1016593700"/>
    <s v="SICUARIZA CARLOS ANDRES"/>
    <x v="4"/>
    <x v="1"/>
    <x v="2"/>
    <s v="C813_00000000002373"/>
    <x v="106"/>
    <s v="AUTOPISTA BOGOTÁ - MEDELLIN (CALLE 80) KM 2 VÍA COTA"/>
    <x v="11"/>
    <x v="18"/>
    <s v="TRADITIONAL"/>
    <x v="0"/>
    <s v="CUNDINAMARCA"/>
    <x v="0"/>
    <s v="GAVIRIA FERRO DIEGO MAURICIO"/>
    <s v="PASTUSO ACHICUE CLAUDIA PATRICIA"/>
    <x v="16"/>
    <x v="3"/>
    <n v="1"/>
    <n v="1"/>
    <d v="2026-02-16T00:00:00"/>
    <d v="2026-02-16T00:00:00"/>
    <n v="8"/>
    <s v="6-9 Months"/>
    <s v="NO DATA"/>
    <s v="NO DATA"/>
    <x v="1"/>
    <n v="3102634322"/>
    <s v="OK LINEA"/>
    <s v="NO"/>
    <d v="2004-10-30T00:00:00"/>
    <n v="21"/>
    <s v="MASCULINO"/>
  </r>
  <r>
    <x v="0"/>
    <x v="0"/>
    <x v="0"/>
    <s v="1007497622"/>
    <s v="PEREZ TREJOS JEFREY"/>
    <x v="1"/>
    <x v="1"/>
    <x v="2"/>
    <s v="C813_00000000000785"/>
    <x v="107"/>
    <s v="CRA 20 # 34-18 CENTRO COMERCIAL FUNDADORES MANIZALES CALDAS"/>
    <x v="2"/>
    <x v="3"/>
    <s v="HIPERMERCADO"/>
    <x v="8"/>
    <s v="CALDAS"/>
    <x v="5"/>
    <s v="ALVAREZ LONDOÑO JOHNNY"/>
    <s v="ROMERO ARENAS DANNY MAURICIO"/>
    <x v="7"/>
    <x v="2"/>
    <n v="1"/>
    <n v="1"/>
    <d v="2025-01-02T00:00:00"/>
    <d v="2024-10-10T00:00:00"/>
    <n v="24"/>
    <s v="+24 Mounths"/>
    <s v="A"/>
    <s v="A"/>
    <x v="0"/>
    <n v="3102630274"/>
    <s v="OK LINEA"/>
    <s v="SI"/>
    <d v="2000-01-26T00:00:00"/>
    <n v="26"/>
    <s v="MASCULINO"/>
  </r>
  <r>
    <x v="0"/>
    <x v="0"/>
    <x v="0"/>
    <s v="1098782945"/>
    <s v="DIAZ RAMIREZ CARLOS ANDRES"/>
    <x v="1"/>
    <x v="1"/>
    <x v="2"/>
    <s v="C813_00000000006329"/>
    <x v="3"/>
    <s v="ANILLO VIAL KM 2 5 VIA FLORIDABLANCA GIRON FLORIDABLANCA SANTANDER"/>
    <x v="1"/>
    <x v="2"/>
    <s v="HIPERMERCADO"/>
    <x v="15"/>
    <s v="SANTANDER"/>
    <x v="1"/>
    <s v="PRENT SAMPAYO ANDERSON GUILLERMO"/>
    <s v="GRANADOS NAVARRO YEFERSON ORLANDO"/>
    <x v="2"/>
    <x v="1"/>
    <n v="1"/>
    <n v="1"/>
    <d v="2026-06-12T00:00:00"/>
    <d v="2026-06-12T00:00:00"/>
    <n v="4"/>
    <s v="3-6 Months"/>
    <s v="B"/>
    <s v="B"/>
    <x v="1"/>
    <s v="SIN ASIGNAR"/>
    <s v="SIN ASIGNAR"/>
    <s v="SI"/>
    <d v="1996-04-09T00:00:00"/>
    <n v="30"/>
    <s v="MASCULINO"/>
  </r>
  <r>
    <x v="0"/>
    <x v="0"/>
    <x v="0"/>
    <s v="11224605"/>
    <s v="PEÑA YATE JUAN CARLOS"/>
    <x v="1"/>
    <x v="1"/>
    <x v="2"/>
    <s v="C813_00000000004396"/>
    <x v="108"/>
    <s v="AVENIDA  68 # 80-77 BOGOTA CUNDINAMARCA"/>
    <x v="9"/>
    <x v="16"/>
    <s v="HIPERMERCADO"/>
    <x v="0"/>
    <s v="CUNDINAMARCA"/>
    <x v="0"/>
    <s v="GAVIRIA FERRO DIEGO MAURICIO"/>
    <s v="PASTUSO ACHICUE CLAUDIA PATRICIA"/>
    <x v="14"/>
    <x v="4"/>
    <n v="1"/>
    <n v="1"/>
    <d v="2026-05-08T00:00:00"/>
    <d v="2026-05-08T00:00:00"/>
    <n v="5"/>
    <s v="3-6 Months"/>
    <s v="D"/>
    <s v="D"/>
    <x v="1"/>
    <s v="SIN ASIGNAR"/>
    <s v="SIN ASIGNAR"/>
    <s v="SI"/>
    <d v="1980-04-28T00:00:00"/>
    <n v="46"/>
    <s v="FEMENINO"/>
  </r>
  <r>
    <x v="0"/>
    <x v="0"/>
    <x v="0"/>
    <s v="1007598925"/>
    <s v="PEÑA SIVO CAMILO ANDRES"/>
    <x v="1"/>
    <x v="1"/>
    <x v="2"/>
    <s v="C813_00000000000947"/>
    <x v="109"/>
    <s v="CALLE 24 # 28-72. C.C MORICHAL PLAZA YOPAL CASANARE"/>
    <x v="1"/>
    <x v="2"/>
    <s v="HIPERMERCADO"/>
    <x v="28"/>
    <s v="CASANARE"/>
    <x v="6"/>
    <s v="GAVIRIA FERRO DIEGO MAURICIO"/>
    <s v="PASTUSO ACHICUE CLAUDIA PATRICIA"/>
    <x v="8"/>
    <x v="1"/>
    <n v="1"/>
    <n v="1"/>
    <d v="2026-04-07T00:00:00"/>
    <d v="2026-04-07T00:00:00"/>
    <n v="6"/>
    <s v="6-9 Months"/>
    <s v="B"/>
    <s v="B"/>
    <x v="1"/>
    <s v="SIN ASIGNAR"/>
    <s v="SIN ASIGNAR"/>
    <s v="SI"/>
    <d v="2001-03-20T00:00:00"/>
    <n v="25"/>
    <s v="MASCULINO"/>
  </r>
  <r>
    <x v="0"/>
    <x v="0"/>
    <x v="0"/>
    <s v="1075224928"/>
    <s v="PEÑA CALIMAN JUAN PABLO"/>
    <x v="1"/>
    <x v="1"/>
    <x v="2"/>
    <s v="C813_00000000000700"/>
    <x v="110"/>
    <s v="CRA 26 # 39 - 50 NEIVA"/>
    <x v="2"/>
    <x v="3"/>
    <s v="HIPERMERCADO"/>
    <x v="29"/>
    <s v="HUILA"/>
    <x v="7"/>
    <s v="PEÑA GARCIA JOINER ALEXIS"/>
    <s v="PASTUSO ACHICUE CLAUDIA PATRICIA"/>
    <x v="13"/>
    <x v="2"/>
    <n v="1"/>
    <n v="1"/>
    <d v="2025-01-02T00:00:00"/>
    <d v="2022-11-03T00:00:00"/>
    <n v="47"/>
    <s v="+24 Mounths"/>
    <s v="A"/>
    <s v="A"/>
    <x v="0"/>
    <n v="3102670940"/>
    <s v="OK LINEA"/>
    <s v="SI"/>
    <d v="1987-11-05T00:00:00"/>
    <n v="38"/>
    <s v="MASCULINO"/>
  </r>
  <r>
    <x v="0"/>
    <x v="0"/>
    <x v="0"/>
    <s v="25876022"/>
    <s v="PASTRANA BUELVAS ELSY LUZ"/>
    <x v="1"/>
    <x v="1"/>
    <x v="2"/>
    <s v="C813_00000000000714"/>
    <x v="111"/>
    <s v="CALLE 48 # 13-14  MONTERIA"/>
    <x v="2"/>
    <x v="3"/>
    <s v="HIPERMERCADO"/>
    <x v="25"/>
    <s v="CORDOBA"/>
    <x v="3"/>
    <s v="PRENT SAMPAYO ANDERSON GUILLERMO"/>
    <s v="GRANADOS NAVARRO YEFERSON ORLANDO"/>
    <x v="4"/>
    <x v="2"/>
    <n v="1"/>
    <n v="1"/>
    <d v="2025-01-02T00:00:00"/>
    <d v="2024-09-30T00:00:00"/>
    <n v="24"/>
    <s v="+24 Mounths"/>
    <s v="B"/>
    <s v="B"/>
    <x v="0"/>
    <n v="3102689248"/>
    <s v="OK LINEA"/>
    <s v="SI"/>
    <d v="1980-06-04T00:00:00"/>
    <n v="46"/>
    <s v="FEMENINO"/>
  </r>
  <r>
    <x v="0"/>
    <x v="0"/>
    <x v="0"/>
    <s v="1019118058"/>
    <s v="ROJAS LAZARO JHOAN MATEO"/>
    <x v="1"/>
    <x v="1"/>
    <x v="2"/>
    <s v="C813_00000000004678"/>
    <x v="9"/>
    <s v="CARRERA 15 # 123-08 BOGOTA CUNDINAMARCA"/>
    <x v="1"/>
    <x v="1"/>
    <s v="HIPERMERCADO"/>
    <x v="0"/>
    <s v="CUNDINAMARCA"/>
    <x v="0"/>
    <s v="PEÑA GARCIA JOINER ALEXIS"/>
    <s v="PASTUSO ACHICUE CLAUDIA PATRICIA"/>
    <x v="1"/>
    <x v="1"/>
    <n v="1"/>
    <n v="1"/>
    <d v="2025-01-02T00:00:00"/>
    <d v="2023-04-20T00:00:00"/>
    <n v="41"/>
    <s v="+24 Mounths"/>
    <s v="C"/>
    <s v="A"/>
    <x v="0"/>
    <n v="3102702060"/>
    <s v="OK LINEA"/>
    <s v="SI"/>
    <d v="1996-03-23T00:00:00"/>
    <n v="30"/>
    <s v="MASCULINO"/>
  </r>
  <r>
    <x v="0"/>
    <x v="0"/>
    <x v="0"/>
    <s v="43105846"/>
    <s v="GAVIRIA SANDRA"/>
    <x v="1"/>
    <x v="1"/>
    <x v="2"/>
    <s v="C813_00000000000101"/>
    <x v="49"/>
    <s v="CALLE 48 # 46-115 MEDELLIN ANTIOQUIA"/>
    <x v="2"/>
    <x v="3"/>
    <s v="HIPERMERCADO"/>
    <x v="2"/>
    <s v="ANTIOQUIA"/>
    <x v="2"/>
    <s v="LOPEZ PALACIO PABLO EMILIO"/>
    <s v="ROMERO ARENAS DANNY MAURICIO"/>
    <x v="3"/>
    <x v="2"/>
    <n v="1"/>
    <n v="1"/>
    <d v="2026-06-12T00:00:00"/>
    <d v="2026-06-12T00:00:00"/>
    <n v="4"/>
    <s v="3-6 Months"/>
    <s v="B"/>
    <s v="A"/>
    <x v="1"/>
    <s v="SIN ASIGNAR"/>
    <s v="SIN ASIGNAR"/>
    <s v="SI"/>
    <d v="1978-10-17T00:00:00"/>
    <n v="47"/>
    <s v="FEMENINO"/>
  </r>
  <r>
    <x v="0"/>
    <x v="0"/>
    <x v="0"/>
    <s v="1007243884"/>
    <s v="PALACIO ZAPATA ANDRES"/>
    <x v="1"/>
    <x v="1"/>
    <x v="2"/>
    <s v="C813_00000000003119"/>
    <x v="112"/>
    <s v="CRA 46 # 47-40 MEDELLIN ANTIOQUIA"/>
    <x v="10"/>
    <x v="19"/>
    <s v="TRADITIONAL"/>
    <x v="2"/>
    <s v="ANTIOQUIA"/>
    <x v="2"/>
    <s v="LOPEZ PALACIO PABLO EMILIO"/>
    <s v="ROMERO ARENAS DANNY MAURICIO"/>
    <x v="17"/>
    <x v="6"/>
    <n v="1"/>
    <n v="1"/>
    <d v="2025-01-02T00:00:00"/>
    <d v="2023-10-26T00:00:00"/>
    <n v="35"/>
    <s v="+24 Mounths"/>
    <s v="D"/>
    <s v="D"/>
    <x v="0"/>
    <n v="3102653220"/>
    <s v="OK LINEA"/>
    <s v="NO"/>
    <d v="2003-01-30T00:00:00"/>
    <n v="23"/>
    <s v="MASCULINO"/>
  </r>
  <r>
    <x v="0"/>
    <x v="0"/>
    <x v="0"/>
    <s v="1000127436"/>
    <s v="ARIAS MARTINEZ KATHERIN YULIETH"/>
    <x v="1"/>
    <x v="1"/>
    <x v="2"/>
    <s v="C813_00000000000284"/>
    <x v="8"/>
    <s v="CALLE 45 SUR #51-90 BOGOTA"/>
    <x v="1"/>
    <x v="2"/>
    <s v="HIPERMERCADO"/>
    <x v="0"/>
    <s v="CUNDINAMARCA"/>
    <x v="0"/>
    <s v="PEÑA GARCIA JOINER ALEXIS"/>
    <s v="PASTUSO ACHICUE CLAUDIA PATRICIA"/>
    <x v="6"/>
    <x v="1"/>
    <n v="1"/>
    <n v="1"/>
    <d v="2026-10-08T00:00:00"/>
    <d v="2026-10-08T00:00:00"/>
    <n v="0"/>
    <s v="-3 Months"/>
    <s v="B"/>
    <s v="B"/>
    <x v="1"/>
    <s v="SIN ASIGNAR"/>
    <s v="SIN ASIGNAR"/>
    <s v="SI"/>
    <s v="VACANTE"/>
    <s v="VACANTE"/>
    <s v="VACANTE"/>
  </r>
  <r>
    <x v="0"/>
    <x v="0"/>
    <x v="0"/>
    <s v="1098770203"/>
    <s v="RONDON FLOREZ SEBASTIAN"/>
    <x v="1"/>
    <x v="1"/>
    <x v="2"/>
    <s v="C813_00000000001057"/>
    <x v="113"/>
    <s v="TV 93 # 34-99 BUCARAMANGA SANTANDER"/>
    <x v="1"/>
    <x v="1"/>
    <s v="HIPERMERCADO"/>
    <x v="1"/>
    <s v="SANTANDER"/>
    <x v="1"/>
    <s v="LOPEZ PALACIO PABLO EMILIO"/>
    <s v="GRANADOS NAVARRO YEFERSON ORLANDO"/>
    <x v="2"/>
    <x v="1"/>
    <n v="1"/>
    <n v="1"/>
    <d v="2026-08-20T00:00:00"/>
    <d v="2026-08-20T00:00:00"/>
    <n v="1"/>
    <s v="-3 Months"/>
    <s v="D"/>
    <s v="D"/>
    <x v="1"/>
    <s v="SIN ASIGNAR"/>
    <s v="SIN ASIGNAR"/>
    <s v="SI"/>
    <d v="1995-05-15T00:00:00"/>
    <n v="31"/>
    <s v="MASCULINO"/>
  </r>
  <r>
    <x v="0"/>
    <x v="0"/>
    <x v="0"/>
    <s v="1023980836"/>
    <s v="OVALLE LAURA DANIELA"/>
    <x v="1"/>
    <x v="1"/>
    <x v="2"/>
    <s v="C813_00000000000284"/>
    <x v="8"/>
    <s v="CALLE 45 SUR #51-90 BOGOTA"/>
    <x v="1"/>
    <x v="2"/>
    <s v="HIPERMERCADO"/>
    <x v="0"/>
    <s v="CUNDINAMARCA"/>
    <x v="0"/>
    <s v="PEÑA GARCIA JOINER ALEXIS"/>
    <s v="PASTUSO ACHICUE CLAUDIA PATRICIA"/>
    <x v="6"/>
    <x v="1"/>
    <n v="1"/>
    <n v="1"/>
    <d v="2025-11-29T00:00:00"/>
    <d v="2025-11-29T00:00:00"/>
    <n v="10"/>
    <s v="9-12 Months"/>
    <s v="B"/>
    <s v="B"/>
    <x v="1"/>
    <s v="SIN ASIGNAR"/>
    <s v="SIN ASIGNAR"/>
    <s v="SI"/>
    <d v="1999-09-24T00:00:00"/>
    <n v="27"/>
    <s v="FEMENINO"/>
  </r>
  <r>
    <x v="0"/>
    <x v="0"/>
    <x v="0"/>
    <s v="1143129947"/>
    <s v="OSPINO CARMONA JORGE LUIS"/>
    <x v="1"/>
    <x v="1"/>
    <x v="2"/>
    <s v="C813_00000000005055"/>
    <x v="114"/>
    <s v="CALLE 106 # 53-41 BARRANQUILLA ATLANTICO"/>
    <x v="9"/>
    <x v="20"/>
    <s v="HIPERMERCADO"/>
    <x v="3"/>
    <s v="ATLANTICO"/>
    <x v="3"/>
    <s v="PRENT SAMPAYO ANDERSON GUILLERMO"/>
    <s v="GRANADOS NAVARRO YEFERSON ORLANDO"/>
    <x v="11"/>
    <x v="4"/>
    <n v="1"/>
    <n v="1"/>
    <d v="2025-01-02T00:00:00"/>
    <d v="2021-01-23T00:00:00"/>
    <n v="68"/>
    <s v="+24 Mounths"/>
    <s v="C"/>
    <s v="C"/>
    <x v="0"/>
    <n v="3102614288"/>
    <s v="OK LINEA"/>
    <s v="NO"/>
    <d v="1991-09-02T00:00:00"/>
    <n v="35"/>
    <s v="MASCULINO"/>
  </r>
  <r>
    <x v="0"/>
    <x v="0"/>
    <x v="0"/>
    <s v="1053801412"/>
    <s v="MESA SALGADO JUAN DAVID"/>
    <x v="3"/>
    <x v="1"/>
    <x v="2"/>
    <s v="C813_00000000006278"/>
    <x v="16"/>
    <s v="AV KEVIN ANGEL # 55D-251 MANIZALES CALDAS"/>
    <x v="1"/>
    <x v="1"/>
    <s v="HIPERMERCADO"/>
    <x v="8"/>
    <s v="CALDAS"/>
    <x v="5"/>
    <s v="ALVAREZ LONDOÑO JOHNNY"/>
    <s v="ROMERO ARENAS DANNY MAURICIO"/>
    <x v="7"/>
    <x v="1"/>
    <n v="1"/>
    <n v="1"/>
    <d v="2025-01-02T00:00:00"/>
    <d v="2018-05-25T00:00:00"/>
    <n v="100"/>
    <s v="+24 Mounths"/>
    <s v="C"/>
    <s v="A"/>
    <x v="0"/>
    <n v="3102655921"/>
    <s v="OK LINEA"/>
    <s v="SI"/>
    <d v="1990-02-25T00:00:00"/>
    <n v="36"/>
    <s v="MASCULINO"/>
  </r>
  <r>
    <x v="0"/>
    <x v="1"/>
    <x v="0"/>
    <s v="1082917947"/>
    <s v="ORELLANO MENDOZA EDGARDO JOSE"/>
    <x v="1"/>
    <x v="1"/>
    <x v="2"/>
    <s v="C813_00000000000112"/>
    <x v="35"/>
    <s v="CALLE 134 # 9-51 BOGOTA CUNDINAMARCA"/>
    <x v="2"/>
    <x v="3"/>
    <s v="HIPERMERCADO"/>
    <x v="0"/>
    <s v="CUNDINAMARCA"/>
    <x v="0"/>
    <s v="GAVIRIA FERRO DIEGO MAURICIO"/>
    <s v="PASTUSO ACHICUE CLAUDIA PATRICIA"/>
    <x v="14"/>
    <x v="2"/>
    <n v="1"/>
    <n v="1"/>
    <d v="2025-01-02T00:00:00"/>
    <d v="2022-11-03T00:00:00"/>
    <n v="47"/>
    <s v="+24 Mounths"/>
    <s v="A"/>
    <s v="A"/>
    <x v="0"/>
    <n v="3102660475"/>
    <s v="OK LINEA"/>
    <s v="SI"/>
    <d v="1989-11-16T00:00:00"/>
    <n v="36"/>
    <s v="MASCULINO"/>
  </r>
  <r>
    <x v="0"/>
    <x v="0"/>
    <x v="0"/>
    <s v="1055988007"/>
    <s v="OLIVEROS ESTUPIÑAN WILMAN FABIAN"/>
    <x v="1"/>
    <x v="1"/>
    <x v="2"/>
    <s v="C813_00000000006659"/>
    <x v="115"/>
    <s v="CARRERA 24 # 2A-91 FUSAGASUGA CUNDINAMARCA"/>
    <x v="1"/>
    <x v="1"/>
    <s v="HIPERMERCADO"/>
    <x v="30"/>
    <s v="CUNDINAMARCA"/>
    <x v="0"/>
    <s v="PEÑA GARCIA JOINER ALEXIS"/>
    <s v="PASTUSO ACHICUE CLAUDIA PATRICIA"/>
    <x v="6"/>
    <x v="1"/>
    <n v="1"/>
    <n v="1"/>
    <d v="2025-10-15T00:00:00"/>
    <d v="2025-10-15T00:00:00"/>
    <n v="12"/>
    <s v="12-24 Months"/>
    <s v="D"/>
    <s v="B"/>
    <x v="1"/>
    <s v="SIN ASIGNAR"/>
    <s v="SIN ASIGNAR"/>
    <s v="SI"/>
    <d v="1985-01-02T00:00:00"/>
    <n v="41"/>
    <s v="MASCULINO"/>
  </r>
  <r>
    <x v="0"/>
    <x v="0"/>
    <x v="0"/>
    <s v="2971397"/>
    <s v="GUEDEZ VICTOR"/>
    <x v="1"/>
    <x v="1"/>
    <x v="2"/>
    <s v="C813_00000000000527"/>
    <x v="116"/>
    <s v="CALLE 50 #52-35 MEDELLIN ANTIOQUIA"/>
    <x v="10"/>
    <x v="21"/>
    <s v="TRADITIONAL"/>
    <x v="2"/>
    <s v="ANTIOQUIA"/>
    <x v="2"/>
    <s v="LOPEZ PALACIO PABLO EMILIO"/>
    <s v="ROMERO ARENAS DANNY MAURICIO"/>
    <x v="17"/>
    <x v="6"/>
    <n v="1"/>
    <n v="0.5"/>
    <d v="2025-08-13T00:00:00"/>
    <d v="2025-08-13T00:00:00"/>
    <n v="14"/>
    <s v="12-24 Months"/>
    <s v="C"/>
    <s v="C"/>
    <x v="1"/>
    <n v="3102684721"/>
    <s v="OK LINEA"/>
    <s v="NO"/>
    <d v="1999-04-09T00:00:00"/>
    <n v="27"/>
    <s v="MASCULINO"/>
  </r>
  <r>
    <x v="0"/>
    <x v="0"/>
    <x v="0"/>
    <s v="2971397"/>
    <s v="GUEDEZ VICTOR"/>
    <x v="1"/>
    <x v="1"/>
    <x v="2"/>
    <s v="C813_00000000004338"/>
    <x v="117"/>
    <s v="CALLE 50 # 53-59 MEDELLIN ANTIOQUIA"/>
    <x v="10"/>
    <x v="21"/>
    <s v="TRADITIONAL"/>
    <x v="2"/>
    <s v="ANTIOQUIA"/>
    <x v="2"/>
    <s v="LOPEZ PALACIO PABLO EMILIO"/>
    <s v="ROMERO ARENAS DANNY MAURICIO"/>
    <x v="17"/>
    <x v="6"/>
    <n v="0"/>
    <n v="0.5"/>
    <d v="2025-08-13T00:00:00"/>
    <d v="2025-08-13T00:00:00"/>
    <n v="14"/>
    <s v="12-24 Months"/>
    <s v="C"/>
    <s v="C"/>
    <x v="1"/>
    <n v="3102684721"/>
    <s v="OK LINEA"/>
    <s v="NO"/>
    <d v="1999-04-09T00:00:00"/>
    <n v="27"/>
    <s v="MASCULINO"/>
  </r>
  <r>
    <x v="0"/>
    <x v="0"/>
    <x v="0"/>
    <s v="1031153183"/>
    <s v="OJEDA ACUÑA KEVIN JOSEPH "/>
    <x v="1"/>
    <x v="1"/>
    <x v="2"/>
    <s v="C813_00000000000283"/>
    <x v="118"/>
    <s v="CARRERA 30 N ° 10-25 BOGOTA"/>
    <x v="1"/>
    <x v="2"/>
    <s v="HIPERMERCADO"/>
    <x v="0"/>
    <s v="CUNDINAMARCA"/>
    <x v="0"/>
    <s v="PEÑA GARCIA JOINER ALEXIS"/>
    <s v="PASTUSO ACHICUE CLAUDIA PATRICIA"/>
    <x v="6"/>
    <x v="1"/>
    <n v="1"/>
    <n v="1"/>
    <d v="2025-03-25T00:00:00"/>
    <d v="2025-03-25T00:00:00"/>
    <n v="18"/>
    <s v="12-24 Months"/>
    <s v="B"/>
    <s v="B"/>
    <x v="1"/>
    <n v="3102072665"/>
    <s v="OK LINEA"/>
    <s v="SI"/>
    <d v="1994-05-06T00:00:00"/>
    <n v="32"/>
    <s v="MASCULINO"/>
  </r>
  <r>
    <x v="0"/>
    <x v="0"/>
    <x v="0"/>
    <s v="1005975965"/>
    <s v="OCAMPO OCAÑA MIGUEL ANGEL"/>
    <x v="1"/>
    <x v="1"/>
    <x v="2"/>
    <s v="C813_00000000005057"/>
    <x v="119"/>
    <s v="CRA 121 # 18-34 CALI VALLE DEL CAUCA"/>
    <x v="9"/>
    <x v="20"/>
    <s v="HIPERMERCADO"/>
    <x v="4"/>
    <s v="VALLE DEL CAUCA"/>
    <x v="4"/>
    <s v="ALVAREZ LONDOÑO JOHNNY"/>
    <s v="ROMERO ARENAS DANNY MAURICIO"/>
    <x v="5"/>
    <x v="4"/>
    <n v="1"/>
    <n v="0.5"/>
    <d v="2025-01-02T00:00:00"/>
    <d v="2022-07-14T00:00:00"/>
    <n v="51"/>
    <s v="+24 Mounths"/>
    <s v="D"/>
    <s v="D"/>
    <x v="0"/>
    <n v="3102623421"/>
    <s v="OK LINEA"/>
    <s v="NO"/>
    <d v="2000-05-28T00:00:00"/>
    <n v="26"/>
    <s v="MASCULINO"/>
  </r>
  <r>
    <x v="0"/>
    <x v="0"/>
    <x v="0"/>
    <s v="1005975965"/>
    <s v="OCAMPO OCAÑA MIGUEL ANGEL"/>
    <x v="1"/>
    <x v="1"/>
    <x v="2"/>
    <s v="C813_00000000005058"/>
    <x v="120"/>
    <s v="CALLE 64N # 5BN - 183 MENGA CALI VALLE DEL CAUCA"/>
    <x v="9"/>
    <x v="20"/>
    <s v="HIPERMERCADO"/>
    <x v="4"/>
    <s v="VALLE DEL CAUCA"/>
    <x v="4"/>
    <s v="ALVAREZ LONDOÑO JOHNNY"/>
    <s v="ROMERO ARENAS DANNY MAURICIO"/>
    <x v="5"/>
    <x v="4"/>
    <n v="0"/>
    <n v="0.5"/>
    <d v="2025-01-02T00:00:00"/>
    <d v="2022-07-14T00:00:00"/>
    <n v="51"/>
    <s v="+24 Mounths"/>
    <s v="D"/>
    <s v="D"/>
    <x v="0"/>
    <n v="3102623421"/>
    <s v="OK LINEA"/>
    <s v="NO"/>
    <d v="2000-05-28T00:00:00"/>
    <n v="26"/>
    <s v="MASCULINO"/>
  </r>
  <r>
    <x v="0"/>
    <x v="0"/>
    <x v="0"/>
    <s v="1068815010"/>
    <s v="NORIEGA TAPIA LUIS JOSE"/>
    <x v="1"/>
    <x v="1"/>
    <x v="2"/>
    <s v="C813_00000000000714"/>
    <x v="111"/>
    <s v="CALLE 48 # 13-14  MONTERIA"/>
    <x v="2"/>
    <x v="3"/>
    <s v="HIPERMERCADO"/>
    <x v="25"/>
    <s v="CORDOBA"/>
    <x v="3"/>
    <s v="PRENT SAMPAYO ANDERSON GUILLERMO"/>
    <s v="GRANADOS NAVARRO YEFERSON ORLANDO"/>
    <x v="4"/>
    <x v="2"/>
    <n v="1"/>
    <n v="1"/>
    <d v="2025-01-02T00:00:00"/>
    <d v="2021-12-16T00:00:00"/>
    <n v="58"/>
    <s v="+24 Mounths"/>
    <s v="B"/>
    <s v="B"/>
    <x v="0"/>
    <n v="3102638248"/>
    <s v="OK LINEA"/>
    <s v="SI"/>
    <d v="1991-02-27T00:00:00"/>
    <n v="35"/>
    <s v="MASCULINO"/>
  </r>
  <r>
    <x v="0"/>
    <x v="0"/>
    <x v="4"/>
    <s v="1104700370"/>
    <s v="TORO JUAN DAVID"/>
    <x v="1"/>
    <x v="1"/>
    <x v="2"/>
    <s v="C813_00000000000020"/>
    <x v="33"/>
    <s v="CRA 5 # 80-60 IBAGUE TOLIMA"/>
    <x v="2"/>
    <x v="3"/>
    <s v="HIPERMERCADO"/>
    <x v="12"/>
    <s v="TOLIMA"/>
    <x v="7"/>
    <s v="PEÑA GARCIA JOINER ALEXIS"/>
    <s v="PASTUSO ACHICUE CLAUDIA PATRICIA"/>
    <x v="13"/>
    <x v="2"/>
    <n v="1"/>
    <n v="1"/>
    <d v="2026-08-01T00:00:00"/>
    <d v="2026-08-01T00:00:00"/>
    <n v="2"/>
    <s v="-3 Months"/>
    <s v="A"/>
    <s v="A"/>
    <x v="1"/>
    <s v="SIN ASIGNAR"/>
    <s v="SIN ASIGNAR"/>
    <s v="SI"/>
    <d v="2007-04-05T00:00:00"/>
    <n v="19"/>
    <s v="MASCULINO"/>
  </r>
  <r>
    <x v="0"/>
    <x v="0"/>
    <x v="0"/>
    <s v="1026598620"/>
    <s v="VALERA MILLER"/>
    <x v="1"/>
    <x v="1"/>
    <x v="2"/>
    <s v="C813_00000000000936"/>
    <x v="14"/>
    <s v="AV CRA 27 # 38A-83 SUR LOCALES 13 14 15 16 Y 17 BOGOTA"/>
    <x v="1"/>
    <x v="1"/>
    <s v="HIPERMERCADO"/>
    <x v="0"/>
    <s v="CUNDINAMARCA"/>
    <x v="0"/>
    <s v="PEÑA GARCIA JOINER ALEXIS"/>
    <s v="PASTUSO ACHICUE CLAUDIA PATRICIA"/>
    <x v="6"/>
    <x v="1"/>
    <n v="1"/>
    <n v="1"/>
    <d v="2025-08-28T00:00:00"/>
    <d v="2025-08-28T00:00:00"/>
    <n v="13"/>
    <s v="12-24 Months"/>
    <s v="D"/>
    <s v="B"/>
    <x v="1"/>
    <s v="SIN ASIGNAR"/>
    <s v="SIN ASIGNAR"/>
    <s v="SI"/>
    <d v="1999-09-06T00:00:00"/>
    <n v="27"/>
    <s v="MASCULINO"/>
  </r>
  <r>
    <x v="0"/>
    <x v="0"/>
    <x v="0"/>
    <s v="1193589535"/>
    <s v="MURIEL CARMONA JHON ALEJANDRO "/>
    <x v="1"/>
    <x v="1"/>
    <x v="2"/>
    <s v="C813_00000000000745"/>
    <x v="121"/>
    <s v="CALLE 51 SUR # 48-57-SABANETA LOC # 2199-2201 MEDELLIN ANTIOQUIA"/>
    <x v="1"/>
    <x v="10"/>
    <s v="HIPERMERCADO"/>
    <x v="17"/>
    <s v="ANTIOQUIA"/>
    <x v="2"/>
    <s v="LOPEZ PALACIO PABLO EMILIO"/>
    <s v="ROMERO ARENAS DANNY MAURICIO"/>
    <x v="3"/>
    <x v="1"/>
    <n v="1"/>
    <n v="1"/>
    <d v="2025-01-08T00:00:00"/>
    <d v="2025-01-08T00:00:00"/>
    <n v="21"/>
    <s v="12-24 Months"/>
    <s v="C"/>
    <s v="B"/>
    <x v="0"/>
    <n v="3102683406"/>
    <s v="OK LINEA"/>
    <s v="SI"/>
    <d v="2003-08-03T00:00:00"/>
    <n v="23"/>
    <s v="MASCULINO"/>
  </r>
  <r>
    <x v="0"/>
    <x v="0"/>
    <x v="0"/>
    <s v="1006051773"/>
    <s v="ACEVEDO GIL JHONATAN"/>
    <x v="1"/>
    <x v="1"/>
    <x v="2"/>
    <s v="C813_00000000000744"/>
    <x v="80"/>
    <s v="CRA 3 # 52-126 CC UNICO LOCAL 10-07 CALI VALLE DEL CAUCA"/>
    <x v="1"/>
    <x v="10"/>
    <s v="HIPERMERCADO"/>
    <x v="4"/>
    <s v="VALLE DEL CAUCA"/>
    <x v="4"/>
    <s v="ALVAREZ LONDOÑO JOHNNY"/>
    <s v="ROMERO ARENAS DANNY MAURICIO"/>
    <x v="5"/>
    <x v="1"/>
    <n v="1"/>
    <n v="1"/>
    <d v="2025-01-02T00:00:00"/>
    <d v="2024-07-15T00:00:00"/>
    <n v="27"/>
    <s v="+24 Mounths"/>
    <s v="B"/>
    <s v="B"/>
    <x v="0"/>
    <n v="3102620954"/>
    <s v="OK LINEA"/>
    <s v="SI"/>
    <d v="2002-10-06T00:00:00"/>
    <n v="24"/>
    <s v="MASCULINO"/>
  </r>
  <r>
    <x v="0"/>
    <x v="0"/>
    <x v="0"/>
    <s v="1085107910"/>
    <s v="ORTEGA OROZCO JULIO CESAR"/>
    <x v="1"/>
    <x v="1"/>
    <x v="2"/>
    <s v="C813_00000000005388"/>
    <x v="6"/>
    <s v="CL 98 #51B -91 BARRANQUILLA - ATLANTICO"/>
    <x v="1"/>
    <x v="2"/>
    <s v="HIPERMERCADO"/>
    <x v="3"/>
    <s v="ATLANTICO"/>
    <x v="3"/>
    <s v="PRENT SAMPAYO ANDERSON GUILLERMO"/>
    <s v="GRANADOS NAVARRO YEFERSON ORLANDO"/>
    <x v="4"/>
    <x v="1"/>
    <n v="1"/>
    <n v="1"/>
    <d v="2025-10-10T00:00:00"/>
    <d v="2025-10-10T00:00:00"/>
    <n v="12"/>
    <s v="12-24 Months"/>
    <s v="A"/>
    <s v="A"/>
    <x v="1"/>
    <n v="3102630780"/>
    <s v="SIN ASIGNAR"/>
    <s v="SI"/>
    <d v="1989-01-08T00:00:00"/>
    <n v="37"/>
    <s v="MASCULINO"/>
  </r>
  <r>
    <x v="0"/>
    <x v="0"/>
    <x v="0"/>
    <s v="1061712737"/>
    <s v="MUÑOZ BAHOS JHON ALEJANDRO"/>
    <x v="1"/>
    <x v="1"/>
    <x v="2"/>
    <s v="C813_00000000000312"/>
    <x v="122"/>
    <s v="CRA 9 # 24A -21 POPAYAN CAUCA"/>
    <x v="4"/>
    <x v="5"/>
    <s v="HIPERMERCADO"/>
    <x v="26"/>
    <s v="CAUCA"/>
    <x v="4"/>
    <s v="ALVAREZ LONDOÑO JOHNNY"/>
    <s v="ROMERO ARENAS DANNY MAURICIO"/>
    <x v="5"/>
    <x v="3"/>
    <n v="1"/>
    <n v="1"/>
    <d v="2026-05-14T00:00:00"/>
    <d v="2026-05-14T00:00:00"/>
    <n v="5"/>
    <s v="3-6 Months"/>
    <s v="A"/>
    <s v="D"/>
    <x v="1"/>
    <s v="SIN ASIGNAR"/>
    <s v="SIN ASIGNAR"/>
    <s v="SI"/>
    <d v="1988-10-17T00:00:00"/>
    <n v="37"/>
    <s v="MASCULINO"/>
  </r>
  <r>
    <x v="0"/>
    <x v="0"/>
    <x v="0"/>
    <s v="1030643462"/>
    <s v="CASTRO PARADA JAIME ANDRES"/>
    <x v="1"/>
    <x v="1"/>
    <x v="2"/>
    <s v="C813_00000000000282"/>
    <x v="17"/>
    <s v="AK 68 # 72-43 BOGOTA"/>
    <x v="1"/>
    <x v="2"/>
    <s v="HIPERMERCADO"/>
    <x v="0"/>
    <s v="CUNDINAMARCA"/>
    <x v="0"/>
    <s v="PEÑA GARCIA JOINER ALEXIS"/>
    <s v="PASTUSO ACHICUE CLAUDIA PATRICIA"/>
    <x v="1"/>
    <x v="1"/>
    <n v="1"/>
    <n v="1"/>
    <d v="2025-01-02T00:00:00"/>
    <d v="2024-07-11T00:00:00"/>
    <n v="27"/>
    <s v="+24 Mounths"/>
    <s v="A"/>
    <s v="A"/>
    <x v="0"/>
    <n v="3102678872"/>
    <s v="OK LINEA"/>
    <s v="SI"/>
    <d v="1994-08-13T00:00:00"/>
    <n v="32"/>
    <s v="MASCULINO"/>
  </r>
  <r>
    <x v="0"/>
    <x v="0"/>
    <x v="0"/>
    <s v="1018346182"/>
    <s v="FONNEGRA SEPULVEDA KATERINE"/>
    <x v="1"/>
    <x v="1"/>
    <x v="2"/>
    <s v="C813_00000000000032"/>
    <x v="75"/>
    <s v="CRA 66 No 49 - 01 MEDELLIN ANTIOQUIA"/>
    <x v="2"/>
    <x v="3"/>
    <s v="HIPERMERCADO"/>
    <x v="2"/>
    <s v="ANTIOQUIA"/>
    <x v="2"/>
    <s v="LOPEZ PALACIO PABLO EMILIO"/>
    <s v="ROMERO ARENAS DANNY MAURICIO"/>
    <x v="3"/>
    <x v="2"/>
    <n v="1"/>
    <n v="1"/>
    <d v="2025-05-15T00:00:00"/>
    <d v="2025-05-15T00:00:00"/>
    <n v="17"/>
    <s v="12-24 Months"/>
    <s v="A"/>
    <s v="A"/>
    <x v="1"/>
    <n v="3102673233"/>
    <s v="OK LINEA"/>
    <s v="SI"/>
    <d v="1991-04-26T00:00:00"/>
    <n v="35"/>
    <s v="FEMENINO"/>
  </r>
  <r>
    <x v="1"/>
    <x v="0"/>
    <x v="4"/>
    <s v="9"/>
    <s v="VACANTE"/>
    <x v="1"/>
    <x v="1"/>
    <x v="1"/>
    <s v="ALKOSTO_0015"/>
    <x v="123"/>
    <s v="NIVEL 2, PASILLO H&amp;M. CENTRO COMERCIAL MALL PLAZA AVENIDA PEDRO DE HEREDIA 13, CARTAGENA DE INDIAS, B"/>
    <x v="1"/>
    <x v="1"/>
    <s v="HIPERMERCADO"/>
    <x v="31"/>
    <s v="BOLIVAR"/>
    <x v="3"/>
    <s v="PRENT SAMPAYO ANDERSON GUILLERMO"/>
    <s v="GRANADOS NAVARRO YEFERSON ORLANDO"/>
    <x v="4"/>
    <x v="1"/>
    <n v="1"/>
    <n v="1"/>
    <s v="VACANTE"/>
    <s v="NO APLICA"/>
    <s v="NO APLICA"/>
    <s v="NO APLICA"/>
    <s v="D"/>
    <s v="D"/>
    <x v="2"/>
    <s v="VACANTE"/>
    <s v="VACANTE"/>
    <s v="NO"/>
    <s v="VACANTE"/>
    <s v="VACANTE"/>
    <s v="VACANTE"/>
  </r>
  <r>
    <x v="0"/>
    <x v="0"/>
    <x v="0"/>
    <s v="1047390589"/>
    <s v="MARTINEZ MILEIDYS"/>
    <x v="1"/>
    <x v="1"/>
    <x v="2"/>
    <s v="ALKOSTO_0015"/>
    <x v="123"/>
    <s v="NIVEL 2, PASILLO H&amp;M. CENTRO COMERCIAL MALL PLAZA AVENIDA PEDRO DE HEREDIA 13, CARTAGENA DE INDIAS, B"/>
    <x v="1"/>
    <x v="1"/>
    <s v="HIPERMERCADO"/>
    <x v="31"/>
    <s v="BOLIVAR"/>
    <x v="3"/>
    <s v="PRENT SAMPAYO ANDERSON GUILLERMO"/>
    <s v="GRANADOS NAVARRO YEFERSON ORLANDO"/>
    <x v="4"/>
    <x v="1"/>
    <n v="1"/>
    <n v="1"/>
    <d v="2026-08-06T00:00:00"/>
    <d v="2026-08-06T00:00:00"/>
    <n v="2"/>
    <s v="-3 Months"/>
    <s v="D"/>
    <s v="D"/>
    <x v="1"/>
    <s v="SIN ASIGNAR"/>
    <s v="SIN ASIGNAR"/>
    <s v="NO"/>
    <d v="1987-06-24T00:00:00"/>
    <n v="39"/>
    <s v="FEMENINO"/>
  </r>
  <r>
    <x v="0"/>
    <x v="0"/>
    <x v="0"/>
    <s v="1050951973"/>
    <s v="MOSCOTE ALVAREZ JOHN JAIRO"/>
    <x v="1"/>
    <x v="1"/>
    <x v="2"/>
    <s v="C813_00000000000722"/>
    <x v="124"/>
    <s v="AV PEDRO DE HEREDIA SECTOR VILLA SANDRA # 30-14 CARTAGENA DE INDIAS BOLIVAR"/>
    <x v="2"/>
    <x v="3"/>
    <s v="HIPERMERCADO"/>
    <x v="31"/>
    <s v="BOLIVAR"/>
    <x v="3"/>
    <s v="PRENT SAMPAYO ANDERSON GUILLERMO"/>
    <s v="GRANADOS NAVARRO YEFERSON ORLANDO"/>
    <x v="4"/>
    <x v="2"/>
    <n v="1"/>
    <n v="1"/>
    <d v="2025-01-02T00:00:00"/>
    <d v="2022-06-02T00:00:00"/>
    <n v="52"/>
    <s v="+24 Mounths"/>
    <s v="B"/>
    <s v="B"/>
    <x v="0"/>
    <n v="3102688473"/>
    <s v="OK LINEA"/>
    <s v="SI"/>
    <d v="1989-02-19T00:00:00"/>
    <n v="37"/>
    <s v="MASCULINO"/>
  </r>
  <r>
    <x v="0"/>
    <x v="0"/>
    <x v="0"/>
    <s v="1122920879"/>
    <s v="USECHE HIDALGO JINJANI"/>
    <x v="1"/>
    <x v="1"/>
    <x v="2"/>
    <s v="C813_00000000000288"/>
    <x v="57"/>
    <s v="CALLE 19 # 28 - 89 PASTO NARIÑO"/>
    <x v="8"/>
    <x v="11"/>
    <s v="TRADITIONAL"/>
    <x v="14"/>
    <s v="NARIÑO"/>
    <x v="8"/>
    <s v="ALVAREZ LONDOÑO JOHNNY"/>
    <s v="ROMERO ARENAS DANNY MAURICIO"/>
    <x v="15"/>
    <x v="6"/>
    <n v="1"/>
    <n v="1"/>
    <d v="2026-08-19T00:00:00"/>
    <d v="2026-08-19T00:00:00"/>
    <n v="1"/>
    <s v="-3 Months"/>
    <s v="B"/>
    <s v="B"/>
    <x v="1"/>
    <s v="SIN ASIGNAR"/>
    <s v="SIN ASIGNAR"/>
    <s v="SI"/>
    <d v="2005-02-02T00:00:00"/>
    <n v="21"/>
    <s v="FEMENINO"/>
  </r>
  <r>
    <x v="0"/>
    <x v="0"/>
    <x v="0"/>
    <s v="1016011500"/>
    <s v="LANCHEROS PADILLA MARÍA VALENTINA"/>
    <x v="1"/>
    <x v="1"/>
    <x v="2"/>
    <s v="C813_00000000007428"/>
    <x v="125"/>
    <s v="DIAGONAL 3 #14A-16 MOSQUERA, CUNDINAMARCA"/>
    <x v="1"/>
    <x v="2"/>
    <s v="HIPERMERCADO"/>
    <x v="32"/>
    <s v="CUNDINAMARCA"/>
    <x v="0"/>
    <s v="PEÑA GARCIA JOINER ALEXIS"/>
    <s v="PASTUSO ACHICUE CLAUDIA PATRICIA"/>
    <x v="6"/>
    <x v="1"/>
    <n v="1"/>
    <n v="1"/>
    <d v="2026-08-21T00:00:00"/>
    <d v="2026-08-21T00:00:00"/>
    <n v="1"/>
    <s v="-3 Months"/>
    <s v="B"/>
    <s v="B"/>
    <x v="1"/>
    <s v="SIN ASIGNAR"/>
    <s v="SIN ASIGNAR"/>
    <s v="SI"/>
    <d v="2006-08-06T00:00:00"/>
    <n v="20"/>
    <s v="FEMENINO"/>
  </r>
  <r>
    <x v="0"/>
    <x v="0"/>
    <x v="4"/>
    <s v="1019017366"/>
    <s v="PULIDO PEÑA ANDRES FELIPE"/>
    <x v="1"/>
    <x v="1"/>
    <x v="2"/>
    <s v="C813_00000000000283"/>
    <x v="118"/>
    <s v="CARRERA 30 N ° 10-25 BOGOTA"/>
    <x v="1"/>
    <x v="2"/>
    <s v="HIPERMERCADO"/>
    <x v="0"/>
    <s v="CUNDINAMARCA"/>
    <x v="0"/>
    <s v="PEÑA GARCIA JOINER ALEXIS"/>
    <s v="PASTUSO ACHICUE CLAUDIA PATRICIA"/>
    <x v="6"/>
    <x v="1"/>
    <n v="1"/>
    <n v="1"/>
    <d v="2026-03-24T00:00:00"/>
    <d v="2026-03-24T00:00:00"/>
    <n v="6"/>
    <s v="6-9 Months"/>
    <s v="B"/>
    <s v="B"/>
    <x v="1"/>
    <s v="SIN ASIGNAR"/>
    <s v="SIN ASIGNAR"/>
    <s v="SI"/>
    <d v="2005-08-12T00:00:00"/>
    <n v="21"/>
    <s v="MASCULINO"/>
  </r>
  <r>
    <x v="0"/>
    <x v="0"/>
    <x v="0"/>
    <s v="1075255914"/>
    <s v="MORALES BETANCOURTH LEONARDO"/>
    <x v="1"/>
    <x v="1"/>
    <x v="2"/>
    <s v="C813_00000000004946"/>
    <x v="126"/>
    <s v="CRA 16 # 41-10 CENTRO COMERCIAL SAN JUAN PLAZA"/>
    <x v="1"/>
    <x v="10"/>
    <s v="HIPERMERCADO"/>
    <x v="29"/>
    <s v="HUILA"/>
    <x v="7"/>
    <s v="PEÑA GARCIA JOINER ALEXIS"/>
    <s v="PASTUSO ACHICUE CLAUDIA PATRICIA"/>
    <x v="13"/>
    <x v="1"/>
    <n v="1"/>
    <n v="1"/>
    <d v="2025-01-02T00:00:00"/>
    <d v="2021-05-08T00:00:00"/>
    <n v="65"/>
    <s v="+24 Mounths"/>
    <s v="C"/>
    <s v="B"/>
    <x v="0"/>
    <n v="3102680374"/>
    <s v="OK LINEA"/>
    <s v="SI"/>
    <d v="1991-08-26T00:00:00"/>
    <n v="35"/>
    <s v="MASCULINO"/>
  </r>
  <r>
    <x v="0"/>
    <x v="0"/>
    <x v="0"/>
    <s v="1087419262"/>
    <s v="MORA NATIB DIEGO FERNANDO"/>
    <x v="1"/>
    <x v="1"/>
    <x v="2"/>
    <s v="C813_00000000000290"/>
    <x v="127"/>
    <s v="CRA 13 # 20-50"/>
    <x v="8"/>
    <x v="11"/>
    <s v="TRADITIONAL"/>
    <x v="33"/>
    <s v="NARIÑO"/>
    <x v="8"/>
    <s v="ALVAREZ LONDOÑO JOHNNY"/>
    <s v="ROMERO ARENAS DANNY MAURICIO"/>
    <x v="15"/>
    <x v="6"/>
    <n v="1"/>
    <n v="1"/>
    <d v="2025-01-02T00:00:00"/>
    <d v="2022-03-11T00:00:00"/>
    <n v="55"/>
    <s v="+24 Mounths"/>
    <s v="A"/>
    <s v="A"/>
    <x v="0"/>
    <n v="3102640139"/>
    <s v="OK LINEA"/>
    <s v="NO"/>
    <d v="1993-07-20T00:00:00"/>
    <n v="33"/>
    <s v="MASCULINO"/>
  </r>
  <r>
    <x v="0"/>
    <x v="0"/>
    <x v="0"/>
    <s v="71737972"/>
    <s v="MONTOYA POSADA HUGO ARMANDO"/>
    <x v="1"/>
    <x v="1"/>
    <x v="2"/>
    <s v="C813_00000000000098"/>
    <x v="128"/>
    <s v="CALLE 10 # 43E-135 MEDELLIN ANTIOQUIA"/>
    <x v="2"/>
    <x v="3"/>
    <s v="HIPERMERCADO"/>
    <x v="2"/>
    <s v="ANTIOQUIA"/>
    <x v="2"/>
    <s v="LOPEZ PALACIO PABLO EMILIO"/>
    <s v="ROMERO ARENAS DANNY MAURICIO"/>
    <x v="3"/>
    <x v="2"/>
    <n v="1"/>
    <n v="1"/>
    <d v="2025-10-07T00:00:00"/>
    <d v="2025-10-07T00:00:00"/>
    <n v="12"/>
    <s v="12-24 Months"/>
    <s v="A"/>
    <s v="A"/>
    <x v="1"/>
    <n v="3102614853"/>
    <s v="OK LINEA"/>
    <s v="SI"/>
    <d v="1972-01-02T00:00:00"/>
    <n v="54"/>
    <s v="MASCULINO"/>
  </r>
  <r>
    <x v="0"/>
    <x v="0"/>
    <x v="0"/>
    <s v="1023624162"/>
    <s v="MONTOYA OCAMPO JUAN DAVID"/>
    <x v="1"/>
    <x v="1"/>
    <x v="2"/>
    <s v="C813_00000000000301"/>
    <x v="129"/>
    <s v="CARRERA 65 # 45-85 MEDELLIN, ANTIOQUIA"/>
    <x v="4"/>
    <x v="5"/>
    <s v="HIPERMERCADO"/>
    <x v="2"/>
    <s v="ANTIOQUIA"/>
    <x v="2"/>
    <s v="LOPEZ PALACIO PABLO EMILIO"/>
    <s v="ROMERO ARENAS DANNY MAURICIO"/>
    <x v="17"/>
    <x v="3"/>
    <n v="1"/>
    <n v="1"/>
    <d v="2026-03-12T00:00:00"/>
    <d v="2026-03-12T00:00:00"/>
    <n v="7"/>
    <s v="6-9 Months"/>
    <s v="A"/>
    <s v="A"/>
    <x v="1"/>
    <s v="SIN ASIGNAR"/>
    <s v="SIN ASIGNAR"/>
    <s v="SI"/>
    <d v="2004-08-20T00:00:00"/>
    <n v="22"/>
    <s v="MASCULINO"/>
  </r>
  <r>
    <x v="0"/>
    <x v="0"/>
    <x v="0"/>
    <s v="1022333605"/>
    <s v="BECERRA LESMES RONAL EDWIN"/>
    <x v="1"/>
    <x v="1"/>
    <x v="2"/>
    <s v="C813_00000000000291"/>
    <x v="2"/>
    <s v="CARRERA  68 B # 25B-80 BOGOTA CUNDINAMARCA"/>
    <x v="1"/>
    <x v="1"/>
    <s v="HIPERMERCADO"/>
    <x v="0"/>
    <s v="CUNDINAMARCA"/>
    <x v="0"/>
    <s v="PEÑA GARCIA JOINER ALEXIS"/>
    <s v="PASTUSO ACHICUE CLAUDIA PATRICIA"/>
    <x v="1"/>
    <x v="1"/>
    <n v="1"/>
    <n v="1"/>
    <d v="2026-05-19T00:00:00"/>
    <d v="2026-05-19T00:00:00"/>
    <n v="4"/>
    <s v="3-6 Months"/>
    <s v="C"/>
    <s v="A"/>
    <x v="1"/>
    <s v="SIN ASIGNAR"/>
    <s v="SIN ASIGNAR"/>
    <s v="SI"/>
    <d v="1986-09-12T00:00:00"/>
    <n v="40"/>
    <s v="MASCULINO"/>
  </r>
  <r>
    <x v="0"/>
    <x v="0"/>
    <x v="0"/>
    <s v="94476893"/>
    <s v="MONCAYO MODESTO MIGUEL ANDRÉS"/>
    <x v="1"/>
    <x v="1"/>
    <x v="2"/>
    <s v="C813_00000000000351"/>
    <x v="130"/>
    <s v="CALLE 6 # 2-31 BUGALAGRANDE VALLE DEL CAUCA"/>
    <x v="4"/>
    <x v="5"/>
    <s v="HIPERMERCADO"/>
    <x v="34"/>
    <s v="VALLE DEL CAUCA"/>
    <x v="4"/>
    <s v="ALVAREZ LONDOÑO JOHNNY"/>
    <s v="ROMERO ARENAS DANNY MAURICIO"/>
    <x v="5"/>
    <x v="3"/>
    <n v="1"/>
    <n v="1"/>
    <d v="2025-08-28T00:00:00"/>
    <d v="2025-08-28T00:00:00"/>
    <n v="13"/>
    <s v="12-24 Months"/>
    <s v="A"/>
    <s v="C"/>
    <x v="1"/>
    <n v="3102663046"/>
    <s v="OK LINEA"/>
    <s v="NO"/>
    <d v="1981-06-19T00:00:00"/>
    <n v="45"/>
    <s v="MASCULINO"/>
  </r>
  <r>
    <x v="0"/>
    <x v="0"/>
    <x v="0"/>
    <s v="1088825928"/>
    <s v="MUÑOZ BECERRA JUAN FERNANDO"/>
    <x v="1"/>
    <x v="1"/>
    <x v="2"/>
    <s v="C813_00000000004400"/>
    <x v="131"/>
    <s v="CRA 16 # 24-02 LOCAL 15 CENTRO COMERCIAL ÚNICO DOSQUEBRADAS"/>
    <x v="1"/>
    <x v="10"/>
    <s v="HIPERMERCADO"/>
    <x v="35"/>
    <s v="RISARALDA"/>
    <x v="5"/>
    <s v="ALVAREZ LONDOÑO JOHNNY"/>
    <s v="ROMERO ARENAS DANNY MAURICIO"/>
    <x v="7"/>
    <x v="1"/>
    <n v="1"/>
    <n v="1"/>
    <d v="2026-10-05T00:00:00"/>
    <d v="2026-10-05T00:00:00"/>
    <n v="0"/>
    <s v="-3 Months"/>
    <s v="C"/>
    <s v="D"/>
    <x v="1"/>
    <s v="SIN ASIGNAR"/>
    <s v="SIN ASIGNAR"/>
    <s v="SI"/>
    <s v="VACANTE"/>
    <s v="VACANTE"/>
    <s v="VACANTE"/>
  </r>
  <r>
    <x v="0"/>
    <x v="0"/>
    <x v="4"/>
    <s v="1005332649"/>
    <s v="PINZON YEILY ALEJANDRA"/>
    <x v="1"/>
    <x v="1"/>
    <x v="2"/>
    <s v="C813_00000000000726"/>
    <x v="132"/>
    <s v="CRA 16 CON CALLE 103 CC COMERCIAL UNICO LOCAL 231 BARRIO FONTANAR"/>
    <x v="1"/>
    <x v="10"/>
    <s v="HIPERMERCADO"/>
    <x v="1"/>
    <s v="SANTANDER"/>
    <x v="1"/>
    <s v="LOPEZ PALACIO PABLO EMILIO"/>
    <s v="GRANADOS NAVARRO YEFERSON ORLANDO"/>
    <x v="2"/>
    <x v="1"/>
    <n v="1"/>
    <n v="1"/>
    <d v="2026-08-01T00:00:00"/>
    <d v="2026-08-01T00:00:00"/>
    <n v="2"/>
    <s v="-3 Months"/>
    <s v="D"/>
    <s v="D"/>
    <x v="1"/>
    <s v="SIN ASIGNAR"/>
    <s v="SIN ASIGNAR"/>
    <s v="SI"/>
    <d v="2003-08-15T00:00:00"/>
    <n v="23"/>
    <s v="FEMENINO"/>
  </r>
  <r>
    <x v="0"/>
    <x v="0"/>
    <x v="0"/>
    <s v="1019116622"/>
    <s v="MOLINA MAURO JOSÉ"/>
    <x v="1"/>
    <x v="1"/>
    <x v="2"/>
    <s v="SED_0019"/>
    <x v="133"/>
    <s v="CARRERA 15 10051, USAQUÉN"/>
    <x v="3"/>
    <x v="4"/>
    <s v="TRADITIONAL"/>
    <x v="0"/>
    <s v="CUNDINAMARCA"/>
    <x v="0"/>
    <s v="GAVIRIA FERRO DIEGO MAURICIO"/>
    <s v="PASTUSO ACHICUE CLAUDIA PATRICIA"/>
    <x v="10"/>
    <x v="3"/>
    <n v="1"/>
    <n v="1"/>
    <d v="2026-03-03T00:00:00"/>
    <d v="2026-03-03T00:00:00"/>
    <n v="7"/>
    <s v="6-9 Months"/>
    <s v="NO DATA"/>
    <s v="NO DATA"/>
    <x v="1"/>
    <s v="SIN ASIGNAR"/>
    <s v="SIN ASIGNAR"/>
    <s v="NO"/>
    <d v="1996-02-16T00:00:00"/>
    <n v="30"/>
    <s v="MASCULINO"/>
  </r>
  <r>
    <x v="0"/>
    <x v="0"/>
    <x v="0"/>
    <s v="1096184465"/>
    <s v="MOJICA CARDONA JHON ROMAN"/>
    <x v="1"/>
    <x v="1"/>
    <x v="2"/>
    <s v="C813_00000000001237"/>
    <x v="134"/>
    <s v="DIAG 56 # 18A-88 BARRANCABERMEJA SANTANDER"/>
    <x v="1"/>
    <x v="10"/>
    <s v="HIPERMERCADO"/>
    <x v="36"/>
    <s v="SANTANDER"/>
    <x v="1"/>
    <s v="LOPEZ PALACIO PABLO EMILIO"/>
    <s v="GRANADOS NAVARRO YEFERSON ORLANDO"/>
    <x v="2"/>
    <x v="1"/>
    <n v="1"/>
    <n v="1"/>
    <d v="2025-01-11T00:00:00"/>
    <d v="2025-01-11T00:00:00"/>
    <n v="21"/>
    <s v="12-24 Months"/>
    <s v="C"/>
    <s v="B"/>
    <x v="1"/>
    <n v="3102632565"/>
    <s v="OK LINEA"/>
    <s v="SI"/>
    <d v="1986-08-02T00:00:00"/>
    <n v="40"/>
    <s v="MASCULINO"/>
  </r>
  <r>
    <x v="0"/>
    <x v="0"/>
    <x v="0"/>
    <s v="1067843713"/>
    <s v="MENDOZA VELASQUEZ EDWIN RAFAEL"/>
    <x v="1"/>
    <x v="1"/>
    <x v="2"/>
    <s v="C813_00000000000431"/>
    <x v="135"/>
    <s v="CALLE 50 # 51-87 MEDELLIN ANTIOQUIA"/>
    <x v="10"/>
    <x v="22"/>
    <s v="TRADITIONAL"/>
    <x v="2"/>
    <s v="ANTIOQUIA"/>
    <x v="2"/>
    <s v="LOPEZ PALACIO PABLO EMILIO"/>
    <s v="ROMERO ARENAS DANNY MAURICIO"/>
    <x v="17"/>
    <x v="6"/>
    <n v="1"/>
    <n v="0.25"/>
    <d v="2025-01-02T00:00:00"/>
    <d v="2025-01-02T00:00:00"/>
    <n v="21"/>
    <s v="12-24 Months"/>
    <s v="D"/>
    <s v="D"/>
    <x v="1"/>
    <n v="3102626773"/>
    <s v="OK LINEA"/>
    <s v="NO"/>
    <d v="1986-05-07T00:00:00"/>
    <n v="40"/>
    <s v="MASCULINO"/>
  </r>
  <r>
    <x v="0"/>
    <x v="0"/>
    <x v="0"/>
    <s v="1067843713"/>
    <s v="MENDOZA VELASQUEZ EDWIN RAFAEL"/>
    <x v="1"/>
    <x v="1"/>
    <x v="2"/>
    <s v="C813_00000000001219"/>
    <x v="136"/>
    <s v="CALLE 80 SUR # 60-58 LA ESTRELLA ANTIOQUIA"/>
    <x v="10"/>
    <x v="22"/>
    <s v="TRADITIONAL"/>
    <x v="37"/>
    <s v="ANTIOQUIA"/>
    <x v="2"/>
    <s v="LOPEZ PALACIO PABLO EMILIO"/>
    <s v="ROMERO ARENAS DANNY MAURICIO"/>
    <x v="17"/>
    <x v="6"/>
    <n v="0"/>
    <n v="0.25"/>
    <d v="2025-01-02T00:00:00"/>
    <d v="2025-01-02T00:00:00"/>
    <n v="21"/>
    <s v="12-24 Months"/>
    <s v="D"/>
    <s v="D"/>
    <x v="1"/>
    <n v="3102626773"/>
    <s v="OK LINEA"/>
    <s v="NO"/>
    <d v="1986-05-07T00:00:00"/>
    <n v="40"/>
    <s v="MASCULINO"/>
  </r>
  <r>
    <x v="0"/>
    <x v="0"/>
    <x v="0"/>
    <s v="1067843713"/>
    <s v="MENDOZA VELASQUEZ EDWIN RAFAEL"/>
    <x v="1"/>
    <x v="1"/>
    <x v="2"/>
    <s v="C813_00000000006894"/>
    <x v="137"/>
    <s v="CALLE 50 N 48-45 ITAGUI ANTIOQUIA"/>
    <x v="10"/>
    <x v="22"/>
    <s v="TRADITIONAL"/>
    <x v="16"/>
    <s v="ANTIOQUIA"/>
    <x v="2"/>
    <s v="LOPEZ PALACIO PABLO EMILIO"/>
    <s v="ROMERO ARENAS DANNY MAURICIO"/>
    <x v="17"/>
    <x v="6"/>
    <n v="0"/>
    <n v="0.25"/>
    <d v="2025-01-02T00:00:00"/>
    <d v="2025-01-02T00:00:00"/>
    <n v="21"/>
    <s v="12-24 Months"/>
    <s v="D"/>
    <s v="D"/>
    <x v="1"/>
    <n v="3102626773"/>
    <s v="OK LINEA"/>
    <s v="NO"/>
    <d v="1986-05-07T00:00:00"/>
    <n v="40"/>
    <s v="MASCULINO"/>
  </r>
  <r>
    <x v="0"/>
    <x v="0"/>
    <x v="0"/>
    <s v="1067843713"/>
    <s v="MENDOZA VELASQUEZ EDWIN RAFAEL"/>
    <x v="1"/>
    <x v="1"/>
    <x v="2"/>
    <s v="C813_00000000002718"/>
    <x v="138"/>
    <s v="CLL 42 SUR #78 -57, MEDELLIN ANTIOQUIA"/>
    <x v="10"/>
    <x v="22"/>
    <s v="TRADITIONAL"/>
    <x v="37"/>
    <s v="ANTIOQUIA"/>
    <x v="2"/>
    <s v="LOPEZ PALACIO PABLO EMILIO"/>
    <s v="ROMERO ARENAS DANNY MAURICIO"/>
    <x v="17"/>
    <x v="6"/>
    <n v="0"/>
    <n v="0.25"/>
    <d v="2025-01-02T00:00:00"/>
    <d v="2025-01-02T00:00:00"/>
    <n v="21"/>
    <s v="12-24 Months"/>
    <s v="D"/>
    <s v="D"/>
    <x v="1"/>
    <n v="3102626773"/>
    <s v="OK LINEA"/>
    <s v="NO"/>
    <d v="1986-05-07T00:00:00"/>
    <n v="40"/>
    <s v="MASCULINO"/>
  </r>
  <r>
    <x v="0"/>
    <x v="0"/>
    <x v="0"/>
    <s v="1090495810"/>
    <s v="MENDOZA MEDINA LEIDY CAROLINA"/>
    <x v="1"/>
    <x v="1"/>
    <x v="2"/>
    <s v="C813_00000000005037"/>
    <x v="139"/>
    <s v="AVENIDA 5 # 8-37 CUCUTA"/>
    <x v="7"/>
    <x v="23"/>
    <s v="TRADITIONAL"/>
    <x v="11"/>
    <s v="NORTE DE SANTANDER"/>
    <x v="1"/>
    <s v="PRENT SAMPAYO ANDERSON GUILLERMO"/>
    <s v="GRANADOS NAVARRO YEFERSON ORLANDO"/>
    <x v="2"/>
    <x v="6"/>
    <n v="0"/>
    <n v="0.75"/>
    <d v="2025-01-02T00:00:00"/>
    <d v="2023-08-17T00:00:00"/>
    <n v="37"/>
    <s v="+24 Mounths"/>
    <s v="D"/>
    <s v="D"/>
    <x v="0"/>
    <n v="3102631612"/>
    <s v="OK LINEA"/>
    <s v="NO"/>
    <d v="1996-04-06T00:00:00"/>
    <n v="30"/>
    <s v="FEMENINO"/>
  </r>
  <r>
    <x v="0"/>
    <x v="0"/>
    <x v="0"/>
    <s v="1090495810"/>
    <s v="MENDOZA MEDINA LEIDY CAROLINA"/>
    <x v="1"/>
    <x v="1"/>
    <x v="2"/>
    <s v="C813_00000000003264"/>
    <x v="140"/>
    <s v="AVENIDA 5 # 8-16 CUCUTA"/>
    <x v="7"/>
    <x v="23"/>
    <s v="TRADITIONAL"/>
    <x v="11"/>
    <s v="NORTE DE SANTANDER"/>
    <x v="1"/>
    <s v="PRENT SAMPAYO ANDERSON GUILLERMO"/>
    <s v="GRANADOS NAVARRO YEFERSON ORLANDO"/>
    <x v="2"/>
    <x v="6"/>
    <n v="1"/>
    <n v="0.25"/>
    <d v="2025-01-02T00:00:00"/>
    <d v="2023-08-17T00:00:00"/>
    <n v="37"/>
    <s v="+24 Mounths"/>
    <s v="D"/>
    <s v="D"/>
    <x v="0"/>
    <n v="3102631612"/>
    <s v="OK LINEA"/>
    <s v="NO"/>
    <d v="1996-04-06T00:00:00"/>
    <n v="30"/>
    <s v="FEMENINO"/>
  </r>
  <r>
    <x v="0"/>
    <x v="0"/>
    <x v="0"/>
    <s v="45528003"/>
    <s v="IREGUI MARTELO NINI JOHANA"/>
    <x v="1"/>
    <x v="1"/>
    <x v="2"/>
    <s v="C813_00000000000722"/>
    <x v="124"/>
    <s v="AV PEDRO DE HEREDIA SECTOR VILLA SANDRA # 30-14 CARTAGENA DE INDIAS BOLIVAR"/>
    <x v="2"/>
    <x v="3"/>
    <s v="HIPERMERCADO"/>
    <x v="31"/>
    <s v="BOLIVAR"/>
    <x v="3"/>
    <s v="PRENT SAMPAYO ANDERSON GUILLERMO"/>
    <s v="GRANADOS NAVARRO YEFERSON ORLANDO"/>
    <x v="4"/>
    <x v="2"/>
    <n v="1"/>
    <n v="1"/>
    <d v="2026-05-15T00:00:00"/>
    <d v="2026-05-15T00:00:00"/>
    <n v="5"/>
    <s v="3-6 Months"/>
    <s v="B"/>
    <s v="B"/>
    <x v="1"/>
    <s v="SIN ASIGNAR"/>
    <s v="OK LINEA"/>
    <s v="SI"/>
    <d v="1980-11-18T00:00:00"/>
    <n v="45"/>
    <s v="FEMENINO"/>
  </r>
  <r>
    <x v="0"/>
    <x v="0"/>
    <x v="0"/>
    <s v="1102799538"/>
    <s v="MEJIA RUIZ JIMMY"/>
    <x v="1"/>
    <x v="1"/>
    <x v="2"/>
    <s v="C813_00000000005060"/>
    <x v="141"/>
    <s v="CRA 70 # 1 - 2 MEDELLIN ANTIOQUIA"/>
    <x v="9"/>
    <x v="20"/>
    <s v="HIPERMERCADO"/>
    <x v="2"/>
    <s v="ANTIOQUIA"/>
    <x v="2"/>
    <s v="LOPEZ PALACIO PABLO EMILIO"/>
    <s v="ROMERO ARENAS DANNY MAURICIO"/>
    <x v="17"/>
    <x v="4"/>
    <n v="1"/>
    <n v="0.5"/>
    <d v="2026-02-11T00:00:00"/>
    <d v="2026-02-11T00:00:00"/>
    <n v="8"/>
    <s v="6-9 Months"/>
    <s v="C"/>
    <s v="C"/>
    <x v="1"/>
    <s v="SIN ASIGNAR"/>
    <s v="SIN ASIGNAR"/>
    <s v="NO"/>
    <d v="1985-01-12T00:00:00"/>
    <n v="41"/>
    <s v="MASCULINO"/>
  </r>
  <r>
    <x v="0"/>
    <x v="0"/>
    <x v="0"/>
    <s v="1102799538"/>
    <s v="MEJIA RUIZ JIMMY"/>
    <x v="1"/>
    <x v="1"/>
    <x v="2"/>
    <s v="C813_00000000006929"/>
    <x v="142"/>
    <s v="CRA 32 # 11 SUR-220"/>
    <x v="9"/>
    <x v="20"/>
    <s v="HIPERMERCADO"/>
    <x v="2"/>
    <s v="ANTIOQUIA"/>
    <x v="2"/>
    <s v="LOPEZ PALACIO PABLO EMILIO"/>
    <s v="ROMERO ARENAS DANNY MAURICIO"/>
    <x v="17"/>
    <x v="4"/>
    <n v="0"/>
    <n v="0.5"/>
    <d v="2026-02-11T00:00:00"/>
    <d v="2026-02-11T00:00:00"/>
    <n v="8"/>
    <s v="6-9 Months"/>
    <s v="C"/>
    <s v="C"/>
    <x v="1"/>
    <s v="SIN ASIGNAR"/>
    <s v="SIN ASIGNAR"/>
    <s v="NO"/>
    <d v="1985-01-12T00:00:00"/>
    <n v="41"/>
    <s v="MASCULINO"/>
  </r>
  <r>
    <x v="0"/>
    <x v="0"/>
    <x v="0"/>
    <s v="1115065429"/>
    <s v="MEJIA GALVIZ CRISTHIAN ALBERTO"/>
    <x v="1"/>
    <x v="1"/>
    <x v="2"/>
    <s v="C813_00000000000439"/>
    <x v="143"/>
    <s v="CRA 12 # 6-45 STEWAR PEÑA PBX: 237-2526/ 228-0246 BUGALAGRANDE VALLE DEL CAUCA"/>
    <x v="8"/>
    <x v="24"/>
    <s v="TRADITIONAL"/>
    <x v="38"/>
    <s v="VALLE DEL CAUCA"/>
    <x v="4"/>
    <s v="ALVAREZ LONDOÑO JOHNNY"/>
    <s v="ROMERO ARENAS DANNY MAURICIO"/>
    <x v="9"/>
    <x v="6"/>
    <n v="1"/>
    <n v="0.5"/>
    <d v="2025-01-02T00:00:00"/>
    <d v="2022-11-24T00:00:00"/>
    <n v="46"/>
    <s v="+24 Mounths"/>
    <s v="D"/>
    <s v="D"/>
    <x v="0"/>
    <n v="3102628714"/>
    <s v="OK LINEA"/>
    <s v="NO"/>
    <d v="1986-10-07T00:00:00"/>
    <n v="40"/>
    <s v="MASCULINO"/>
  </r>
  <r>
    <x v="0"/>
    <x v="0"/>
    <x v="0"/>
    <s v="1115065429"/>
    <s v="MEJIA GALVIZ CRISTHIAN ALBERTO"/>
    <x v="1"/>
    <x v="1"/>
    <x v="2"/>
    <s v="C813_00000000000074"/>
    <x v="144"/>
    <s v="CRA 13 # 8 - 40 BUGA - VALLE DEL CAUCA"/>
    <x v="2"/>
    <x v="3"/>
    <s v="HIPERMERCADO"/>
    <x v="39"/>
    <s v="VALLE DEL CAUCA"/>
    <x v="4"/>
    <s v="ALVAREZ LONDOÑO JOHNNY"/>
    <s v="ROMERO ARENAS DANNY MAURICIO"/>
    <x v="9"/>
    <x v="2"/>
    <n v="0"/>
    <n v="0.5"/>
    <d v="2025-01-02T00:00:00"/>
    <d v="2022-11-24T00:00:00"/>
    <n v="46"/>
    <s v="+24 Mounths"/>
    <s v="C"/>
    <s v="C"/>
    <x v="0"/>
    <n v="3102628714"/>
    <s v="OK LINEA"/>
    <s v="NO"/>
    <d v="1986-10-07T00:00:00"/>
    <n v="40"/>
    <s v="MASCULINO"/>
  </r>
  <r>
    <x v="0"/>
    <x v="0"/>
    <x v="0"/>
    <s v="33068156"/>
    <s v="MEDRANO CUELLO ERIKA PATRICIA"/>
    <x v="1"/>
    <x v="1"/>
    <x v="2"/>
    <s v="SED_0029"/>
    <x v="145"/>
    <s v="CARRERA 23 166-86"/>
    <x v="3"/>
    <x v="4"/>
    <s v="TRADITIONAL"/>
    <x v="0"/>
    <s v="CUNDINAMARCA"/>
    <x v="0"/>
    <s v="GAVIRIA FERRO DIEGO MAURICIO"/>
    <s v="PASTUSO ACHICUE CLAUDIA PATRICIA"/>
    <x v="10"/>
    <x v="3"/>
    <n v="1"/>
    <n v="1"/>
    <d v="2025-01-02T00:00:00"/>
    <d v="2024-03-04T00:00:00"/>
    <n v="31"/>
    <s v="+24 Mounths"/>
    <s v="NO DATA"/>
    <s v="NO DATA"/>
    <x v="0"/>
    <n v="3102697338"/>
    <s v="OK LINEA"/>
    <s v="NO"/>
    <d v="1979-02-21T00:00:00"/>
    <n v="47"/>
    <s v="FEMENINO"/>
  </r>
  <r>
    <x v="0"/>
    <x v="0"/>
    <x v="0"/>
    <s v="1004846568"/>
    <s v="ABRIL PABON MILDRED ROCIO"/>
    <x v="1"/>
    <x v="1"/>
    <x v="2"/>
    <s v="C813_00000000000710"/>
    <x v="28"/>
    <s v="AVENIDA DEMETRIO MENDOZA  DIAGONAL SANTANDER, CUCUTA, NORTE DE SANTANDER"/>
    <x v="2"/>
    <x v="3"/>
    <s v="HIPERMERCADO"/>
    <x v="11"/>
    <s v="NORTE DE SANTANDER"/>
    <x v="1"/>
    <s v="PRENT SAMPAYO ANDERSON GUILLERMO"/>
    <s v="GRANADOS NAVARRO YEFERSON ORLANDO"/>
    <x v="2"/>
    <x v="2"/>
    <n v="1"/>
    <n v="1"/>
    <d v="2026-05-21T00:00:00"/>
    <d v="2026-05-21T00:00:00"/>
    <n v="4"/>
    <s v="3-6 Months"/>
    <s v="B"/>
    <s v="B"/>
    <x v="1"/>
    <s v="SIN ASIGNAR"/>
    <s v="SIN ASIGNAR"/>
    <s v="SI"/>
    <d v="2001-09-14T00:00:00"/>
    <n v="25"/>
    <s v="FEMENINO"/>
  </r>
  <r>
    <x v="0"/>
    <x v="0"/>
    <x v="0"/>
    <s v="6386760"/>
    <s v="ROMERO CERPA LORENA CRISTINA"/>
    <x v="1"/>
    <x v="1"/>
    <x v="2"/>
    <s v="C813_00000000006896"/>
    <x v="20"/>
    <s v="CARRERA 1 # 66 63"/>
    <x v="1"/>
    <x v="2"/>
    <s v="HIPERMERCADO"/>
    <x v="4"/>
    <s v="VALLE DEL CAUCA"/>
    <x v="4"/>
    <s v="ALVAREZ LONDOÑO JOHNNY"/>
    <s v="ROMERO ARENAS DANNY MAURICIO"/>
    <x v="5"/>
    <x v="1"/>
    <n v="1"/>
    <n v="1"/>
    <d v="2025-01-02T00:00:00"/>
    <d v="2024-05-20T00:00:00"/>
    <n v="28"/>
    <s v="+24 Mounths"/>
    <s v="A"/>
    <s v="B"/>
    <x v="0"/>
    <n v="3102662671"/>
    <s v="OK LINEA"/>
    <s v="SI"/>
    <d v="2002-05-13T00:00:00"/>
    <n v="24"/>
    <s v="FEMENINO"/>
  </r>
  <r>
    <x v="0"/>
    <x v="0"/>
    <x v="0"/>
    <s v="1017128325"/>
    <s v="MARTINEZ GOMEZ JUAN DAVID"/>
    <x v="1"/>
    <x v="1"/>
    <x v="2"/>
    <s v="C813_00000000000012"/>
    <x v="37"/>
    <s v="CARRERA 48 # 32 B SUR 139 MEDELLIN ANTIOQUIA"/>
    <x v="2"/>
    <x v="3"/>
    <s v="HIPERMERCADO"/>
    <x v="2"/>
    <s v="ANTIOQUIA"/>
    <x v="2"/>
    <s v="LOPEZ PALACIO PABLO EMILIO"/>
    <s v="ROMERO ARENAS DANNY MAURICIO"/>
    <x v="3"/>
    <x v="2"/>
    <n v="1"/>
    <n v="1"/>
    <d v="2025-05-07T00:00:00"/>
    <d v="2025-05-07T00:00:00"/>
    <n v="17"/>
    <s v="12-24 Months"/>
    <s v="A"/>
    <s v="A"/>
    <x v="1"/>
    <n v="3102694928"/>
    <s v="OK LINEA"/>
    <s v="SI"/>
    <d v="1986-05-06T00:00:00"/>
    <n v="40"/>
    <s v="MASCULINO"/>
  </r>
  <r>
    <x v="0"/>
    <x v="0"/>
    <x v="0"/>
    <s v="1107516215"/>
    <s v="MARIN LONDOÑO JOHAN ANDREY "/>
    <x v="1"/>
    <x v="1"/>
    <x v="2"/>
    <s v="C813_00000000001058"/>
    <x v="7"/>
    <s v="CL 13 #80 - 187, CALI, VALLE DEL CAUCA"/>
    <x v="1"/>
    <x v="2"/>
    <s v="HIPERMERCADO"/>
    <x v="4"/>
    <s v="VALLE DEL CAUCA"/>
    <x v="4"/>
    <s v="ALVAREZ LONDOÑO JOHNNY"/>
    <s v="ROMERO ARENAS DANNY MAURICIO"/>
    <x v="5"/>
    <x v="1"/>
    <n v="1"/>
    <n v="1"/>
    <d v="2025-03-06T00:00:00"/>
    <d v="2025-03-06T00:00:00"/>
    <n v="19"/>
    <s v="12-24 Months"/>
    <s v="A"/>
    <s v="A"/>
    <x v="1"/>
    <n v="3102684967"/>
    <s v="OK LINEA"/>
    <s v="SI"/>
    <d v="1998-02-17T00:00:00"/>
    <n v="28"/>
    <s v="MASCULINO"/>
  </r>
  <r>
    <x v="0"/>
    <x v="0"/>
    <x v="0"/>
    <s v="1144208907"/>
    <s v="MARTINEZ GUTIERREZ JULIAN FELIPE"/>
    <x v="1"/>
    <x v="1"/>
    <x v="2"/>
    <s v="C813_00000000000727"/>
    <x v="146"/>
    <s v="CALLE 16 # 98 - 155 CALI VALLE DEL CAUCA"/>
    <x v="4"/>
    <x v="5"/>
    <s v="HIPERMERCADO"/>
    <x v="4"/>
    <s v="VALLE DEL CAUCA"/>
    <x v="4"/>
    <s v="ALVAREZ LONDOÑO JOHNNY"/>
    <s v="ROMERO ARENAS DANNY MAURICIO"/>
    <x v="5"/>
    <x v="3"/>
    <n v="1"/>
    <n v="1"/>
    <d v="2025-01-02T00:00:00"/>
    <d v="2024-11-13T00:00:00"/>
    <n v="23"/>
    <s v="12-24 Months"/>
    <s v="B"/>
    <s v="D"/>
    <x v="1"/>
    <n v="3102662813"/>
    <s v="OK LINEA"/>
    <s v="SI"/>
    <d v="1998-12-07T00:00:00"/>
    <n v="27"/>
    <s v="MASCULINO"/>
  </r>
  <r>
    <x v="0"/>
    <x v="0"/>
    <x v="0"/>
    <s v="39462887"/>
    <s v="LUQUEZ ARAUJO TATIANA KATERINE"/>
    <x v="1"/>
    <x v="1"/>
    <x v="2"/>
    <s v="C813_00000000005102"/>
    <x v="147"/>
    <s v="CL. 31 #6A-133 LC 203, 209, VALLEDUPAR, CESAR"/>
    <x v="1"/>
    <x v="10"/>
    <s v="HIPERMERCADO"/>
    <x v="40"/>
    <s v="CESAR"/>
    <x v="3"/>
    <s v="PRENT SAMPAYO ANDERSON GUILLERMO"/>
    <s v="GRANADOS NAVARRO YEFERSON ORLANDO"/>
    <x v="4"/>
    <x v="1"/>
    <n v="1"/>
    <n v="1"/>
    <d v="2026-01-21T00:00:00"/>
    <d v="2026-01-21T00:00:00"/>
    <n v="8"/>
    <s v="6-9 Months"/>
    <s v="D"/>
    <s v="B"/>
    <x v="1"/>
    <n v="3102632329"/>
    <s v="OK LINEA"/>
    <s v="SI"/>
    <d v="1985-06-02T00:00:00"/>
    <n v="41"/>
    <s v="FEMENINO"/>
  </r>
  <r>
    <x v="0"/>
    <x v="0"/>
    <x v="0"/>
    <s v="1243339248"/>
    <s v="MIRANDA GABRIEL"/>
    <x v="1"/>
    <x v="1"/>
    <x v="1"/>
    <s v="C813_00000000006933"/>
    <x v="148"/>
    <s v="MALLPLAZA NQS, AV CIUDAD DE LIMA #28 – 80 LOCAL B-65, BOGOTÁ"/>
    <x v="1"/>
    <x v="1"/>
    <s v="HIPERMERCADO"/>
    <x v="0"/>
    <s v="CUNDINAMARCA"/>
    <x v="0"/>
    <s v="PEÑA GARCIA JOINER ALEXIS"/>
    <s v="PASTUSO ACHICUE CLAUDIA PATRICIA"/>
    <x v="1"/>
    <x v="1"/>
    <n v="1"/>
    <n v="0.5"/>
    <d v="2026-08-28T00:00:00"/>
    <d v="2026-08-28T00:00:00"/>
    <n v="1"/>
    <s v="-3 Months"/>
    <s v="C"/>
    <s v="C"/>
    <x v="1"/>
    <s v="SIN ASIGNAR"/>
    <s v="SIN ASIGNAR"/>
    <s v="SI"/>
    <d v="2004-12-06T00:00:00"/>
    <n v="21"/>
    <s v="MASCULINO"/>
  </r>
  <r>
    <x v="0"/>
    <x v="0"/>
    <x v="0"/>
    <s v="1243339248"/>
    <s v="MIRANDA GABRIEL"/>
    <x v="1"/>
    <x v="1"/>
    <x v="1"/>
    <s v="C813_00000000006464"/>
    <x v="149"/>
    <s v="AVENIDA BOYACA  # 72 # 12B -18 BOGOTA"/>
    <x v="1"/>
    <x v="2"/>
    <s v="HIPERMERCADO"/>
    <x v="0"/>
    <s v="CUNDINAMARCA"/>
    <x v="0"/>
    <s v="PEÑA GARCIA JOINER ALEXIS"/>
    <s v="PASTUSO ACHICUE CLAUDIA PATRICIA"/>
    <x v="1"/>
    <x v="1"/>
    <n v="0"/>
    <n v="0.5"/>
    <d v="2026-08-28T00:00:00"/>
    <d v="2026-08-28T00:00:00"/>
    <n v="1"/>
    <s v="-3 Months"/>
    <s v="A"/>
    <s v="A"/>
    <x v="1"/>
    <s v="SIN ASIGNAR"/>
    <s v="SIN ASIGNAR"/>
    <s v="SI"/>
    <d v="2004-12-06T00:00:00"/>
    <n v="21"/>
    <s v="MASCULINO"/>
  </r>
  <r>
    <x v="0"/>
    <x v="0"/>
    <x v="0"/>
    <s v="52223584"/>
    <s v="RODRIGUEZ BARBOSA HEIDY"/>
    <x v="1"/>
    <x v="1"/>
    <x v="2"/>
    <s v="C813_00000000006933"/>
    <x v="148"/>
    <s v="MALLPLAZA NQS, AV CIUDAD DE LIMA #28 – 80 LOCAL B-65, BOGOTÁ"/>
    <x v="1"/>
    <x v="1"/>
    <s v="HIPERMERCADO"/>
    <x v="0"/>
    <s v="CUNDINAMARCA"/>
    <x v="0"/>
    <s v="PEÑA GARCIA JOINER ALEXIS"/>
    <s v="PASTUSO ACHICUE CLAUDIA PATRICIA"/>
    <x v="1"/>
    <x v="1"/>
    <n v="1"/>
    <n v="1"/>
    <d v="2026-08-03T00:00:00"/>
    <d v="2026-08-03T00:00:00"/>
    <n v="2"/>
    <s v="-3 Months"/>
    <s v="C"/>
    <s v="C"/>
    <x v="1"/>
    <s v="SIN ASIGNAR"/>
    <s v="SIN ASIGNAR"/>
    <s v="SI"/>
    <d v="1974-11-20T00:00:00"/>
    <n v="51"/>
    <s v="FEMENINO"/>
  </r>
  <r>
    <x v="0"/>
    <x v="0"/>
    <x v="0"/>
    <s v="1098638181"/>
    <s v="LOPEZ INFANTE DIEGO ANDRES "/>
    <x v="1"/>
    <x v="1"/>
    <x v="2"/>
    <s v="C813_00000000000115"/>
    <x v="25"/>
    <s v="CARRERA 17 # 45-77 BUCARAMANGA SANTANDER"/>
    <x v="2"/>
    <x v="3"/>
    <s v="HIPERMERCADO"/>
    <x v="1"/>
    <s v="SANTANDER"/>
    <x v="1"/>
    <s v="LOPEZ PALACIO PABLO EMILIO"/>
    <s v="GRANADOS NAVARRO YEFERSON ORLANDO"/>
    <x v="2"/>
    <x v="2"/>
    <n v="1"/>
    <n v="1"/>
    <d v="2025-02-19T00:00:00"/>
    <d v="2025-02-19T00:00:00"/>
    <n v="19"/>
    <s v="12-24 Months"/>
    <s v="A"/>
    <s v="A"/>
    <x v="1"/>
    <n v="3102632654"/>
    <s v="OK LINEA"/>
    <s v="SI"/>
    <d v="1987-07-14T00:00:00"/>
    <n v="39"/>
    <s v="MASCULINO"/>
  </r>
  <r>
    <x v="0"/>
    <x v="0"/>
    <x v="4"/>
    <s v="10298016"/>
    <s v="LOPEZ IDROBO JOSE ALEXANDER"/>
    <x v="1"/>
    <x v="1"/>
    <x v="2"/>
    <s v="C813_00000000000054"/>
    <x v="94"/>
    <s v="CRA 9 # 6N-03 POPAYAN - CAUCA"/>
    <x v="2"/>
    <x v="3"/>
    <s v="HIPERMERCADO"/>
    <x v="26"/>
    <s v="CAUCA"/>
    <x v="4"/>
    <s v="ALVAREZ LONDOÑO JOHNNY"/>
    <s v="ROMERO ARENAS DANNY MAURICIO"/>
    <x v="9"/>
    <x v="2"/>
    <n v="1"/>
    <n v="1"/>
    <d v="2026-05-15T00:00:00"/>
    <d v="2026-05-15T00:00:00"/>
    <n v="5"/>
    <s v="3-6 Months"/>
    <s v="B"/>
    <s v="B"/>
    <x v="1"/>
    <s v="SIN ASIGNAR"/>
    <s v="SIN ASIGNAR"/>
    <s v="SI"/>
    <d v="1982-01-24T00:00:00"/>
    <n v="44"/>
    <s v="MASCULINO"/>
  </r>
  <r>
    <x v="0"/>
    <x v="0"/>
    <x v="0"/>
    <s v="1088330274"/>
    <s v="LÓPEZ GRISALES SANTIAGO"/>
    <x v="1"/>
    <x v="1"/>
    <x v="2"/>
    <s v="C813_00000000000297"/>
    <x v="10"/>
    <s v="AV AMERICAS # 46-03 PEREIRA RISARALDA"/>
    <x v="1"/>
    <x v="2"/>
    <s v="HIPERMERCADO"/>
    <x v="5"/>
    <s v="RISARALDA"/>
    <x v="5"/>
    <s v="ALVAREZ LONDOÑO JOHNNY"/>
    <s v="ROMERO ARENAS DANNY MAURICIO"/>
    <x v="7"/>
    <x v="1"/>
    <n v="1"/>
    <n v="1"/>
    <d v="2025-11-24T00:00:00"/>
    <d v="2025-11-24T00:00:00"/>
    <n v="10"/>
    <s v="9-12 Months"/>
    <s v="A"/>
    <s v="A"/>
    <x v="1"/>
    <n v="3102679169"/>
    <s v="OK LINEA"/>
    <s v="SI"/>
    <d v="1995-10-10T00:00:00"/>
    <n v="31"/>
    <s v="MASCULINO"/>
  </r>
  <r>
    <x v="0"/>
    <x v="1"/>
    <x v="0"/>
    <s v="18523859"/>
    <s v="LIMA PATIÑO ANDRES FELIPE"/>
    <x v="1"/>
    <x v="1"/>
    <x v="2"/>
    <s v="C813_00000000000297"/>
    <x v="10"/>
    <s v="AV AMERICAS # 46-03 PEREIRA RISARALDA"/>
    <x v="1"/>
    <x v="2"/>
    <s v="HIPERMERCADO"/>
    <x v="5"/>
    <s v="RISARALDA"/>
    <x v="5"/>
    <s v="ALVAREZ LONDOÑO JOHNNY"/>
    <s v="ROMERO ARENAS DANNY MAURICIO"/>
    <x v="7"/>
    <x v="1"/>
    <n v="1"/>
    <n v="1"/>
    <d v="2025-01-02T00:00:00"/>
    <d v="2022-11-03T00:00:00"/>
    <n v="47"/>
    <s v="+24 Mounths"/>
    <s v="A"/>
    <s v="A"/>
    <x v="0"/>
    <n v="3102634529"/>
    <s v="OK LINEA"/>
    <s v="SI"/>
    <d v="1985-09-26T00:00:00"/>
    <n v="41"/>
    <s v="MASCULINO"/>
  </r>
  <r>
    <x v="0"/>
    <x v="0"/>
    <x v="0"/>
    <s v="1121890462"/>
    <s v="LEON ARIAS JOHN JAIRO"/>
    <x v="1"/>
    <x v="1"/>
    <x v="2"/>
    <s v="C813_00000000000285"/>
    <x v="18"/>
    <s v="CRA 31 # 31-95 VILLAVICENCIO META"/>
    <x v="1"/>
    <x v="2"/>
    <s v="HIPERMERCADO"/>
    <x v="9"/>
    <s v="META"/>
    <x v="6"/>
    <s v="GAVIRIA FERRO DIEGO MAURICIO"/>
    <s v="PASTUSO ACHICUE CLAUDIA PATRICIA"/>
    <x v="8"/>
    <x v="1"/>
    <n v="1"/>
    <n v="1"/>
    <d v="2025-04-28T00:00:00"/>
    <d v="2025-04-28T00:00:00"/>
    <n v="17"/>
    <s v="12-24 Months"/>
    <s v="A"/>
    <s v="A"/>
    <x v="1"/>
    <n v="3102607875"/>
    <s v="OK LINEA"/>
    <s v="SI"/>
    <d v="1992-07-12T00:00:00"/>
    <n v="34"/>
    <s v="MASCULINO"/>
  </r>
  <r>
    <x v="0"/>
    <x v="0"/>
    <x v="0"/>
    <s v="1073246782"/>
    <s v="LAMUS SOSA WILMER"/>
    <x v="1"/>
    <x v="1"/>
    <x v="2"/>
    <s v="C813_00000000005705"/>
    <x v="150"/>
    <s v="CARRERA 3 # 15A-57"/>
    <x v="3"/>
    <x v="4"/>
    <s v="TRADITIONAL"/>
    <x v="32"/>
    <s v="CUNDINAMARCA"/>
    <x v="0"/>
    <s v="GAVIRIA FERRO DIEGO MAURICIO"/>
    <s v="PASTUSO ACHICUE CLAUDIA PATRICIA"/>
    <x v="10"/>
    <x v="3"/>
    <n v="1"/>
    <n v="1"/>
    <d v="2025-10-22T00:00:00"/>
    <d v="2025-10-22T00:00:00"/>
    <n v="11"/>
    <s v="9-12 Months"/>
    <s v="NO DATA"/>
    <s v="NO DATA"/>
    <x v="1"/>
    <s v="SIN ASIGNAR"/>
    <s v="SIN ASIGNAR"/>
    <s v="NO"/>
    <d v="1996-10-14T00:00:00"/>
    <n v="30"/>
    <s v="MASCULINO"/>
  </r>
  <r>
    <x v="0"/>
    <x v="0"/>
    <x v="0"/>
    <s v="1075671866"/>
    <s v="LADINO POVEDA KAREN GISSEL"/>
    <x v="1"/>
    <x v="1"/>
    <x v="2"/>
    <s v="C813_00000000000105"/>
    <x v="81"/>
    <s v="CRA 59 A # 79-30 BOGOTA"/>
    <x v="2"/>
    <x v="3"/>
    <s v="HIPERMERCADO"/>
    <x v="0"/>
    <s v="CUNDINAMARCA"/>
    <x v="0"/>
    <s v="GAVIRIA FERRO DIEGO MAURICIO"/>
    <s v="PASTUSO ACHICUE CLAUDIA PATRICIA"/>
    <x v="14"/>
    <x v="2"/>
    <n v="1"/>
    <n v="1"/>
    <d v="2025-01-02T00:00:00"/>
    <d v="2022-05-26T00:00:00"/>
    <n v="52"/>
    <s v="+24 Mounths"/>
    <s v="A"/>
    <s v="A"/>
    <x v="0"/>
    <n v="3102665780"/>
    <s v="OK LINEA"/>
    <s v="SI"/>
    <d v="1994-01-20T00:00:00"/>
    <n v="32"/>
    <s v="FEMENINO"/>
  </r>
  <r>
    <x v="0"/>
    <x v="1"/>
    <x v="0"/>
    <s v="81720171"/>
    <s v="JUYO RAMIREZ WILLIAM ORLANDO"/>
    <x v="1"/>
    <x v="1"/>
    <x v="2"/>
    <s v="C813_00000000004415"/>
    <x v="13"/>
    <s v="KM 25 VÍA CHÍA CAJICÁ COSTADO ORIENTAL LC 2 - 49B CC FONTANAR"/>
    <x v="1"/>
    <x v="1"/>
    <s v="HIPERMERCADO"/>
    <x v="7"/>
    <s v="CUNDINAMARCA"/>
    <x v="0"/>
    <s v="PEÑA GARCIA JOINER ALEXIS"/>
    <s v="PASTUSO ACHICUE CLAUDIA PATRICIA"/>
    <x v="1"/>
    <x v="1"/>
    <n v="1"/>
    <n v="1"/>
    <d v="2025-01-02T00:00:00"/>
    <d v="2020-11-12T00:00:00"/>
    <n v="71"/>
    <s v="+24 Mounths"/>
    <s v="C"/>
    <s v="A"/>
    <x v="0"/>
    <n v="3102626810"/>
    <s v="OK LINEA"/>
    <s v="SI"/>
    <d v="1984-05-12T00:00:00"/>
    <n v="42"/>
    <s v="MASCULINO"/>
  </r>
  <r>
    <x v="0"/>
    <x v="0"/>
    <x v="0"/>
    <s v="1037658877"/>
    <s v="JIMÉNEZ JIMÉNEZ DILSON"/>
    <x v="1"/>
    <x v="1"/>
    <x v="2"/>
    <s v="C813_00000000000301"/>
    <x v="129"/>
    <s v="CARRERA 65 # 45-85 MEDELLIN, ANTIOQUIA"/>
    <x v="4"/>
    <x v="5"/>
    <s v="HIPERMERCADO"/>
    <x v="2"/>
    <s v="ANTIOQUIA"/>
    <x v="2"/>
    <s v="LOPEZ PALACIO PABLO EMILIO"/>
    <s v="ROMERO ARENAS DANNY MAURICIO"/>
    <x v="17"/>
    <x v="3"/>
    <n v="1"/>
    <n v="1"/>
    <d v="2025-11-25T00:00:00"/>
    <d v="2025-11-25T00:00:00"/>
    <n v="10"/>
    <s v="9-12 Months"/>
    <s v="A"/>
    <s v="A"/>
    <x v="1"/>
    <n v="3102639196"/>
    <s v="OK LINEA"/>
    <s v="SI"/>
    <d v="1997-09-06T00:00:00"/>
    <n v="29"/>
    <s v="MASCULINO"/>
  </r>
  <r>
    <x v="0"/>
    <x v="0"/>
    <x v="4"/>
    <s v="73211275"/>
    <s v="CABRERA MORALES JOSÉ FERNANDO"/>
    <x v="1"/>
    <x v="1"/>
    <x v="2"/>
    <s v="C813_00000000000685"/>
    <x v="151"/>
    <s v="AV PEDRO DE HEREDIA # 69-75 SECTOR LA CONTADORA CARTAGENA DE INDIAS BOLIVAR"/>
    <x v="2"/>
    <x v="3"/>
    <s v="HIPERMERCADO"/>
    <x v="31"/>
    <s v="BOLIVAR"/>
    <x v="3"/>
    <s v="PRENT SAMPAYO ANDERSON GUILLERMO"/>
    <s v="GRANADOS NAVARRO YEFERSON ORLANDO"/>
    <x v="4"/>
    <x v="2"/>
    <n v="1"/>
    <n v="1"/>
    <d v="2026-07-21T00:00:00"/>
    <d v="2026-07-21T00:00:00"/>
    <n v="2"/>
    <s v="-3 Months"/>
    <s v="B"/>
    <s v="B"/>
    <x v="1"/>
    <s v="SIN ASIGNAR"/>
    <s v="SIN ASIGNAR"/>
    <s v="SI"/>
    <d v="1982-10-08T00:00:00"/>
    <n v="44"/>
    <s v="MASCULINO"/>
  </r>
  <r>
    <x v="0"/>
    <x v="0"/>
    <x v="0"/>
    <s v="1024528394"/>
    <s v="HINCAPIE CARDONA JOHN EDUAR"/>
    <x v="1"/>
    <x v="1"/>
    <x v="2"/>
    <s v="C813_00000000006278"/>
    <x v="16"/>
    <s v="AV KEVIN ANGEL # 55D-251 MANIZALES CALDAS"/>
    <x v="1"/>
    <x v="1"/>
    <s v="HIPERMERCADO"/>
    <x v="8"/>
    <s v="CALDAS"/>
    <x v="5"/>
    <s v="ALVAREZ LONDOÑO JOHNNY"/>
    <s v="ROMERO ARENAS DANNY MAURICIO"/>
    <x v="7"/>
    <x v="1"/>
    <n v="1"/>
    <n v="1"/>
    <d v="2025-05-20T00:00:00"/>
    <d v="2025-05-20T00:00:00"/>
    <n v="16"/>
    <s v="12-24 Months"/>
    <s v="C"/>
    <s v="A"/>
    <x v="1"/>
    <n v="3102652460"/>
    <s v="OK LINEA"/>
    <s v="SI"/>
    <d v="1992-04-16T00:00:00"/>
    <n v="34"/>
    <s v="MASCULINO"/>
  </r>
  <r>
    <x v="0"/>
    <x v="0"/>
    <x v="0"/>
    <s v="1104008668"/>
    <s v="FERNANDEZ ARRIETA FERNANDO DAVID"/>
    <x v="1"/>
    <x v="1"/>
    <x v="2"/>
    <s v="C813_00000000000309"/>
    <x v="152"/>
    <s v="CL. 29D # 22-108 CARTAGENA, BOLIVAR"/>
    <x v="4"/>
    <x v="5"/>
    <s v="HIPERMERCADO"/>
    <x v="31"/>
    <s v="BOLIVAR"/>
    <x v="3"/>
    <s v="PRENT SAMPAYO ANDERSON GUILLERMO"/>
    <s v="GRANADOS NAVARRO YEFERSON ORLANDO"/>
    <x v="4"/>
    <x v="3"/>
    <n v="1"/>
    <n v="1"/>
    <d v="2025-01-02T00:00:00"/>
    <d v="2024-06-27T00:00:00"/>
    <n v="27"/>
    <s v="+24 Mounths"/>
    <s v="B"/>
    <s v="D"/>
    <x v="0"/>
    <n v="3102610976"/>
    <s v="OK LINEA"/>
    <s v="SI"/>
    <d v="1986-06-16T00:00:00"/>
    <n v="40"/>
    <s v="MASCULINO"/>
  </r>
  <r>
    <x v="0"/>
    <x v="0"/>
    <x v="0"/>
    <s v="1001773385"/>
    <s v="HERRERA SUAREZ JUAN MANUEL"/>
    <x v="1"/>
    <x v="1"/>
    <x v="2"/>
    <s v="C813_00000000003120"/>
    <x v="153"/>
    <s v="CALLE 71 # 65-150 MEDELLIN ANTIOQUIA"/>
    <x v="10"/>
    <x v="19"/>
    <s v="TRADITIONAL"/>
    <x v="2"/>
    <s v="ANTIOQUIA"/>
    <x v="2"/>
    <s v="LOPEZ PALACIO PABLO EMILIO"/>
    <s v="ROMERO ARENAS DANNY MAURICIO"/>
    <x v="17"/>
    <x v="6"/>
    <n v="1"/>
    <n v="1"/>
    <d v="2025-01-02T00:00:00"/>
    <d v="2024-04-22T00:00:00"/>
    <n v="29"/>
    <s v="+24 Mounths"/>
    <s v="D"/>
    <s v="D"/>
    <x v="0"/>
    <n v="3102706197"/>
    <s v="OK LINEA"/>
    <s v="NO"/>
    <d v="2002-08-28T00:00:00"/>
    <n v="24"/>
    <s v="MASCULINO"/>
  </r>
  <r>
    <x v="0"/>
    <x v="0"/>
    <x v="0"/>
    <s v="1051678666"/>
    <s v="HERRERA ORTIZ MICHAEL STIVEN"/>
    <x v="1"/>
    <x v="1"/>
    <x v="2"/>
    <s v="C813_00000000000112"/>
    <x v="35"/>
    <s v="CALLE 134 # 9-51 BOGOTA CUNDINAMARCA"/>
    <x v="2"/>
    <x v="3"/>
    <s v="HIPERMERCADO"/>
    <x v="0"/>
    <s v="CUNDINAMARCA"/>
    <x v="0"/>
    <s v="GAVIRIA FERRO DIEGO MAURICIO"/>
    <s v="PASTUSO ACHICUE CLAUDIA PATRICIA"/>
    <x v="14"/>
    <x v="2"/>
    <n v="1"/>
    <n v="1"/>
    <d v="2025-06-18T00:00:00"/>
    <d v="2025-06-18T00:00:00"/>
    <n v="15"/>
    <s v="12-24 Months"/>
    <s v="A"/>
    <s v="A"/>
    <x v="1"/>
    <s v="SIN ASIGNAR"/>
    <s v="SIN ASIGNAR"/>
    <s v="SI"/>
    <d v="1999-01-06T00:00:00"/>
    <n v="27"/>
    <s v="MASCULINO"/>
  </r>
  <r>
    <x v="0"/>
    <x v="0"/>
    <x v="0"/>
    <s v="1129542071"/>
    <s v="HERRERA ESCORCIA LEONARDO ARTURO"/>
    <x v="1"/>
    <x v="1"/>
    <x v="2"/>
    <s v="C813_00000000000018"/>
    <x v="154"/>
    <s v="CARRERA 51 B # 87-50 BARRANQUILLA ATLANTICO"/>
    <x v="2"/>
    <x v="3"/>
    <s v="HIPERMERCADO"/>
    <x v="3"/>
    <s v="ATLANTICO"/>
    <x v="3"/>
    <s v="PRENT SAMPAYO ANDERSON GUILLERMO"/>
    <s v="GRANADOS NAVARRO YEFERSON ORLANDO"/>
    <x v="4"/>
    <x v="2"/>
    <n v="1"/>
    <n v="1"/>
    <d v="2025-01-02T00:00:00"/>
    <d v="2024-02-15T00:00:00"/>
    <n v="32"/>
    <s v="+24 Mounths"/>
    <s v="A"/>
    <s v="A"/>
    <x v="0"/>
    <n v="3102681570"/>
    <s v="OK LINEA"/>
    <s v="SI"/>
    <d v="1989-04-19T00:00:00"/>
    <n v="37"/>
    <s v="MASCULINO"/>
  </r>
  <r>
    <x v="0"/>
    <x v="0"/>
    <x v="0"/>
    <s v="1014297317"/>
    <s v="CRUZ JOSE"/>
    <x v="1"/>
    <x v="1"/>
    <x v="2"/>
    <s v="C813_00000000000282"/>
    <x v="17"/>
    <s v="AK 68 # 72-43 BOGOTA"/>
    <x v="1"/>
    <x v="2"/>
    <s v="HIPERMERCADO"/>
    <x v="0"/>
    <s v="CUNDINAMARCA"/>
    <x v="0"/>
    <s v="PEÑA GARCIA JOINER ALEXIS"/>
    <s v="PASTUSO ACHICUE CLAUDIA PATRICIA"/>
    <x v="1"/>
    <x v="1"/>
    <n v="1"/>
    <n v="1"/>
    <d v="2026-04-09T00:00:00"/>
    <d v="2026-04-09T00:00:00"/>
    <n v="6"/>
    <s v="6-9 Months"/>
    <s v="A"/>
    <s v="A"/>
    <x v="1"/>
    <s v="SIN ASIGNAR"/>
    <s v="SIN ASIGNAR"/>
    <s v="SI"/>
    <d v="1998-04-29T00:00:00"/>
    <n v="28"/>
    <s v="MASCULINO"/>
  </r>
  <r>
    <x v="0"/>
    <x v="0"/>
    <x v="0"/>
    <s v="94395180"/>
    <s v="HERNANDEZ ARBOLEDA MARLON ANDRES"/>
    <x v="1"/>
    <x v="1"/>
    <x v="2"/>
    <s v="C813_00000000006870"/>
    <x v="155"/>
    <s v="CARRERA 40 # 37-51"/>
    <x v="2"/>
    <x v="3"/>
    <s v="HIPERMERCADO"/>
    <x v="41"/>
    <s v="VALLE DEL CAUCA"/>
    <x v="4"/>
    <s v="ALVAREZ LONDOÑO JOHNNY"/>
    <s v="ROMERO ARENAS DANNY MAURICIO"/>
    <x v="9"/>
    <x v="2"/>
    <n v="1"/>
    <n v="1"/>
    <d v="2025-01-02T00:00:00"/>
    <d v="2020-03-11T00:00:00"/>
    <n v="79"/>
    <s v="+24 Mounths"/>
    <s v="A"/>
    <s v="C"/>
    <x v="0"/>
    <n v="3115907431"/>
    <s v="OK LINEA"/>
    <s v="SI"/>
    <d v="1977-09-02T00:00:00"/>
    <n v="49"/>
    <s v="MASCULINO"/>
  </r>
  <r>
    <x v="0"/>
    <x v="0"/>
    <x v="0"/>
    <s v="1043136442"/>
    <s v="HENRIQUEZ LUIS FERNANDO"/>
    <x v="1"/>
    <x v="1"/>
    <x v="2"/>
    <s v="C813_00000000000018"/>
    <x v="154"/>
    <s v="CARRERA 51 B # 87-50 BARRANQUILLA ATLANTICO"/>
    <x v="2"/>
    <x v="3"/>
    <s v="HIPERMERCADO"/>
    <x v="3"/>
    <s v="ATLANTICO"/>
    <x v="3"/>
    <s v="PRENT SAMPAYO ANDERSON GUILLERMO"/>
    <s v="GRANADOS NAVARRO YEFERSON ORLANDO"/>
    <x v="4"/>
    <x v="2"/>
    <n v="1"/>
    <n v="1"/>
    <d v="2025-11-26T00:00:00"/>
    <d v="2025-11-26T00:00:00"/>
    <n v="10"/>
    <s v="9-12 Months"/>
    <s v="A"/>
    <s v="A"/>
    <x v="1"/>
    <s v="SIN ASIGNAR"/>
    <s v="SIN ASIGNAR"/>
    <s v="SI"/>
    <d v="1997-05-04T00:00:00"/>
    <n v="29"/>
    <s v="MASCULINO"/>
  </r>
  <r>
    <x v="0"/>
    <x v="0"/>
    <x v="0"/>
    <s v="1053828151"/>
    <s v="AGUIRRE OSORIO EDGAR"/>
    <x v="1"/>
    <x v="1"/>
    <x v="2"/>
    <s v="C813_00000000000641"/>
    <x v="156"/>
    <s v="AV CARRERA 68 # 39 I - 37 SUR  BOGOTA - CUNDINAMARCA"/>
    <x v="3"/>
    <x v="4"/>
    <s v="TRADITIONAL"/>
    <x v="0"/>
    <s v="CUNDINAMARCA"/>
    <x v="0"/>
    <s v="GAVIRIA FERRO DIEGO MAURICIO"/>
    <s v="PASTUSO ACHICUE CLAUDIA PATRICIA"/>
    <x v="10"/>
    <x v="3"/>
    <n v="1"/>
    <n v="0.5"/>
    <d v="2026-08-09T00:00:00"/>
    <d v="2026-08-14T00:00:00"/>
    <n v="2"/>
    <s v="-3 Months"/>
    <s v="NO DATA"/>
    <s v="NO DATA"/>
    <x v="1"/>
    <s v="SIN ASIGNAR"/>
    <s v="SIN ASIGNAR"/>
    <s v="NO"/>
    <d v="1993-07-26T00:00:00"/>
    <n v="33"/>
    <s v="MASCULINO"/>
  </r>
  <r>
    <x v="0"/>
    <x v="0"/>
    <x v="0"/>
    <s v="1053828151"/>
    <s v="AGUIRRE OSORIO EDGAR"/>
    <x v="1"/>
    <x v="1"/>
    <x v="2"/>
    <s v="C813_00000000000632"/>
    <x v="157"/>
    <s v="AV CARACAS # 10-09 BOGOTA - CUNDINAMARCA"/>
    <x v="3"/>
    <x v="4"/>
    <s v="TRADITIONAL"/>
    <x v="0"/>
    <s v="CUNDINAMARCA"/>
    <x v="0"/>
    <s v="GAVIRIA FERRO DIEGO MAURICIO"/>
    <s v="PASTUSO ACHICUE CLAUDIA PATRICIA"/>
    <x v="10"/>
    <x v="3"/>
    <n v="0"/>
    <n v="0.5"/>
    <d v="2026-08-09T00:00:00"/>
    <d v="2026-08-14T00:00:00"/>
    <n v="2"/>
    <s v="-3 Months"/>
    <s v="B"/>
    <s v="B"/>
    <x v="1"/>
    <s v="SIN ASIGNAR"/>
    <s v="SIN ASIGNAR"/>
    <s v="NO"/>
    <d v="1993-07-26T00:00:00"/>
    <n v="33"/>
    <s v="MASCULINO"/>
  </r>
  <r>
    <x v="0"/>
    <x v="1"/>
    <x v="0"/>
    <s v="1033785463"/>
    <s v="DIAZ HOYOS BRIAN ANDRES"/>
    <x v="1"/>
    <x v="1"/>
    <x v="2"/>
    <s v="C813_00000000000943"/>
    <x v="158"/>
    <s v="CARRERA 72 # 80 - 94 PISO 3"/>
    <x v="6"/>
    <x v="7"/>
    <s v="HIPERMERCADO"/>
    <x v="0"/>
    <s v="CUNDINAMARCA"/>
    <x v="0"/>
    <s v="PEÑA GARCIA JOINER ALEXIS"/>
    <s v="PASTUSO ACHICUE CLAUDIA PATRICIA"/>
    <x v="12"/>
    <x v="5"/>
    <n v="1"/>
    <n v="1"/>
    <d v="2026-08-01T00:00:00"/>
    <d v="2026-08-01T00:00:00"/>
    <n v="2"/>
    <s v="-3 Months"/>
    <s v="A"/>
    <s v="C"/>
    <x v="1"/>
    <s v="SIN ASIGNAR"/>
    <s v="SIN ASIGNAR"/>
    <s v="SI"/>
    <d v="1996-02-20T00:00:00"/>
    <n v="30"/>
    <s v="MASCULINO"/>
  </r>
  <r>
    <x v="0"/>
    <x v="0"/>
    <x v="0"/>
    <s v="1116722033"/>
    <s v="GUERRERO SUAREZ FABIO ANDRES"/>
    <x v="1"/>
    <x v="1"/>
    <x v="2"/>
    <s v="C813_00000000000445"/>
    <x v="159"/>
    <s v="CRA 24 # 25-60 JOSE LUIS ARANGO PBX: 226-2909 TULUA VALLE DEL CAUCA"/>
    <x v="8"/>
    <x v="24"/>
    <s v="TRADITIONAL"/>
    <x v="41"/>
    <s v="VALLE DEL CAUCA"/>
    <x v="4"/>
    <s v="ALVAREZ LONDOÑO JOHNNY"/>
    <s v="ROMERO ARENAS DANNY MAURICIO"/>
    <x v="9"/>
    <x v="6"/>
    <n v="1"/>
    <n v="0.25"/>
    <d v="2025-05-27T00:00:00"/>
    <d v="2025-05-27T00:00:00"/>
    <n v="16"/>
    <s v="12-24 Months"/>
    <s v="D"/>
    <s v="D"/>
    <x v="1"/>
    <s v="SIN ASIGNAR"/>
    <s v="SIN ASIGNAR"/>
    <s v="NO"/>
    <d v="1985-12-24T00:00:00"/>
    <n v="40"/>
    <s v="MASCULINO"/>
  </r>
  <r>
    <x v="0"/>
    <x v="0"/>
    <x v="0"/>
    <s v="1116722033"/>
    <s v="GUERRERO SUAREZ FABIO ANDRES"/>
    <x v="1"/>
    <x v="1"/>
    <x v="2"/>
    <s v="C813_00000000000689"/>
    <x v="160"/>
    <s v="CRA 19 # 28-76 CENTRO COMERCIAL LA HERRADURA TULUA VALLE DEL CAUCA"/>
    <x v="2"/>
    <x v="3"/>
    <s v="HIPERMERCADO"/>
    <x v="41"/>
    <s v="VALLE DEL CAUCA"/>
    <x v="4"/>
    <s v="ALVAREZ LONDOÑO JOHNNY"/>
    <s v="ROMERO ARENAS DANNY MAURICIO"/>
    <x v="9"/>
    <x v="2"/>
    <n v="0"/>
    <n v="0.75"/>
    <d v="2025-05-27T00:00:00"/>
    <d v="2025-05-27T00:00:00"/>
    <n v="16"/>
    <s v="12-24 Months"/>
    <s v="B"/>
    <s v="B"/>
    <x v="1"/>
    <s v="SIN ASIGNAR"/>
    <s v="SIN ASIGNAR"/>
    <s v="SI"/>
    <d v="1985-12-24T00:00:00"/>
    <n v="40"/>
    <s v="MASCULINO"/>
  </r>
  <r>
    <x v="0"/>
    <x v="0"/>
    <x v="0"/>
    <s v="1017127403"/>
    <s v="COBALEDA BACCA JENIFER FERNANDA"/>
    <x v="1"/>
    <x v="1"/>
    <x v="2"/>
    <s v="C813_00000000003118"/>
    <x v="161"/>
    <s v="CRA 49 # 46-48 BELLO ANTIOQUIA"/>
    <x v="10"/>
    <x v="19"/>
    <s v="TRADITIONAL"/>
    <x v="13"/>
    <s v="ANTIOQUIA"/>
    <x v="2"/>
    <s v="LOPEZ PALACIO PABLO EMILIO"/>
    <s v="ROMERO ARENAS DANNY MAURICIO"/>
    <x v="17"/>
    <x v="6"/>
    <n v="1"/>
    <n v="0.5"/>
    <d v="2025-01-02T00:00:00"/>
    <d v="2025-01-02T00:00:00"/>
    <n v="21"/>
    <s v="12-24 Months"/>
    <s v="D"/>
    <s v="D"/>
    <x v="1"/>
    <n v="3102694564"/>
    <s v="OK LINEA"/>
    <s v="NO"/>
    <d v="1986-03-23T00:00:00"/>
    <n v="40"/>
    <s v="FEMENINO"/>
  </r>
  <r>
    <x v="0"/>
    <x v="0"/>
    <x v="0"/>
    <s v="1017127403"/>
    <s v="COBALEDA BACCA JENIFER FERNANDA"/>
    <x v="1"/>
    <x v="1"/>
    <x v="2"/>
    <s v="C813_00000000003121"/>
    <x v="162"/>
    <s v="CL. 51 #49-06, LOS NARANJOS, ITAGÜI, ANTIOQUIA"/>
    <x v="10"/>
    <x v="19"/>
    <s v="TRADITIONAL"/>
    <x v="2"/>
    <s v="ANTIOQUIA"/>
    <x v="2"/>
    <s v="LOPEZ PALACIO PABLO EMILIO"/>
    <s v="ROMERO ARENAS DANNY MAURICIO"/>
    <x v="17"/>
    <x v="6"/>
    <n v="0"/>
    <n v="0.5"/>
    <d v="2025-01-02T00:00:00"/>
    <d v="2025-01-02T00:00:00"/>
    <n v="21"/>
    <s v="12-24 Months"/>
    <s v="D"/>
    <s v="D"/>
    <x v="1"/>
    <n v="3102694564"/>
    <s v="OK LINEA"/>
    <s v="NO"/>
    <d v="1986-03-23T00:00:00"/>
    <n v="40"/>
    <s v="FEMENINO"/>
  </r>
  <r>
    <x v="0"/>
    <x v="0"/>
    <x v="0"/>
    <s v="1023886937"/>
    <s v="GONZALEZ PEDREROS PAOLA MILENA"/>
    <x v="1"/>
    <x v="1"/>
    <x v="2"/>
    <s v="SED_0022"/>
    <x v="163"/>
    <s v="CR 7 # 17 - 51 PISO 11"/>
    <x v="3"/>
    <x v="4"/>
    <s v="TRADITIONAL"/>
    <x v="0"/>
    <s v="CUNDINAMARCA"/>
    <x v="0"/>
    <s v="GAVIRIA FERRO DIEGO MAURICIO"/>
    <s v="PASTUSO ACHICUE CLAUDIA PATRICIA"/>
    <x v="10"/>
    <x v="3"/>
    <n v="1"/>
    <n v="1"/>
    <d v="2025-01-02T00:00:00"/>
    <d v="2024-08-26T00:00:00"/>
    <n v="25"/>
    <s v="+24 Mounths"/>
    <s v="NO DATA"/>
    <s v="NO DATA"/>
    <x v="0"/>
    <n v="3102635907"/>
    <s v="OK LINEA"/>
    <s v="NO"/>
    <d v="1989-08-08T00:00:00"/>
    <n v="37"/>
    <s v="FEMENINO"/>
  </r>
  <r>
    <x v="0"/>
    <x v="0"/>
    <x v="0"/>
    <s v="80254785"/>
    <s v="CHITIVA JIMENEZ EDISON ADOLFO"/>
    <x v="1"/>
    <x v="1"/>
    <x v="2"/>
    <s v="C813_00000000000283"/>
    <x v="118"/>
    <s v="CARRERA 30 N ° 10-25 BOGOTA"/>
    <x v="1"/>
    <x v="2"/>
    <s v="HIPERMERCADO"/>
    <x v="0"/>
    <s v="CUNDINAMARCA"/>
    <x v="0"/>
    <s v="PEÑA GARCIA JOINER ALEXIS"/>
    <s v="PASTUSO ACHICUE CLAUDIA PATRICIA"/>
    <x v="6"/>
    <x v="1"/>
    <n v="1"/>
    <n v="1"/>
    <d v="2026-07-22T00:00:00"/>
    <d v="2026-07-22T00:00:00"/>
    <n v="2"/>
    <s v="-3 Months"/>
    <s v="B"/>
    <s v="B"/>
    <x v="1"/>
    <s v="SIN ASIGNAR"/>
    <s v="SIN ASIGNAR"/>
    <s v="SI"/>
    <d v="1984-10-28T00:00:00"/>
    <n v="41"/>
    <s v="MASCULINO"/>
  </r>
  <r>
    <x v="0"/>
    <x v="0"/>
    <x v="0"/>
    <s v="1023958109"/>
    <s v="VELANDIA LEIDY"/>
    <x v="1"/>
    <x v="1"/>
    <x v="2"/>
    <s v="C813_00000000005012"/>
    <x v="164"/>
    <s v="CARRERA 100 # 19-57 BOGOTA - CUNDINAMARCA"/>
    <x v="3"/>
    <x v="4"/>
    <s v="TRADITIONAL"/>
    <x v="0"/>
    <s v="CUNDINAMARCA"/>
    <x v="0"/>
    <s v="GAVIRIA FERRO DIEGO MAURICIO"/>
    <s v="PASTUSO ACHICUE CLAUDIA PATRICIA"/>
    <x v="10"/>
    <x v="3"/>
    <n v="1"/>
    <n v="0.3"/>
    <d v="2026-05-26T00:00:00"/>
    <d v="2026-05-26T00:00:00"/>
    <n v="4"/>
    <s v="3-6 Months"/>
    <s v="NO DATA"/>
    <s v="NO DATA"/>
    <x v="1"/>
    <s v="SIN ASIGNAR"/>
    <s v="SIN ASIGNAR"/>
    <s v="NO"/>
    <d v="1997-02-11T00:00:00"/>
    <n v="29"/>
    <s v="FEMENINO"/>
  </r>
  <r>
    <x v="0"/>
    <x v="0"/>
    <x v="0"/>
    <s v="1023958109"/>
    <s v="VELANDIA LEIDY"/>
    <x v="1"/>
    <x v="1"/>
    <x v="2"/>
    <s v="C813_00000000000619"/>
    <x v="165"/>
    <s v="AVENIDA CARRERA 80 # 44-19 SUR BOGOTA - CUNDINAMARCA"/>
    <x v="3"/>
    <x v="4"/>
    <s v="TRADITIONAL"/>
    <x v="0"/>
    <s v="CUNDINAMARCA"/>
    <x v="0"/>
    <s v="GAVIRIA FERRO DIEGO MAURICIO"/>
    <s v="PASTUSO ACHICUE CLAUDIA PATRICIA"/>
    <x v="10"/>
    <x v="3"/>
    <n v="0"/>
    <n v="0.5"/>
    <d v="2026-05-26T00:00:00"/>
    <d v="2026-05-26T00:00:00"/>
    <n v="4"/>
    <s v="3-6 Months"/>
    <s v="NO DATA"/>
    <s v="NO DATA"/>
    <x v="1"/>
    <s v="SIN ASIGNAR"/>
    <s v="SIN ASIGNAR"/>
    <s v="NO"/>
    <d v="1997-02-11T00:00:00"/>
    <n v="29"/>
    <s v="FEMENINO"/>
  </r>
  <r>
    <x v="0"/>
    <x v="0"/>
    <x v="0"/>
    <s v="6738093"/>
    <s v="GARCIA ALVAREZ MARIA GABRIELA"/>
    <x v="1"/>
    <x v="1"/>
    <x v="2"/>
    <s v="C813_00000000000923"/>
    <x v="15"/>
    <s v="TV 71D # 26 - 94 SUR / CC PLAZA DE LAS AMÉRICAS L1902 - B"/>
    <x v="1"/>
    <x v="1"/>
    <s v="HIPERMERCADO"/>
    <x v="0"/>
    <s v="CUNDINAMARCA"/>
    <x v="0"/>
    <s v="PEÑA GARCIA JOINER ALEXIS"/>
    <s v="PASTUSO ACHICUE CLAUDIA PATRICIA"/>
    <x v="6"/>
    <x v="1"/>
    <n v="1"/>
    <n v="1"/>
    <d v="2025-05-09T00:00:00"/>
    <d v="2025-05-09T00:00:00"/>
    <n v="17"/>
    <s v="12-24 Months"/>
    <s v="D"/>
    <s v="B"/>
    <x v="1"/>
    <n v="3102607930"/>
    <s v="OK LINEA"/>
    <s v="SI"/>
    <d v="1994-11-11T00:00:00"/>
    <n v="31"/>
    <s v="FEMENINO"/>
  </r>
  <r>
    <x v="0"/>
    <x v="0"/>
    <x v="0"/>
    <s v="1002624062"/>
    <s v="GONZALEZ PACHON CRISTIAN CAMILO"/>
    <x v="3"/>
    <x v="1"/>
    <x v="2"/>
    <s v="C813_00000000006343"/>
    <x v="12"/>
    <s v="AV UNIVERSITARIA # 50-21 CENTRO COMERCIAL VIVA LOCAL 209 TUNJA BOYACA"/>
    <x v="1"/>
    <x v="1"/>
    <s v="HIPERMERCADO"/>
    <x v="6"/>
    <s v="BOYACA"/>
    <x v="0"/>
    <s v="PEÑA GARCIA JOINER ALEXIS"/>
    <s v="PASTUSO ACHICUE CLAUDIA PATRICIA"/>
    <x v="8"/>
    <x v="1"/>
    <n v="1"/>
    <n v="1"/>
    <d v="2025-01-02T00:00:00"/>
    <d v="2021-07-08T00:00:00"/>
    <n v="63"/>
    <s v="+24 Mounths"/>
    <s v="C"/>
    <s v="A"/>
    <x v="0"/>
    <n v="3102632947"/>
    <s v="OK LINEA"/>
    <s v="SI"/>
    <d v="2001-03-31T00:00:00"/>
    <n v="25"/>
    <s v="MASCULINO"/>
  </r>
  <r>
    <x v="0"/>
    <x v="0"/>
    <x v="0"/>
    <s v="1002678348"/>
    <s v="GONZALEZ MURILLO AMARLY YANIRA"/>
    <x v="1"/>
    <x v="1"/>
    <x v="2"/>
    <s v="C813_00000000000109"/>
    <x v="40"/>
    <s v="CALLE 5 # 38D-35 CALI VALLE DEL CAUCA"/>
    <x v="2"/>
    <x v="3"/>
    <s v="HIPERMERCADO"/>
    <x v="4"/>
    <s v="VALLE DEL CAUCA"/>
    <x v="4"/>
    <s v="ALVAREZ LONDOÑO JOHNNY"/>
    <s v="ROMERO ARENAS DANNY MAURICIO"/>
    <x v="9"/>
    <x v="2"/>
    <n v="1"/>
    <n v="1"/>
    <d v="2025-01-02T00:00:00"/>
    <d v="2024-07-15T00:00:00"/>
    <n v="27"/>
    <s v="+24 Mounths"/>
    <s v="B"/>
    <s v="B"/>
    <x v="0"/>
    <n v="3102626171"/>
    <s v="OK LINEA"/>
    <s v="SI"/>
    <d v="1994-08-11T00:00:00"/>
    <n v="32"/>
    <s v="FEMENINO"/>
  </r>
  <r>
    <x v="0"/>
    <x v="0"/>
    <x v="0"/>
    <s v="1030700828"/>
    <s v="VILLALBA PATIÑO XIOMY JOHANA"/>
    <x v="1"/>
    <x v="1"/>
    <x v="2"/>
    <s v="C813_00000000003336"/>
    <x v="166"/>
    <s v="AVENIDA CARRERA 27 # 38 A - 27 SUR  BOGOTA - CUNDINAMARCA"/>
    <x v="3"/>
    <x v="4"/>
    <s v="TRADITIONAL"/>
    <x v="0"/>
    <s v="CUNDINAMARCA"/>
    <x v="0"/>
    <s v="GAVIRIA FERRO DIEGO MAURICIO"/>
    <s v="PASTUSO ACHICUE CLAUDIA PATRICIA"/>
    <x v="10"/>
    <x v="3"/>
    <n v="1"/>
    <n v="0.8"/>
    <d v="2026-01-15T00:00:00"/>
    <d v="2026-01-15T00:00:00"/>
    <n v="9"/>
    <s v="9-12 Months"/>
    <s v="NO DATA"/>
    <s v="NO DATA"/>
    <x v="1"/>
    <s v="SIN ASIGNAR"/>
    <s v="SIN ASIGNAR"/>
    <s v="NO"/>
    <d v="1999-10-29T00:00:00"/>
    <n v="26"/>
    <s v="FEMENINO"/>
  </r>
  <r>
    <x v="0"/>
    <x v="0"/>
    <x v="0"/>
    <s v="1030700828"/>
    <s v="VILLALBA PATIÑO XIOMY JOHANA"/>
    <x v="1"/>
    <x v="1"/>
    <x v="2"/>
    <s v="C813_00000000001140"/>
    <x v="167"/>
    <s v="CC PLAZA DE LAS AMÉRICAS CRA 71D NO. 6-94 SUR, LOCAL 1639"/>
    <x v="3"/>
    <x v="4"/>
    <s v="TRADITIONAL"/>
    <x v="0"/>
    <s v="CUNDINAMARCA"/>
    <x v="0"/>
    <s v="GAVIRIA FERRO DIEGO MAURICIO"/>
    <s v="PASTUSO ACHICUE CLAUDIA PATRICIA"/>
    <x v="10"/>
    <x v="3"/>
    <n v="0"/>
    <n v="0.2"/>
    <d v="2026-01-15T00:00:00"/>
    <d v="2026-01-15T00:00:00"/>
    <n v="9"/>
    <s v="9-12 Months"/>
    <s v="NO DATA"/>
    <s v="NO DATA"/>
    <x v="1"/>
    <s v="SIN ASIGNAR"/>
    <s v="SIN ASIGNAR"/>
    <s v="NO"/>
    <d v="1999-10-29T00:00:00"/>
    <n v="26"/>
    <s v="FEMENINO"/>
  </r>
  <r>
    <x v="0"/>
    <x v="0"/>
    <x v="0"/>
    <s v="1100971773"/>
    <s v="GOMEZ SUAREZ WILLIAM JAVIER"/>
    <x v="1"/>
    <x v="1"/>
    <x v="2"/>
    <s v="C813_00000000004472"/>
    <x v="168"/>
    <s v="CALLE 10 #12 - 184, SAN GIL, NORTE DE SANTANDER"/>
    <x v="4"/>
    <x v="5"/>
    <s v="HIPERMERCADO"/>
    <x v="42"/>
    <s v="SANTANDER"/>
    <x v="1"/>
    <s v="PRENT SAMPAYO ANDERSON GUILLERMO"/>
    <s v="GRANADOS NAVARRO YEFERSON ORLANDO"/>
    <x v="2"/>
    <x v="3"/>
    <n v="1"/>
    <n v="1"/>
    <d v="2026-01-15T00:00:00"/>
    <d v="2026-01-15T00:00:00"/>
    <n v="9"/>
    <s v="9-12 Months"/>
    <s v="A"/>
    <s v="D"/>
    <x v="1"/>
    <s v="SIN ASIGNAR"/>
    <s v="SIN ASIGNAR"/>
    <s v="NO"/>
    <d v="1997-09-30T00:00:00"/>
    <n v="29"/>
    <s v="MASCULINO"/>
  </r>
  <r>
    <x v="0"/>
    <x v="0"/>
    <x v="0"/>
    <s v="1127061942"/>
    <s v="GOMEZ RICO MARIA MONICA"/>
    <x v="1"/>
    <x v="1"/>
    <x v="2"/>
    <s v="C813_00000000006417"/>
    <x v="169"/>
    <s v="AVENIDA ANILLO VIAL ORIENTAL # 13-70 CUCUTA NORTE DE SANTANDER"/>
    <x v="1"/>
    <x v="10"/>
    <s v="HIPERMERCADO"/>
    <x v="11"/>
    <s v="NORTE DE SANTANDER"/>
    <x v="1"/>
    <s v="PRENT SAMPAYO ANDERSON GUILLERMO"/>
    <s v="GRANADOS NAVARRO YEFERSON ORLANDO"/>
    <x v="2"/>
    <x v="1"/>
    <n v="1"/>
    <n v="1"/>
    <d v="2025-01-02T00:00:00"/>
    <d v="2023-08-04T00:00:00"/>
    <n v="38"/>
    <s v="+24 Mounths"/>
    <s v="D"/>
    <s v="B"/>
    <x v="0"/>
    <n v="3102623031"/>
    <s v="OK LINEA"/>
    <s v="SI"/>
    <d v="1997-09-12T00:00:00"/>
    <n v="29"/>
    <s v="FEMENINO"/>
  </r>
  <r>
    <x v="0"/>
    <x v="0"/>
    <x v="0"/>
    <s v="1003249531"/>
    <s v="GOMEZ GONZALEZ YERSON MAURICIO"/>
    <x v="1"/>
    <x v="1"/>
    <x v="2"/>
    <s v="C813_00000000000937"/>
    <x v="170"/>
    <s v="CALLE 5 # 23 - 73, AGUACHICA"/>
    <x v="5"/>
    <x v="6"/>
    <s v="HIPERMERCADO"/>
    <x v="43"/>
    <s v="CESAR"/>
    <x v="3"/>
    <s v="PRENT SAMPAYO ANDERSON GUILLERMO"/>
    <s v="GRANADOS NAVARRO YEFERSON ORLANDO"/>
    <x v="11"/>
    <x v="4"/>
    <n v="1"/>
    <n v="1"/>
    <d v="2025-01-27T00:00:00"/>
    <d v="2025-01-27T00:00:00"/>
    <n v="20"/>
    <s v="12-24 Months"/>
    <s v="NO DATA"/>
    <s v="NO DATA"/>
    <x v="1"/>
    <n v="3102647293"/>
    <s v="OK LINEA"/>
    <s v="NO"/>
    <d v="2003-08-11T00:00:00"/>
    <n v="23"/>
    <s v="MASCULINO"/>
  </r>
  <r>
    <x v="0"/>
    <x v="0"/>
    <x v="0"/>
    <s v="1061708853"/>
    <s v="CAICEDO MARLON ALVEIRO"/>
    <x v="1"/>
    <x v="1"/>
    <x v="2"/>
    <s v="C813_00000000006896"/>
    <x v="20"/>
    <s v="CARRERA 1 # 66 63"/>
    <x v="1"/>
    <x v="2"/>
    <s v="HIPERMERCADO"/>
    <x v="4"/>
    <s v="VALLE DEL CAUCA"/>
    <x v="4"/>
    <s v="ALVAREZ LONDOÑO JOHNNY"/>
    <s v="ROMERO ARENAS DANNY MAURICIO"/>
    <x v="5"/>
    <x v="1"/>
    <n v="1"/>
    <n v="1"/>
    <d v="2026-05-08T00:00:00"/>
    <d v="2026-05-08T00:00:00"/>
    <n v="5"/>
    <s v="3-6 Months"/>
    <s v="A"/>
    <s v="B"/>
    <x v="1"/>
    <s v="SIN ASIGNAR"/>
    <s v="SIN ASIGNAR"/>
    <s v="SI"/>
    <d v="1988-06-02T00:00:00"/>
    <n v="38"/>
    <s v="MASCULINO"/>
  </r>
  <r>
    <x v="0"/>
    <x v="0"/>
    <x v="0"/>
    <s v="1140888572"/>
    <s v="GOETTE DUVAN JOSE"/>
    <x v="1"/>
    <x v="1"/>
    <x v="2"/>
    <s v="C813_00000000005388"/>
    <x v="6"/>
    <s v="CL 98 #51B -91 BARRANQUILLA - ATLANTICO"/>
    <x v="1"/>
    <x v="2"/>
    <s v="HIPERMERCADO"/>
    <x v="3"/>
    <s v="ATLANTICO"/>
    <x v="3"/>
    <s v="PRENT SAMPAYO ANDERSON GUILLERMO"/>
    <s v="GRANADOS NAVARRO YEFERSON ORLANDO"/>
    <x v="4"/>
    <x v="1"/>
    <n v="1"/>
    <n v="1"/>
    <d v="2026-03-19T00:00:00"/>
    <d v="2026-03-19T00:00:00"/>
    <n v="6"/>
    <s v="6-9 Months"/>
    <s v="A"/>
    <s v="A"/>
    <x v="1"/>
    <s v="SIN ASIGNAR"/>
    <s v="SIN ASIGNAR"/>
    <s v="SI"/>
    <d v="1996-10-30T00:00:00"/>
    <n v="29"/>
    <s v="MASCULINO"/>
  </r>
  <r>
    <x v="0"/>
    <x v="0"/>
    <x v="0"/>
    <s v="1010227351"/>
    <s v="MENDEZ CINDY PAOLA"/>
    <x v="1"/>
    <x v="1"/>
    <x v="2"/>
    <s v="C813_00000000004677"/>
    <x v="171"/>
    <s v="CRA 3RA # 15ª-57 C.C. ECO PLAZA LOCAL 255-256 MOSQUERA CUNDINAMARCA"/>
    <x v="1"/>
    <x v="1"/>
    <s v="HIPERMERCADO"/>
    <x v="32"/>
    <s v="CUNDINAMARCA"/>
    <x v="0"/>
    <s v="PEÑA GARCIA JOINER ALEXIS"/>
    <s v="PASTUSO ACHICUE CLAUDIA PATRICIA"/>
    <x v="6"/>
    <x v="1"/>
    <n v="1"/>
    <n v="1"/>
    <d v="2026-06-19T00:00:00"/>
    <d v="2026-06-19T00:00:00"/>
    <n v="3"/>
    <s v="3-6 Months"/>
    <s v="D"/>
    <s v="B"/>
    <x v="1"/>
    <s v="SIN ASIGNAR"/>
    <s v="SIN ASIGNAR"/>
    <s v="SI"/>
    <d v="1996-04-13T00:00:00"/>
    <n v="30"/>
    <s v="FEMENINO"/>
  </r>
  <r>
    <x v="0"/>
    <x v="0"/>
    <x v="0"/>
    <s v="1110515296"/>
    <s v="GIL SANCHEZ JULIANA STEFANY"/>
    <x v="1"/>
    <x v="1"/>
    <x v="2"/>
    <s v="C813_00000000000098"/>
    <x v="128"/>
    <s v="CALLE 10 # 43E-135 MEDELLIN ANTIOQUIA"/>
    <x v="2"/>
    <x v="3"/>
    <s v="HIPERMERCADO"/>
    <x v="2"/>
    <s v="ANTIOQUIA"/>
    <x v="2"/>
    <s v="LOPEZ PALACIO PABLO EMILIO"/>
    <s v="ROMERO ARENAS DANNY MAURICIO"/>
    <x v="3"/>
    <x v="2"/>
    <n v="1"/>
    <n v="1"/>
    <d v="2025-01-17T00:00:00"/>
    <d v="2025-01-17T00:00:00"/>
    <n v="20"/>
    <s v="12-24 Months"/>
    <s v="A"/>
    <s v="A"/>
    <x v="1"/>
    <n v="3102656195"/>
    <s v="OK LINEA"/>
    <s v="SI"/>
    <d v="1991-09-27T00:00:00"/>
    <n v="35"/>
    <s v="FEMENINO"/>
  </r>
  <r>
    <x v="0"/>
    <x v="0"/>
    <x v="0"/>
    <s v="7573788"/>
    <s v="PEREZ FREDY"/>
    <x v="1"/>
    <x v="1"/>
    <x v="2"/>
    <s v="C813_00000000000711"/>
    <x v="172"/>
    <s v="CALLE 16 # 19 - 50 VALLEDUPAR"/>
    <x v="2"/>
    <x v="3"/>
    <s v="HIPERMERCADO"/>
    <x v="40"/>
    <s v="CESAR"/>
    <x v="3"/>
    <s v="PRENT SAMPAYO ANDERSON GUILLERMO"/>
    <s v="GRANADOS NAVARRO YEFERSON ORLANDO"/>
    <x v="4"/>
    <x v="2"/>
    <n v="1"/>
    <n v="1"/>
    <d v="2026-07-25T00:00:00"/>
    <d v="2026-07-25T00:00:00"/>
    <n v="2"/>
    <s v="-3 Months"/>
    <s v="B"/>
    <s v="B"/>
    <x v="1"/>
    <s v="SIN ASIGNAR"/>
    <s v="SIN ASIGNAR"/>
    <s v="SI"/>
    <d v="1983-03-20T00:00:00"/>
    <n v="43"/>
    <s v="MASCULINO"/>
  </r>
  <r>
    <x v="0"/>
    <x v="0"/>
    <x v="0"/>
    <s v="1082881365"/>
    <s v="GALINDO MERCADO LUIS GUILLERMO"/>
    <x v="1"/>
    <x v="1"/>
    <x v="2"/>
    <s v="C813_00000000000342"/>
    <x v="173"/>
    <s v="CRA 14 # 29-116  SANTA MARTA MAGDALENA"/>
    <x v="4"/>
    <x v="5"/>
    <s v="HIPERMERCADO"/>
    <x v="18"/>
    <s v="MAGDALENA"/>
    <x v="3"/>
    <s v="PRENT SAMPAYO ANDERSON GUILLERMO"/>
    <s v="GRANADOS NAVARRO YEFERSON ORLANDO"/>
    <x v="4"/>
    <x v="3"/>
    <n v="1"/>
    <n v="1"/>
    <d v="2026-09-29T00:00:00"/>
    <d v="2026-09-29T00:00:00"/>
    <n v="0"/>
    <s v="-3 Months"/>
    <s v="A"/>
    <s v="C"/>
    <x v="1"/>
    <s v="SIN ASIGNAR"/>
    <s v="SIN ASIGNAR"/>
    <s v="NO"/>
    <d v="1988-02-24T00:00:00"/>
    <n v="38"/>
    <s v="MASCULINO"/>
  </r>
  <r>
    <x v="0"/>
    <x v="0"/>
    <x v="0"/>
    <s v="1039464863"/>
    <s v="MAZO LOPEZ CRISTIAN CAMILO"/>
    <x v="4"/>
    <x v="1"/>
    <x v="2"/>
    <s v="C813_00000000000102"/>
    <x v="174"/>
    <s v="CRA 81 # 37-100 MEDELLIN ANTIOQUIA"/>
    <x v="2"/>
    <x v="3"/>
    <s v="HIPERMERCADO"/>
    <x v="2"/>
    <s v="ANTIOQUIA"/>
    <x v="2"/>
    <s v="LOPEZ PALACIO PABLO EMILIO"/>
    <s v="ROMERO ARENAS DANNY MAURICIO"/>
    <x v="3"/>
    <x v="2"/>
    <n v="1"/>
    <n v="1"/>
    <d v="2025-01-02T00:00:00"/>
    <d v="2020-08-13T00:00:00"/>
    <n v="74"/>
    <s v="+24 Mounths"/>
    <s v="A"/>
    <s v="A"/>
    <x v="0"/>
    <n v="3102661393"/>
    <s v="OK LINEA"/>
    <s v="SI"/>
    <d v="1995-07-19T00:00:00"/>
    <n v="31"/>
    <s v="MASCULINO"/>
  </r>
  <r>
    <x v="0"/>
    <x v="0"/>
    <x v="0"/>
    <s v="1129510010"/>
    <s v="GARCIA RODRIGUEZ MIGUEL ANGEL"/>
    <x v="1"/>
    <x v="1"/>
    <x v="2"/>
    <s v="C813_00000000000138"/>
    <x v="82"/>
    <s v="CALLE 53 # 46-38"/>
    <x v="5"/>
    <x v="6"/>
    <s v="HIPERMERCADO"/>
    <x v="3"/>
    <s v="ATLANTICO"/>
    <x v="3"/>
    <s v="PRENT SAMPAYO ANDERSON GUILLERMO"/>
    <s v="GRANADOS NAVARRO YEFERSON ORLANDO"/>
    <x v="11"/>
    <x v="4"/>
    <n v="1"/>
    <n v="1"/>
    <d v="2025-01-02T00:00:00"/>
    <d v="2023-02-23T00:00:00"/>
    <n v="43"/>
    <s v="+24 Mounths"/>
    <s v="A"/>
    <s v="A"/>
    <x v="0"/>
    <n v="3102637408"/>
    <s v="OK LINEA"/>
    <s v="SI"/>
    <d v="1988-02-13T00:00:00"/>
    <n v="38"/>
    <s v="MASCULINO"/>
  </r>
  <r>
    <x v="0"/>
    <x v="0"/>
    <x v="0"/>
    <s v="1107978764"/>
    <s v="GOMEZ JULIANA"/>
    <x v="1"/>
    <x v="1"/>
    <x v="2"/>
    <s v="C813_00000000004995"/>
    <x v="175"/>
    <s v="CALLE 57 # 60K-8E AV GUABINAL CENTRO COMERCIAL ACQUA IBAGUE TOLIMA"/>
    <x v="6"/>
    <x v="7"/>
    <s v="HIPERMERCADO"/>
    <x v="12"/>
    <s v="TOLIMA"/>
    <x v="7"/>
    <s v="PEÑA GARCIA JOINER ALEXIS"/>
    <s v="PASTUSO ACHICUE CLAUDIA PATRICIA"/>
    <x v="13"/>
    <x v="5"/>
    <n v="1"/>
    <n v="1"/>
    <d v="2026-07-22T00:00:00"/>
    <d v="2026-07-22T00:00:00"/>
    <n v="2"/>
    <s v="-3 Months"/>
    <s v="A"/>
    <s v="C"/>
    <x v="1"/>
    <s v="SIN ASIGNAR"/>
    <s v="SIN ASIGNAR"/>
    <s v="SI"/>
    <d v="2007-11-23T00:00:00"/>
    <n v="18"/>
    <s v="FEMENINO"/>
  </r>
  <r>
    <x v="0"/>
    <x v="0"/>
    <x v="0"/>
    <s v="1020817911"/>
    <s v="PRIETO CALDERON ESTEFANIA "/>
    <x v="1"/>
    <x v="1"/>
    <x v="2"/>
    <s v="C813_00000000000034"/>
    <x v="176"/>
    <s v="AVENIDA 15 # 123-30 BOGOTA CUNDINAMARCA"/>
    <x v="2"/>
    <x v="3"/>
    <s v="HIPERMERCADO"/>
    <x v="0"/>
    <s v="CUNDINAMARCA"/>
    <x v="0"/>
    <s v="GAVIRIA FERRO DIEGO MAURICIO"/>
    <s v="PASTUSO ACHICUE CLAUDIA PATRICIA"/>
    <x v="14"/>
    <x v="2"/>
    <n v="1"/>
    <n v="1"/>
    <d v="2025-01-23T00:00:00"/>
    <d v="2025-01-23T00:00:00"/>
    <n v="20"/>
    <s v="12-24 Months"/>
    <s v="C"/>
    <s v="C"/>
    <x v="1"/>
    <n v="3102690616"/>
    <s v="OK LINEA"/>
    <s v="SI"/>
    <d v="1996-05-12T00:00:00"/>
    <n v="30"/>
    <s v="FEMENINO"/>
  </r>
  <r>
    <x v="0"/>
    <x v="0"/>
    <x v="0"/>
    <s v="1024522016"/>
    <s v="GARCIA DEVIA DIANA ZAMIRA"/>
    <x v="1"/>
    <x v="1"/>
    <x v="2"/>
    <s v="C813_00000000000111"/>
    <x v="177"/>
    <s v="CALLE 38 A SUR # 34D-51 BOGOTA"/>
    <x v="2"/>
    <x v="3"/>
    <s v="HIPERMERCADO"/>
    <x v="0"/>
    <s v="CUNDINAMARCA"/>
    <x v="0"/>
    <s v="GAVIRIA FERRO DIEGO MAURICIO"/>
    <s v="PASTUSO ACHICUE CLAUDIA PATRICIA"/>
    <x v="14"/>
    <x v="2"/>
    <n v="1"/>
    <n v="1"/>
    <d v="2025-01-02T00:00:00"/>
    <d v="2023-03-09T00:00:00"/>
    <n v="43"/>
    <s v="+24 Mounths"/>
    <s v="A"/>
    <s v="A"/>
    <x v="0"/>
    <n v="3102615306"/>
    <s v="OK LINEA"/>
    <s v="SI"/>
    <d v="1991-09-25T00:00:00"/>
    <n v="35"/>
    <s v="FEMENINO"/>
  </r>
  <r>
    <x v="0"/>
    <x v="0"/>
    <x v="0"/>
    <s v="1039095854"/>
    <s v="GARCIA ALVAREZ WILBERTO"/>
    <x v="1"/>
    <x v="1"/>
    <x v="2"/>
    <s v="C813_00000000000510"/>
    <x v="178"/>
    <s v="CALLE 50 # 53-74"/>
    <x v="10"/>
    <x v="25"/>
    <s v="TRADITIONAL"/>
    <x v="2"/>
    <s v="ANTIOQUIA"/>
    <x v="2"/>
    <s v="LOPEZ PALACIO PABLO EMILIO"/>
    <s v="ROMERO ARENAS DANNY MAURICIO"/>
    <x v="17"/>
    <x v="6"/>
    <n v="1"/>
    <n v="1"/>
    <d v="2025-01-02T00:00:00"/>
    <d v="2025-01-02T00:00:00"/>
    <n v="21"/>
    <s v="12-24 Months"/>
    <s v="D"/>
    <s v="D"/>
    <x v="0"/>
    <n v="3102642421"/>
    <s v="OK LINEA"/>
    <s v="NO"/>
    <d v="1992-12-27T00:00:00"/>
    <n v="33"/>
    <s v="MASCULINO"/>
  </r>
  <r>
    <x v="0"/>
    <x v="0"/>
    <x v="0"/>
    <s v="1010236979"/>
    <s v="GONZALEZ SERGIO"/>
    <x v="4"/>
    <x v="1"/>
    <x v="2"/>
    <s v="C813_00000000000936"/>
    <x v="14"/>
    <s v="AV CRA 27 # 38A-83 SUR LOCALES 13 14 15 16 Y 17 BOGOTA"/>
    <x v="1"/>
    <x v="1"/>
    <s v="HIPERMERCADO"/>
    <x v="0"/>
    <s v="CUNDINAMARCA"/>
    <x v="0"/>
    <s v="PEÑA GARCIA JOINER ALEXIS"/>
    <s v="PASTUSO ACHICUE CLAUDIA PATRICIA"/>
    <x v="6"/>
    <x v="1"/>
    <n v="1"/>
    <n v="1"/>
    <d v="2025-05-07T00:00:00"/>
    <d v="2025-05-07T00:00:00"/>
    <n v="17"/>
    <s v="12-24 Months"/>
    <s v="D"/>
    <s v="B"/>
    <x v="1"/>
    <n v="3115960487"/>
    <s v="OK LINEA"/>
    <s v="SI"/>
    <d v="1997-10-21T00:00:00"/>
    <n v="28"/>
    <s v="MASCULINO"/>
  </r>
  <r>
    <x v="0"/>
    <x v="0"/>
    <x v="0"/>
    <s v="1152685055"/>
    <s v="GALLEGO JAVIER"/>
    <x v="1"/>
    <x v="1"/>
    <x v="2"/>
    <s v="C813_00000000004384"/>
    <x v="179"/>
    <s v="CARRERA 49, CL. 32B SUR #24, ENVIGADO, ANTIOQUIA"/>
    <x v="9"/>
    <x v="16"/>
    <s v="HIPERMERCADO"/>
    <x v="37"/>
    <s v="ANTIOQUIA"/>
    <x v="2"/>
    <s v="LOPEZ PALACIO PABLO EMILIO"/>
    <s v="ROMERO ARENAS DANNY MAURICIO"/>
    <x v="17"/>
    <x v="4"/>
    <n v="0"/>
    <n v="0.5"/>
    <d v="2026-03-25T00:00:00"/>
    <d v="2026-03-25T00:00:00"/>
    <n v="6"/>
    <s v="6-9 Months"/>
    <s v="D"/>
    <s v="D"/>
    <x v="1"/>
    <s v="SIN ASIGNAR"/>
    <s v="SIN ASIGNAR"/>
    <s v="NO"/>
    <d v="1991-05-12T00:00:00"/>
    <n v="35"/>
    <s v="MASCULINO"/>
  </r>
  <r>
    <x v="0"/>
    <x v="0"/>
    <x v="0"/>
    <s v="1152685055"/>
    <s v="GALLEGO JAVIER"/>
    <x v="1"/>
    <x v="1"/>
    <x v="2"/>
    <s v="C813_00000000004380"/>
    <x v="180"/>
    <s v="AVENIDA LOS INDUSTRIALES # 14-135 MEDELLIN ANTIOQUIA"/>
    <x v="9"/>
    <x v="16"/>
    <s v="HIPERMERCADO"/>
    <x v="2"/>
    <s v="ANTIOQUIA"/>
    <x v="2"/>
    <s v="LOPEZ PALACIO PABLO EMILIO"/>
    <s v="ROMERO ARENAS DANNY MAURICIO"/>
    <x v="17"/>
    <x v="4"/>
    <n v="1"/>
    <n v="0.5"/>
    <d v="2026-03-25T00:00:00"/>
    <d v="2026-03-25T00:00:00"/>
    <n v="6"/>
    <s v="6-9 Months"/>
    <s v="D"/>
    <s v="D"/>
    <x v="1"/>
    <s v="SIN ASIGNAR"/>
    <s v="SIN ASIGNAR"/>
    <s v="SI"/>
    <d v="1991-05-12T00:00:00"/>
    <n v="35"/>
    <s v="MASCULINO"/>
  </r>
  <r>
    <x v="0"/>
    <x v="0"/>
    <x v="0"/>
    <s v="1111806363"/>
    <s v="GALLEGO BOLAÑOS JEFERSSON"/>
    <x v="1"/>
    <x v="1"/>
    <x v="2"/>
    <s v="C813_00000000000690"/>
    <x v="181"/>
    <s v="CALLE 2 # 66-86"/>
    <x v="2"/>
    <x v="3"/>
    <s v="HIPERMERCADO"/>
    <x v="21"/>
    <s v="VALLE DEL CAUCA"/>
    <x v="4"/>
    <s v="ALVAREZ LONDOÑO JOHNNY"/>
    <s v="ROMERO ARENAS DANNY MAURICIO"/>
    <x v="9"/>
    <x v="2"/>
    <n v="1"/>
    <n v="1"/>
    <d v="2025-01-02T00:00:00"/>
    <d v="2021-10-15T00:00:00"/>
    <n v="60"/>
    <s v="+24 Mounths"/>
    <s v="A"/>
    <s v="C"/>
    <x v="0"/>
    <n v="3102616913"/>
    <s v="OK LINEA"/>
    <s v="SI"/>
    <d v="1995-10-29T00:00:00"/>
    <n v="30"/>
    <s v="MASCULINO"/>
  </r>
  <r>
    <x v="0"/>
    <x v="0"/>
    <x v="0"/>
    <s v="14138246"/>
    <s v="FRANK WILHELN RODRIGUEZ ARANGO"/>
    <x v="1"/>
    <x v="1"/>
    <x v="2"/>
    <s v="C813_00000000007421"/>
    <x v="182"/>
    <s v="KR 13 #13-57, LOS MÁRTIRES, BOGOTÁ, COLOMBIA"/>
    <x v="9"/>
    <x v="15"/>
    <s v="TRADITIONAL"/>
    <x v="0"/>
    <s v="CUNDINAMARCA"/>
    <x v="0"/>
    <s v="GAVIRIA FERRO DIEGO MAURICIO"/>
    <s v="PASTUSO ACHICUE CLAUDIA PATRICIA"/>
    <x v="12"/>
    <x v="5"/>
    <n v="1"/>
    <n v="0.5"/>
    <d v="2026-05-23T00:00:00"/>
    <d v="2026-05-23T00:00:00"/>
    <n v="4"/>
    <s v="3-6 Months"/>
    <s v="NO DATA"/>
    <s v="NO DATA"/>
    <x v="1"/>
    <s v="SIN ASIGNAR"/>
    <s v="SIN ASIGNAR"/>
    <s v="NO"/>
    <d v="1984-04-21T00:00:00"/>
    <n v="42"/>
    <s v="MASCULINO"/>
  </r>
  <r>
    <x v="0"/>
    <x v="0"/>
    <x v="0"/>
    <s v="14138246"/>
    <s v="FRANK WILHELN RODRIGUEZ ARANGO"/>
    <x v="1"/>
    <x v="1"/>
    <x v="2"/>
    <s v="C813_00000000005031"/>
    <x v="183"/>
    <s v="CARRERA 13 # 15-62  BOGOTA"/>
    <x v="9"/>
    <x v="15"/>
    <s v="TRADITIONAL"/>
    <x v="0"/>
    <s v="CUNDINAMARCA"/>
    <x v="0"/>
    <s v="GAVIRIA FERRO DIEGO MAURICIO"/>
    <s v="PASTUSO ACHICUE CLAUDIA PATRICIA"/>
    <x v="12"/>
    <x v="5"/>
    <n v="0"/>
    <n v="0.5"/>
    <d v="2026-05-23T00:00:00"/>
    <d v="2026-05-23T00:00:00"/>
    <n v="4"/>
    <s v="3-6 Months"/>
    <s v="B"/>
    <s v="B"/>
    <x v="1"/>
    <s v="SIN ASIGNAR"/>
    <s v="SIN ASIGNAR"/>
    <s v="NO"/>
    <d v="1984-04-21T00:00:00"/>
    <n v="42"/>
    <s v="MASCULINO"/>
  </r>
  <r>
    <x v="0"/>
    <x v="0"/>
    <x v="0"/>
    <s v="1013615210"/>
    <s v="GALINDO VARGAS ALVARO LEONARDO "/>
    <x v="1"/>
    <x v="1"/>
    <x v="2"/>
    <s v="C813_00000000000875"/>
    <x v="184"/>
    <s v="CARRERA 13 # 16-15 BOGOTA CUNDINAMARCA"/>
    <x v="9"/>
    <x v="15"/>
    <s v="TRADITIONAL"/>
    <x v="0"/>
    <s v="CUNDINAMARCA"/>
    <x v="0"/>
    <s v="GAVIRIA FERRO DIEGO MAURICIO"/>
    <s v="PASTUSO ACHICUE CLAUDIA PATRICIA"/>
    <x v="12"/>
    <x v="5"/>
    <n v="1"/>
    <n v="1"/>
    <d v="2025-01-20T00:00:00"/>
    <d v="2025-01-20T00:00:00"/>
    <n v="20"/>
    <s v="12-24 Months"/>
    <s v="B"/>
    <s v="B"/>
    <x v="1"/>
    <n v="3102612765"/>
    <s v="OK LINEA"/>
    <s v="NO"/>
    <d v="1990-09-11T00:00:00"/>
    <n v="36"/>
    <s v="MASCULINO"/>
  </r>
  <r>
    <x v="0"/>
    <x v="0"/>
    <x v="0"/>
    <s v="1010214294"/>
    <s v="FORIGUA RAMIREZ HERNAN DARIO"/>
    <x v="4"/>
    <x v="1"/>
    <x v="2"/>
    <s v="EN CREACION_25"/>
    <x v="185"/>
    <s v="EN VALIDACION"/>
    <x v="3"/>
    <x v="4"/>
    <s v="TRADITIONAL"/>
    <x v="0"/>
    <s v="CUNDINAMARCA"/>
    <x v="0"/>
    <s v="GAVIRIA FERRO DIEGO MAURICIO"/>
    <s v="PASTUSO ACHICUE CLAUDIA PATRICIA"/>
    <x v="10"/>
    <x v="3"/>
    <n v="1"/>
    <n v="1"/>
    <d v="2025-01-02T00:00:00"/>
    <d v="2024-08-15T00:00:00"/>
    <n v="26"/>
    <s v="+24 Mounths"/>
    <s v="B"/>
    <s v="B"/>
    <x v="0"/>
    <n v="3102692642"/>
    <s v="OK LINEA"/>
    <s v="NO"/>
    <d v="1994-04-10T00:00:00"/>
    <n v="32"/>
    <s v="MASCULINO"/>
  </r>
  <r>
    <x v="0"/>
    <x v="0"/>
    <x v="0"/>
    <s v="52764611"/>
    <s v="FORERO MANRIQUE MARIA DEL PILAR"/>
    <x v="1"/>
    <x v="1"/>
    <x v="2"/>
    <s v="EN CREACION_16"/>
    <x v="186"/>
    <s v="EN VALIDACION"/>
    <x v="3"/>
    <x v="4"/>
    <s v="TRADITIONAL"/>
    <x v="0"/>
    <s v="CUNDINAMARCA"/>
    <x v="0"/>
    <s v="GAVIRIA FERRO DIEGO MAURICIO"/>
    <s v="PASTUSO ACHICUE CLAUDIA PATRICIA"/>
    <x v="10"/>
    <x v="3"/>
    <n v="1"/>
    <n v="1"/>
    <d v="2025-01-02T00:00:00"/>
    <d v="2024-03-06T00:00:00"/>
    <n v="31"/>
    <s v="+24 Mounths"/>
    <s v="NO DATA"/>
    <s v="NO DATA"/>
    <x v="0"/>
    <n v="3102697296"/>
    <s v="OK LINEA"/>
    <s v="NO"/>
    <d v="1979-11-01T00:00:00"/>
    <n v="46"/>
    <s v="FEMENINO"/>
  </r>
  <r>
    <x v="0"/>
    <x v="0"/>
    <x v="0"/>
    <s v="1128480384"/>
    <s v="CASTAÑEDA NOREÑA GIOVANY ALEXIS"/>
    <x v="1"/>
    <x v="1"/>
    <x v="2"/>
    <s v="C813_00000000000012"/>
    <x v="37"/>
    <s v="CARRERA 48 # 32 B SUR 139 MEDELLIN ANTIOQUIA"/>
    <x v="2"/>
    <x v="3"/>
    <s v="HIPERMERCADO"/>
    <x v="2"/>
    <s v="ANTIOQUIA"/>
    <x v="2"/>
    <s v="LOPEZ PALACIO PABLO EMILIO"/>
    <s v="ROMERO ARENAS DANNY MAURICIO"/>
    <x v="3"/>
    <x v="2"/>
    <n v="1"/>
    <n v="1"/>
    <d v="2025-01-02T00:00:00"/>
    <d v="2021-09-14T00:00:00"/>
    <n v="61"/>
    <s v="+24 Mounths"/>
    <s v="A"/>
    <s v="A"/>
    <x v="0"/>
    <n v="3102709781"/>
    <s v="OK LINEA"/>
    <s v="SI"/>
    <d v="1992-03-22T00:00:00"/>
    <n v="34"/>
    <s v="MASCULINO"/>
  </r>
  <r>
    <x v="0"/>
    <x v="0"/>
    <x v="0"/>
    <s v="1005282389"/>
    <s v="CAMACHO JORGE ANDRES MAURICIO"/>
    <x v="1"/>
    <x v="1"/>
    <x v="2"/>
    <s v="C813_00000000001059"/>
    <x v="187"/>
    <s v="CRA 27 # 35-37 BUCARAMANGA SANTANDER"/>
    <x v="1"/>
    <x v="10"/>
    <s v="HIPERMERCADO"/>
    <x v="1"/>
    <s v="SANTANDER"/>
    <x v="1"/>
    <s v="LOPEZ PALACIO PABLO EMILIO"/>
    <s v="GRANADOS NAVARRO YEFERSON ORLANDO"/>
    <x v="2"/>
    <x v="1"/>
    <n v="1"/>
    <n v="1"/>
    <d v="2026-10-03T00:00:00"/>
    <d v="2026-10-03T00:00:00"/>
    <n v="0"/>
    <s v="-3 Months"/>
    <s v="D"/>
    <s v="B"/>
    <x v="1"/>
    <s v="SIN ASIGNAR"/>
    <s v="SIN ASIGNAR"/>
    <s v="SI"/>
    <d v="2003-04-15T00:00:00"/>
    <n v="23"/>
    <s v="MASCULINO"/>
  </r>
  <r>
    <x v="0"/>
    <x v="0"/>
    <x v="0"/>
    <s v="1047449917"/>
    <s v="FIGUEROA EGUIS AMNERIS"/>
    <x v="1"/>
    <x v="1"/>
    <x v="2"/>
    <s v="C813_00000000000151"/>
    <x v="188"/>
    <s v="CARRERA 71 # 29-100"/>
    <x v="5"/>
    <x v="6"/>
    <s v="HIPERMERCADO"/>
    <x v="31"/>
    <s v="BOLIVAR"/>
    <x v="3"/>
    <s v="PRENT SAMPAYO ANDERSON GUILLERMO"/>
    <s v="GRANADOS NAVARRO YEFERSON ORLANDO"/>
    <x v="11"/>
    <x v="4"/>
    <n v="1"/>
    <n v="1"/>
    <d v="2025-03-18T00:00:00"/>
    <d v="2025-03-18T00:00:00"/>
    <n v="18"/>
    <s v="12-24 Months"/>
    <s v="A"/>
    <s v="A"/>
    <x v="1"/>
    <n v="3102702957"/>
    <s v="OK LINEA"/>
    <s v="SI"/>
    <d v="1992-09-18T00:00:00"/>
    <n v="34"/>
    <s v="FEMENINO"/>
  </r>
  <r>
    <x v="0"/>
    <x v="0"/>
    <x v="0"/>
    <s v="1085899245"/>
    <s v="FIGUEROA BERNAL LEIDY "/>
    <x v="1"/>
    <x v="1"/>
    <x v="2"/>
    <s v="C813_00000000005038"/>
    <x v="189"/>
    <s v="CRA 6 # 24 49 CC GRAN PLAZA IPIALES NARINO"/>
    <x v="8"/>
    <x v="11"/>
    <s v="TRADITIONAL"/>
    <x v="27"/>
    <s v="NARIÑO"/>
    <x v="8"/>
    <s v="ALVAREZ LONDOÑO JOHNNY"/>
    <s v="ROMERO ARENAS DANNY MAURICIO"/>
    <x v="15"/>
    <x v="6"/>
    <n v="1"/>
    <n v="0.5"/>
    <d v="2025-01-23T00:00:00"/>
    <d v="2025-01-23T00:00:00"/>
    <n v="20"/>
    <s v="12-24 Months"/>
    <s v="A"/>
    <s v="A"/>
    <x v="1"/>
    <n v="3102624478"/>
    <s v="OK LINEA"/>
    <s v="SI"/>
    <d v="1984-11-11T00:00:00"/>
    <n v="41"/>
    <s v="FEMENINO"/>
  </r>
  <r>
    <x v="0"/>
    <x v="0"/>
    <x v="0"/>
    <s v="1085899245"/>
    <s v="FIGUEROA BERNAL LEIDY "/>
    <x v="1"/>
    <x v="1"/>
    <x v="2"/>
    <s v="C813_00000000000289"/>
    <x v="95"/>
    <s v="CRA 5 # 8-26 IPIALES NARI#"/>
    <x v="8"/>
    <x v="11"/>
    <s v="TRADITIONAL"/>
    <x v="27"/>
    <s v="NARIÑO"/>
    <x v="8"/>
    <s v="ALVAREZ LONDOÑO JOHNNY"/>
    <s v="ROMERO ARENAS DANNY MAURICIO"/>
    <x v="15"/>
    <x v="6"/>
    <n v="0"/>
    <n v="0.5"/>
    <d v="2025-01-23T00:00:00"/>
    <d v="2025-01-23T00:00:00"/>
    <n v="20"/>
    <s v="12-24 Months"/>
    <s v="C"/>
    <s v="C"/>
    <x v="1"/>
    <n v="3102624478"/>
    <s v="OK LINEA"/>
    <s v="SI"/>
    <d v="1984-11-11T00:00:00"/>
    <n v="41"/>
    <s v="FEMENINO"/>
  </r>
  <r>
    <x v="0"/>
    <x v="0"/>
    <x v="0"/>
    <s v="1075254837"/>
    <s v="FIERRO CASTILLO MAICOL JAVIER"/>
    <x v="1"/>
    <x v="1"/>
    <x v="2"/>
    <s v="C813_00000000000700"/>
    <x v="110"/>
    <s v="CRA 26 # 39 - 50 NEIVA"/>
    <x v="2"/>
    <x v="3"/>
    <s v="HIPERMERCADO"/>
    <x v="29"/>
    <s v="HUILA"/>
    <x v="7"/>
    <s v="PEÑA GARCIA JOINER ALEXIS"/>
    <s v="PASTUSO ACHICUE CLAUDIA PATRICIA"/>
    <x v="13"/>
    <x v="2"/>
    <n v="1"/>
    <n v="1"/>
    <d v="2025-02-03T00:00:00"/>
    <d v="2025-02-03T00:00:00"/>
    <n v="20"/>
    <s v="12-24 Months"/>
    <s v="A"/>
    <s v="A"/>
    <x v="1"/>
    <n v="3102635598"/>
    <s v="OK LINEA"/>
    <s v="SI"/>
    <d v="1991-05-16T00:00:00"/>
    <n v="35"/>
    <s v="MASCULINO"/>
  </r>
  <r>
    <x v="0"/>
    <x v="0"/>
    <x v="0"/>
    <s v="1005943674"/>
    <s v="PARRA RATIVA JULIAN ESTEBAN"/>
    <x v="1"/>
    <x v="1"/>
    <x v="2"/>
    <s v="C813_00000000006898"/>
    <x v="190"/>
    <s v="CRA. 98B #25-130, COMUNA 17, CALI, VALLE DEL CAUCA, COLOMBIA "/>
    <x v="2"/>
    <x v="3"/>
    <s v="HIPERMERCADO"/>
    <x v="4"/>
    <s v="VALLE DEL CAUCA"/>
    <x v="4"/>
    <s v="ALVAREZ LONDOÑO JOHNNY"/>
    <s v="ROMERO ARENAS DANNY MAURICIO"/>
    <x v="9"/>
    <x v="2"/>
    <n v="1"/>
    <n v="0.5"/>
    <d v="2026-01-20T00:00:00"/>
    <d v="2026-01-20T00:00:00"/>
    <n v="8"/>
    <s v="6-9 Months"/>
    <s v="D"/>
    <s v="C"/>
    <x v="1"/>
    <n v="3105665987"/>
    <s v="OK LINEA"/>
    <s v="NO"/>
    <d v="2000-10-15T00:00:00"/>
    <n v="26"/>
    <s v="MASCULINO"/>
  </r>
  <r>
    <x v="0"/>
    <x v="0"/>
    <x v="0"/>
    <s v="1005943674"/>
    <s v="PARRA RATIVA JULIAN ESTEBAN"/>
    <x v="1"/>
    <x v="1"/>
    <x v="2"/>
    <s v="C813_00000000001061"/>
    <x v="191"/>
    <s v="CALLE 70 # 28D - 20"/>
    <x v="2"/>
    <x v="3"/>
    <s v="HIPERMERCADO"/>
    <x v="4"/>
    <s v="VALLE DEL CAUCA"/>
    <x v="4"/>
    <s v="ALVAREZ LONDOÑO JOHNNY"/>
    <s v="ROMERO ARENAS DANNY MAURICIO"/>
    <x v="9"/>
    <x v="2"/>
    <n v="0"/>
    <n v="0.5"/>
    <d v="2026-01-20T00:00:00"/>
    <d v="2026-01-20T00:00:00"/>
    <n v="8"/>
    <s v="6-9 Months"/>
    <s v="B"/>
    <s v="B"/>
    <x v="1"/>
    <n v="3105665987"/>
    <s v="OK LINEA"/>
    <s v="SI"/>
    <d v="2000-10-15T00:00:00"/>
    <n v="26"/>
    <s v="MASCULINO"/>
  </r>
  <r>
    <x v="0"/>
    <x v="0"/>
    <x v="0"/>
    <s v="1058430439"/>
    <s v="ESTUPIÑAN ESTUPIÑAN ELIODORO"/>
    <x v="1"/>
    <x v="1"/>
    <x v="2"/>
    <s v="C813_00000000006155"/>
    <x v="192"/>
    <s v="CRA 68 A # 24 B-10"/>
    <x v="3"/>
    <x v="4"/>
    <s v="TRADITIONAL"/>
    <x v="0"/>
    <s v="CUNDINAMARCA"/>
    <x v="0"/>
    <s v="GAVIRIA FERRO DIEGO MAURICIO"/>
    <s v="PASTUSO ACHICUE CLAUDIA PATRICIA"/>
    <x v="10"/>
    <x v="3"/>
    <n v="1"/>
    <n v="0.8"/>
    <d v="2025-01-02T00:00:00"/>
    <d v="2021-12-01T00:00:00"/>
    <n v="58"/>
    <s v="+24 Mounths"/>
    <s v="NO DATA"/>
    <s v="NO DATA"/>
    <x v="0"/>
    <n v="3102605367"/>
    <s v="OK LINEA"/>
    <s v="NO"/>
    <d v="1989-07-23T00:00:00"/>
    <n v="37"/>
    <s v="MASCULINO"/>
  </r>
  <r>
    <x v="0"/>
    <x v="0"/>
    <x v="0"/>
    <s v="1058430439"/>
    <s v="ESTUPIÑAN ESTUPIÑAN ELIODORO"/>
    <x v="1"/>
    <x v="1"/>
    <x v="2"/>
    <s v="C813_00000000006342"/>
    <x v="193"/>
    <s v="AV BOYACÁ # 80-94-CC TITÁN PLAZA, LOCAL 362-363"/>
    <x v="3"/>
    <x v="4"/>
    <s v="TRADITIONAL"/>
    <x v="0"/>
    <s v="CUNDINAMARCA"/>
    <x v="0"/>
    <s v="GAVIRIA FERRO DIEGO MAURICIO"/>
    <s v="PASTUSO ACHICUE CLAUDIA PATRICIA"/>
    <x v="10"/>
    <x v="3"/>
    <n v="0"/>
    <n v="0.2"/>
    <d v="2025-01-02T00:00:00"/>
    <d v="2021-12-01T00:00:00"/>
    <n v="58"/>
    <s v="+24 Mounths"/>
    <s v="NO DATA"/>
    <s v="NO DATA"/>
    <x v="0"/>
    <n v="3102605367"/>
    <s v="OK LINEA"/>
    <s v="NO"/>
    <d v="1989-07-23T00:00:00"/>
    <n v="37"/>
    <s v="MASCULINO"/>
  </r>
  <r>
    <x v="0"/>
    <x v="0"/>
    <x v="0"/>
    <s v="1003498451"/>
    <s v="PRASCA VEGA LUZ HELENA"/>
    <x v="1"/>
    <x v="1"/>
    <x v="2"/>
    <s v="C813_00000000000747"/>
    <x v="194"/>
    <s v="CALLE 43 # 54 - 139 CC. SAN NICOLAS. LOCAL 1233 RIONEGRO ANTIOQUIA"/>
    <x v="1"/>
    <x v="10"/>
    <s v="HIPERMERCADO"/>
    <x v="24"/>
    <s v="ANTIOQUIA"/>
    <x v="2"/>
    <s v="LOPEZ PALACIO PABLO EMILIO"/>
    <s v="ROMERO ARENAS DANNY MAURICIO"/>
    <x v="3"/>
    <x v="1"/>
    <n v="1"/>
    <n v="1"/>
    <d v="2026-06-06T00:00:00"/>
    <d v="2026-06-06T00:00:00"/>
    <n v="4"/>
    <s v="3-6 Months"/>
    <s v="D"/>
    <s v="B"/>
    <x v="1"/>
    <s v="SIN ASIGNAR"/>
    <s v="SIN ASIGNAR"/>
    <s v="SI"/>
    <d v="2001-07-22T00:00:00"/>
    <n v="25"/>
    <s v="FEMENINO"/>
  </r>
  <r>
    <x v="0"/>
    <x v="0"/>
    <x v="0"/>
    <s v="1016022480"/>
    <s v="TRUJILLO GONZALEZ DIDIER"/>
    <x v="1"/>
    <x v="1"/>
    <x v="2"/>
    <s v="C813_00000000000335"/>
    <x v="102"/>
    <s v="CRA 86B # 42B-54 SUR BOGOTA CUNDINAMARCA"/>
    <x v="4"/>
    <x v="5"/>
    <s v="HIPERMERCADO"/>
    <x v="0"/>
    <s v="CUNDINAMARCA"/>
    <x v="0"/>
    <s v="GAVIRIA FERRO DIEGO MAURICIO"/>
    <s v="PASTUSO ACHICUE CLAUDIA PATRICIA"/>
    <x v="16"/>
    <x v="3"/>
    <n v="1"/>
    <n v="1"/>
    <d v="2025-01-02T00:00:00"/>
    <d v="2024-05-23T00:00:00"/>
    <n v="28"/>
    <s v="+24 Mounths"/>
    <s v="A"/>
    <s v="A"/>
    <x v="0"/>
    <n v="3102605361"/>
    <s v="OK LINEA"/>
    <s v="SI"/>
    <d v="1989-09-30T00:00:00"/>
    <n v="37"/>
    <s v="MASCULINO"/>
  </r>
  <r>
    <x v="0"/>
    <x v="0"/>
    <x v="0"/>
    <s v="1014234139"/>
    <s v="BENAVIDES OVALLE CRISTIAN FERNANDO"/>
    <x v="1"/>
    <x v="1"/>
    <x v="2"/>
    <s v="C813_00000000000282"/>
    <x v="17"/>
    <s v="AK 68 # 72-43 BOGOTA"/>
    <x v="1"/>
    <x v="2"/>
    <s v="HIPERMERCADO"/>
    <x v="0"/>
    <s v="CUNDINAMARCA"/>
    <x v="0"/>
    <s v="PEÑA GARCIA JOINER ALEXIS"/>
    <s v="PASTUSO ACHICUE CLAUDIA PATRICIA"/>
    <x v="1"/>
    <x v="1"/>
    <n v="1"/>
    <n v="1"/>
    <d v="2026-06-06T00:00:00"/>
    <d v="2026-06-06T00:00:00"/>
    <n v="4"/>
    <s v="3-6 Months"/>
    <s v="A"/>
    <s v="A"/>
    <x v="1"/>
    <s v="SIN ASIGNAR"/>
    <s v="SIN ASIGNAR"/>
    <s v="SI"/>
    <d v="1992-06-22T00:00:00"/>
    <n v="34"/>
    <s v="MASCULINO"/>
  </r>
  <r>
    <x v="0"/>
    <x v="0"/>
    <x v="0"/>
    <s v="1007119730"/>
    <s v="ESCORCIA DE LA CRUZ SHARICK DANIELA"/>
    <x v="1"/>
    <x v="1"/>
    <x v="2"/>
    <s v="C813_00000000000146"/>
    <x v="195"/>
    <s v="CALLE 93 # 45B-90 BARRANQUILLA ATLANTICO"/>
    <x v="5"/>
    <x v="6"/>
    <s v="HIPERMERCADO"/>
    <x v="3"/>
    <s v="ATLANTICO"/>
    <x v="3"/>
    <s v="PRENT SAMPAYO ANDERSON GUILLERMO"/>
    <s v="GRANADOS NAVARRO YEFERSON ORLANDO"/>
    <x v="11"/>
    <x v="4"/>
    <n v="1"/>
    <n v="1"/>
    <d v="2025-01-02T00:00:00"/>
    <d v="2023-06-29T00:00:00"/>
    <n v="39"/>
    <s v="+24 Mounths"/>
    <s v="A"/>
    <s v="A"/>
    <x v="0"/>
    <n v="3102681351"/>
    <s v="OK LINEA"/>
    <s v="SI"/>
    <d v="2003-07-15T00:00:00"/>
    <n v="23"/>
    <s v="FEMENINO"/>
  </r>
  <r>
    <x v="0"/>
    <x v="1"/>
    <x v="0"/>
    <s v="1022367852"/>
    <s v="PINZON MORENO GUILLERMO"/>
    <x v="4"/>
    <x v="1"/>
    <x v="2"/>
    <s v="C813_00000000000282"/>
    <x v="17"/>
    <s v="AK 68 # 72-43 BOGOTA"/>
    <x v="1"/>
    <x v="2"/>
    <s v="HIPERMERCADO"/>
    <x v="0"/>
    <s v="CUNDINAMARCA"/>
    <x v="0"/>
    <s v="PEÑA GARCIA JOINER ALEXIS"/>
    <s v="PASTUSO ACHICUE CLAUDIA PATRICIA"/>
    <x v="1"/>
    <x v="1"/>
    <n v="1"/>
    <n v="1"/>
    <d v="2025-01-02T00:00:00"/>
    <d v="2012-02-25T00:00:00"/>
    <n v="175"/>
    <s v="+24 Mounths"/>
    <s v="A"/>
    <s v="A"/>
    <x v="0"/>
    <n v="3102644806"/>
    <s v="OK LINEA"/>
    <s v="SI"/>
    <d v="1991-04-06T00:00:00"/>
    <n v="35"/>
    <s v="MASCULINO"/>
  </r>
  <r>
    <x v="0"/>
    <x v="0"/>
    <x v="0"/>
    <s v="1110507419"/>
    <s v="RUIZ PINTO MANUEL FERNANDO"/>
    <x v="1"/>
    <x v="1"/>
    <x v="2"/>
    <s v="C813_00000000000518"/>
    <x v="196"/>
    <s v="AVENIDA  GUABINAL # 51-53"/>
    <x v="8"/>
    <x v="14"/>
    <s v="TRADITIONAL"/>
    <x v="12"/>
    <s v="TOLIMA"/>
    <x v="7"/>
    <s v="PEÑA GARCIA JOINER ALEXIS"/>
    <s v="PASTUSO ACHICUE CLAUDIA PATRICIA"/>
    <x v="13"/>
    <x v="6"/>
    <n v="1"/>
    <n v="1"/>
    <d v="2026-05-28T00:00:00"/>
    <d v="2026-05-28T00:00:00"/>
    <n v="4"/>
    <s v="3-6 Months"/>
    <s v="B"/>
    <s v="B"/>
    <x v="1"/>
    <s v="SIN ASIGNAR"/>
    <s v="SIN ASIGNAR"/>
    <s v="NO"/>
    <d v="1990-08-30T00:00:00"/>
    <n v="36"/>
    <s v="MASCULINO"/>
  </r>
  <r>
    <x v="0"/>
    <x v="0"/>
    <x v="0"/>
    <s v="1087130559"/>
    <s v="SALAZAR VALENCIA DIEGO FERNANDO"/>
    <x v="3"/>
    <x v="1"/>
    <x v="2"/>
    <s v="C813_00000000006896"/>
    <x v="20"/>
    <s v="CARRERA 1 # 66 63"/>
    <x v="1"/>
    <x v="2"/>
    <s v="HIPERMERCADO"/>
    <x v="4"/>
    <s v="VALLE DEL CAUCA"/>
    <x v="4"/>
    <s v="ALVAREZ LONDOÑO JOHNNY"/>
    <s v="ROMERO ARENAS DANNY MAURICIO"/>
    <x v="5"/>
    <x v="1"/>
    <n v="1"/>
    <n v="1"/>
    <d v="2025-01-02T00:00:00"/>
    <d v="2018-05-28T00:00:00"/>
    <n v="100"/>
    <s v="+24 Mounths"/>
    <s v="A"/>
    <s v="B"/>
    <x v="0"/>
    <n v="3102706096"/>
    <s v="OK LINEA"/>
    <s v="SI"/>
    <d v="1990-06-01T00:00:00"/>
    <n v="36"/>
    <s v="MASCULINO"/>
  </r>
  <r>
    <x v="0"/>
    <x v="0"/>
    <x v="0"/>
    <s v="79996666"/>
    <s v="DUQUE CONDE LUIS EDUARDO"/>
    <x v="1"/>
    <x v="1"/>
    <x v="2"/>
    <s v="C813_00000000000284"/>
    <x v="8"/>
    <s v="CALLE 45 SUR #51-90 BOGOTA"/>
    <x v="1"/>
    <x v="2"/>
    <s v="HIPERMERCADO"/>
    <x v="0"/>
    <s v="CUNDINAMARCA"/>
    <x v="0"/>
    <s v="PEÑA GARCIA JOINER ALEXIS"/>
    <s v="PASTUSO ACHICUE CLAUDIA PATRICIA"/>
    <x v="6"/>
    <x v="1"/>
    <n v="1"/>
    <n v="1"/>
    <d v="2025-03-14T00:00:00"/>
    <d v="2025-03-14T00:00:00"/>
    <n v="19"/>
    <s v="12-24 Months"/>
    <s v="B"/>
    <s v="B"/>
    <x v="1"/>
    <n v="3102654514"/>
    <s v="OK LINEA"/>
    <s v="SI"/>
    <d v="1979-05-30T00:00:00"/>
    <n v="47"/>
    <s v="MASCULINO"/>
  </r>
  <r>
    <x v="0"/>
    <x v="0"/>
    <x v="0"/>
    <s v="1094910645"/>
    <s v="AGUIRRE PINTO JUAN DAVID"/>
    <x v="1"/>
    <x v="1"/>
    <x v="2"/>
    <s v="C813_00000000006505"/>
    <x v="197"/>
    <s v="AV BOLIVAR # 6-02 LOCAL 117 ARMENIA QUINDIO"/>
    <x v="1"/>
    <x v="10"/>
    <s v="HIPERMERCADO"/>
    <x v="44"/>
    <s v="QUINDIO"/>
    <x v="5"/>
    <s v="ALVAREZ LONDOÑO JOHNNY"/>
    <s v="ROMERO ARENAS DANNY MAURICIO"/>
    <x v="7"/>
    <x v="1"/>
    <n v="1"/>
    <n v="1"/>
    <d v="2026-05-29T00:00:00"/>
    <d v="2026-05-29T00:00:00"/>
    <n v="4"/>
    <s v="3-6 Months"/>
    <s v="A"/>
    <s v="B"/>
    <x v="1"/>
    <s v="SIN ASIGNAR"/>
    <s v="SIN ASIGNAR"/>
    <s v="SI"/>
    <d v="1990-02-11T00:00:00"/>
    <n v="36"/>
    <s v="MASCULINO"/>
  </r>
  <r>
    <x v="0"/>
    <x v="0"/>
    <x v="0"/>
    <s v="1234192763"/>
    <s v="DIAZ ALVARADO NICOLAS"/>
    <x v="1"/>
    <x v="1"/>
    <x v="2"/>
    <s v="C813_00000000000110"/>
    <x v="39"/>
    <s v="AVENIDA 3 F NORTE # 52N-46 CALI VALLE DEL CAUCA"/>
    <x v="2"/>
    <x v="3"/>
    <s v="HIPERMERCADO"/>
    <x v="4"/>
    <s v="VALLE DEL CAUCA"/>
    <x v="4"/>
    <s v="ALVAREZ LONDOÑO JOHNNY"/>
    <s v="ROMERO ARENAS DANNY MAURICIO"/>
    <x v="9"/>
    <x v="2"/>
    <n v="1"/>
    <n v="1"/>
    <d v="2025-01-02T00:00:00"/>
    <d v="2023-11-02T00:00:00"/>
    <n v="35"/>
    <s v="+24 Mounths"/>
    <s v="B"/>
    <s v="B"/>
    <x v="0"/>
    <n v="3102698408"/>
    <s v="OK LINEA"/>
    <s v="SI"/>
    <d v="1996-12-28T00:00:00"/>
    <n v="29"/>
    <s v="MASCULINO"/>
  </r>
  <r>
    <x v="0"/>
    <x v="0"/>
    <x v="0"/>
    <s v="1007357316"/>
    <s v="DEL TORO CARDENAS ARELIS MICHEL"/>
    <x v="1"/>
    <x v="1"/>
    <x v="2"/>
    <s v="C813_00000000000740"/>
    <x v="198"/>
    <s v="CARRERA 100 # 103-45 APARTADO  - ANTIOQUIA"/>
    <x v="1"/>
    <x v="10"/>
    <s v="HIPERMERCADO"/>
    <x v="45"/>
    <s v="ANTIOQUIA"/>
    <x v="2"/>
    <s v="LOPEZ PALACIO PABLO EMILIO"/>
    <s v="ROMERO ARENAS DANNY MAURICIO"/>
    <x v="3"/>
    <x v="1"/>
    <n v="1"/>
    <n v="1"/>
    <d v="2025-10-14T00:00:00"/>
    <d v="2025-10-14T00:00:00"/>
    <n v="12"/>
    <s v="12-24 Months"/>
    <s v="D"/>
    <s v="B"/>
    <x v="1"/>
    <s v="SIN ASIGNAR"/>
    <s v="SIN ASIGNAR"/>
    <s v="SI"/>
    <d v="1996-04-09T00:00:00"/>
    <n v="30"/>
    <s v="FEMENINO"/>
  </r>
  <r>
    <x v="0"/>
    <x v="0"/>
    <x v="0"/>
    <s v="1073690300"/>
    <s v="RAMIREZ JULIETH TATIANA"/>
    <x v="1"/>
    <x v="1"/>
    <x v="2"/>
    <s v="C813_00000000000283"/>
    <x v="118"/>
    <s v="CARRERA 30 N ° 10-25 BOGOTA"/>
    <x v="1"/>
    <x v="2"/>
    <s v="HIPERMERCADO"/>
    <x v="0"/>
    <s v="CUNDINAMARCA"/>
    <x v="0"/>
    <s v="PEÑA GARCIA JOINER ALEXIS"/>
    <s v="PASTUSO ACHICUE CLAUDIA PATRICIA"/>
    <x v="6"/>
    <x v="1"/>
    <n v="1"/>
    <n v="1"/>
    <d v="2025-12-10T00:00:00"/>
    <d v="2025-12-10T00:00:00"/>
    <n v="10"/>
    <s v="9-12 Months"/>
    <s v="B"/>
    <s v="B"/>
    <x v="1"/>
    <s v="SIN ASIGNAR"/>
    <s v="SIN ASIGNAR"/>
    <s v="SI"/>
    <d v="1991-06-02T00:00:00"/>
    <n v="35"/>
    <s v="FEMENINO"/>
  </r>
  <r>
    <x v="0"/>
    <x v="0"/>
    <x v="0"/>
    <s v="79761683"/>
    <s v="LUNA BOBADILLA ANDERSON MAURICIO"/>
    <x v="1"/>
    <x v="1"/>
    <x v="2"/>
    <s v="C813_00000000000292"/>
    <x v="1"/>
    <s v="CALLE 94 # 15-14 BOGOTA CUNDINAMARCA"/>
    <x v="1"/>
    <x v="1"/>
    <s v="HIPERMERCADO"/>
    <x v="0"/>
    <s v="CUNDINAMARCA"/>
    <x v="0"/>
    <s v="PEÑA GARCIA JOINER ALEXIS"/>
    <s v="PASTUSO ACHICUE CLAUDIA PATRICIA"/>
    <x v="1"/>
    <x v="1"/>
    <n v="1"/>
    <n v="1"/>
    <d v="2025-01-10T00:00:00"/>
    <d v="2014-04-04T00:00:00"/>
    <n v="150"/>
    <s v="+24 Mounths"/>
    <s v="C"/>
    <s v="C"/>
    <x v="0"/>
    <n v="3102675466"/>
    <s v="OK LINEA"/>
    <s v="SI"/>
    <d v="1978-06-21T00:00:00"/>
    <n v="48"/>
    <s v="MASCULINO"/>
  </r>
  <r>
    <x v="0"/>
    <x v="0"/>
    <x v="0"/>
    <s v="1001268823"/>
    <s v="CORREA CORREA YULIAN ARBEY"/>
    <x v="1"/>
    <x v="1"/>
    <x v="2"/>
    <s v="C813_00000000000031"/>
    <x v="199"/>
    <s v="DIAGONAL 51 # 35-120 MEDELLIN ANTIOQUIA"/>
    <x v="2"/>
    <x v="3"/>
    <s v="HIPERMERCADO"/>
    <x v="13"/>
    <s v="ANTIOQUIA"/>
    <x v="2"/>
    <s v="LOPEZ PALACIO PABLO EMILIO"/>
    <s v="ROMERO ARENAS DANNY MAURICIO"/>
    <x v="3"/>
    <x v="2"/>
    <n v="1"/>
    <n v="1"/>
    <d v="2025-01-02T00:00:00"/>
    <d v="2023-10-26T00:00:00"/>
    <n v="35"/>
    <s v="+24 Mounths"/>
    <s v="A"/>
    <s v="A"/>
    <x v="0"/>
    <n v="3102660516"/>
    <s v="OK LINEA"/>
    <s v="SI"/>
    <d v="1993-09-28T00:00:00"/>
    <n v="33"/>
    <s v="MASCULINO"/>
  </r>
  <r>
    <x v="0"/>
    <x v="0"/>
    <x v="0"/>
    <s v="1014241270"/>
    <s v="ANGEL SABOGAL CAMILO ANDRES"/>
    <x v="1"/>
    <x v="1"/>
    <x v="2"/>
    <s v="C813_00000000004608"/>
    <x v="200"/>
    <s v="SC YERBABUENA BAJA CAIRO AUTOP 103, CHIA, CUNDINAMARCA"/>
    <x v="9"/>
    <x v="20"/>
    <s v="HIPERMERCADO"/>
    <x v="7"/>
    <s v="CUNDINAMARCA"/>
    <x v="0"/>
    <s v="GAVIRIA FERRO DIEGO MAURICIO"/>
    <s v="PASTUSO ACHICUE CLAUDIA PATRICIA"/>
    <x v="14"/>
    <x v="4"/>
    <n v="1"/>
    <n v="0.5"/>
    <d v="2026-10-01T00:00:00"/>
    <d v="2026-10-01T00:00:00"/>
    <n v="0"/>
    <s v="-3 Months"/>
    <s v="NO DATA"/>
    <s v="NO DATA"/>
    <x v="1"/>
    <s v="SIN ASIGNAR"/>
    <s v="SIN ASIGNAR"/>
    <s v="NO"/>
    <d v="1993-02-04T00:00:00"/>
    <n v="33"/>
    <s v="MASCULINO"/>
  </r>
  <r>
    <x v="0"/>
    <x v="0"/>
    <x v="0"/>
    <s v="1014241270"/>
    <s v="ANGEL SABOGAL CAMILO ANDRES"/>
    <x v="1"/>
    <x v="1"/>
    <x v="2"/>
    <s v="C813_00000000004369"/>
    <x v="201"/>
    <s v="KM 27 VIA CHIA  - CAJICA, CAJICA"/>
    <x v="9"/>
    <x v="16"/>
    <s v="HIPERMERCADO"/>
    <x v="7"/>
    <s v="CUNDINAMARCA"/>
    <x v="0"/>
    <s v="GAVIRIA FERRO DIEGO MAURICIO"/>
    <s v="PASTUSO ACHICUE CLAUDIA PATRICIA"/>
    <x v="14"/>
    <x v="4"/>
    <n v="0"/>
    <n v="0.5"/>
    <d v="2026-10-01T00:00:00"/>
    <d v="2026-10-01T00:00:00"/>
    <n v="0"/>
    <s v="-3 Months"/>
    <s v="NO DATA"/>
    <s v="NO DATA"/>
    <x v="1"/>
    <s v="SIN ASIGNAR"/>
    <s v="SIN ASIGNAR"/>
    <s v="NO"/>
    <d v="1993-02-04T00:00:00"/>
    <n v="33"/>
    <s v="MASCULINO"/>
  </r>
  <r>
    <x v="0"/>
    <x v="0"/>
    <x v="0"/>
    <s v="1023958109"/>
    <s v="VELANDIA LEIDY"/>
    <x v="1"/>
    <x v="1"/>
    <x v="2"/>
    <s v="CLARO_026"/>
    <x v="202"/>
    <s v="CALLE 57D SUR 78H 14, LOCAL 115 Y 115B"/>
    <x v="3"/>
    <x v="4"/>
    <s v="TRADITIONAL"/>
    <x v="0"/>
    <s v="CUNDINAMARCA"/>
    <x v="0"/>
    <s v="GAVIRIA FERRO DIEGO MAURICIO"/>
    <s v="PASTUSO ACHICUE CLAUDIA PATRICIA"/>
    <x v="10"/>
    <x v="3"/>
    <n v="0"/>
    <n v="0.2"/>
    <d v="2026-05-26T00:00:00"/>
    <d v="2026-05-26T00:00:00"/>
    <n v="4"/>
    <s v="3-6 Months"/>
    <s v="NO DATA"/>
    <s v="NO DATA"/>
    <x v="1"/>
    <s v="SIN ASIGNAR"/>
    <s v="SIN ASIGNAR"/>
    <s v="NO"/>
    <d v="1997-02-11T00:00:00"/>
    <n v="29"/>
    <s v="FEMENINO"/>
  </r>
  <r>
    <x v="0"/>
    <x v="0"/>
    <x v="0"/>
    <s v="1028940388"/>
    <s v="TRIANA CALDERON ZAIRA"/>
    <x v="1"/>
    <x v="1"/>
    <x v="2"/>
    <s v="SED_0030"/>
    <x v="203"/>
    <s v="CRA. 58B #130A-13 PISO 2, SUBA, BOGOTÁ, COLOMBIA "/>
    <x v="3"/>
    <x v="4"/>
    <s v="TRADITIONAL"/>
    <x v="0"/>
    <s v="CUNDINAMARCA"/>
    <x v="0"/>
    <s v="GAVIRIA FERRO DIEGO MAURICIO"/>
    <s v="PASTUSO ACHICUE CLAUDIA PATRICIA"/>
    <x v="10"/>
    <x v="3"/>
    <n v="1"/>
    <n v="0.5"/>
    <d v="2026-08-29T00:00:00"/>
    <d v="2026-08-29T00:00:00"/>
    <n v="1"/>
    <s v="-3 Months"/>
    <s v="NO DATA"/>
    <s v="NO DATA"/>
    <x v="1"/>
    <s v="SIN ASIGNAR"/>
    <s v="SIN ASIGNAR"/>
    <s v="NO"/>
    <d v="2005-10-15T00:00:00"/>
    <n v="21"/>
    <s v="FEMENINO"/>
  </r>
  <r>
    <x v="0"/>
    <x v="0"/>
    <x v="0"/>
    <s v="1028940388"/>
    <s v="TRIANA CALDERON ZAIRA"/>
    <x v="1"/>
    <x v="1"/>
    <x v="2"/>
    <s v="SED_0057"/>
    <x v="204"/>
    <s v="CRA. 54 #5C - 66"/>
    <x v="3"/>
    <x v="4"/>
    <s v="TRADITIONAL"/>
    <x v="0"/>
    <s v="CUNDINAMARCA"/>
    <x v="0"/>
    <s v="GAVIRIA FERRO DIEGO MAURICIO"/>
    <s v="PASTUSO ACHICUE CLAUDIA PATRICIA"/>
    <x v="10"/>
    <x v="3"/>
    <n v="0"/>
    <n v="0.5"/>
    <d v="2026-08-29T00:00:00"/>
    <d v="2026-08-29T00:00:00"/>
    <n v="1"/>
    <s v="-3 Months"/>
    <s v="NO DATA"/>
    <s v="NO DATA"/>
    <x v="1"/>
    <s v="SIN ASIGNAR"/>
    <s v="SIN ASIGNAR"/>
    <s v="NO"/>
    <d v="2005-10-15T00:00:00"/>
    <n v="21"/>
    <s v="FEMENINO"/>
  </r>
  <r>
    <x v="0"/>
    <x v="0"/>
    <x v="0"/>
    <s v="10887136"/>
    <s v="CONTRERAS AYIBER PEREZ"/>
    <x v="1"/>
    <x v="1"/>
    <x v="2"/>
    <s v="C813_00000000005978"/>
    <x v="52"/>
    <s v="CALLE 28 # 25B-97 SINCELEJO SUCRE"/>
    <x v="1"/>
    <x v="2"/>
    <s v="HIPERMERCADO"/>
    <x v="19"/>
    <s v="SUCRE"/>
    <x v="3"/>
    <s v="PRENT SAMPAYO ANDERSON GUILLERMO"/>
    <s v="GRANADOS NAVARRO YEFERSON ORLANDO"/>
    <x v="4"/>
    <x v="1"/>
    <n v="1"/>
    <n v="1"/>
    <d v="2025-06-19T00:00:00"/>
    <d v="2025-06-19T00:00:00"/>
    <n v="15"/>
    <s v="12-24 Months"/>
    <s v="D"/>
    <s v="B"/>
    <x v="1"/>
    <n v="3102634785"/>
    <s v="OK LINEA"/>
    <s v="SI"/>
    <d v="1982-02-13T00:00:00"/>
    <n v="44"/>
    <s v="MASCULINO"/>
  </r>
  <r>
    <x v="0"/>
    <x v="0"/>
    <x v="0"/>
    <s v="1020460654"/>
    <s v="SALGADO GONZALEZ LAURA CRISTINA"/>
    <x v="1"/>
    <x v="1"/>
    <x v="2"/>
    <s v="C813_00000000000391"/>
    <x v="205"/>
    <s v="CALLE 51 # 50-30 MEDELLIN ANTIOQUIA"/>
    <x v="10"/>
    <x v="26"/>
    <s v="TRADITIONAL"/>
    <x v="2"/>
    <s v="ANTIOQUIA"/>
    <x v="2"/>
    <s v="LOPEZ PALACIO PABLO EMILIO"/>
    <s v="ROMERO ARENAS DANNY MAURICIO"/>
    <x v="17"/>
    <x v="6"/>
    <n v="1"/>
    <n v="0.33333333333333331"/>
    <d v="2026-07-03T00:00:00"/>
    <d v="2026-07-03T00:00:00"/>
    <n v="3"/>
    <s v="3-6 Months"/>
    <s v="NO DATA"/>
    <s v="NO DATA"/>
    <x v="1"/>
    <s v="SIN ASIGNAR"/>
    <s v="SIN ASIGNAR"/>
    <s v="NO"/>
    <d v="1994-06-10T00:00:00"/>
    <n v="32"/>
    <s v="FEMENINO"/>
  </r>
  <r>
    <x v="0"/>
    <x v="0"/>
    <x v="0"/>
    <s v="1020460654"/>
    <s v="SALGADO GONZALEZ LAURA CRISTINA"/>
    <x v="1"/>
    <x v="1"/>
    <x v="2"/>
    <s v="C813_00000000000388"/>
    <x v="206"/>
    <s v="CRA 51 # 48-31 MEDELLIN ANTIOQUIA"/>
    <x v="10"/>
    <x v="26"/>
    <s v="TRADITIONAL"/>
    <x v="2"/>
    <s v="ANTIOQUIA"/>
    <x v="2"/>
    <s v="LOPEZ PALACIO PABLO EMILIO"/>
    <s v="ROMERO ARENAS DANNY MAURICIO"/>
    <x v="17"/>
    <x v="6"/>
    <n v="0"/>
    <n v="0.33333333333333331"/>
    <d v="2026-07-03T00:00:00"/>
    <d v="2026-07-03T00:00:00"/>
    <n v="3"/>
    <s v="3-6 Months"/>
    <s v="NO DATA"/>
    <s v="NO DATA"/>
    <x v="1"/>
    <s v="SIN ASIGNAR"/>
    <s v="SIN ASIGNAR"/>
    <s v="NO"/>
    <d v="1994-06-10T00:00:00"/>
    <n v="32"/>
    <s v="FEMENINO"/>
  </r>
  <r>
    <x v="0"/>
    <x v="0"/>
    <x v="0"/>
    <s v="1020460654"/>
    <s v="SALGADO GONZALEZ LAURA CRISTINA"/>
    <x v="1"/>
    <x v="1"/>
    <x v="2"/>
    <s v="C813_00000000000393"/>
    <x v="207"/>
    <s v="DIAGONAL 55 # 34-67 LOCAL 1010 CC PUERTA DEL NORTE BELLO ANTIOQUIA"/>
    <x v="10"/>
    <x v="26"/>
    <s v="TRADITIONAL"/>
    <x v="13"/>
    <s v="ANTIOQUIA"/>
    <x v="2"/>
    <s v="LOPEZ PALACIO PABLO EMILIO"/>
    <s v="ROMERO ARENAS DANNY MAURICIO"/>
    <x v="17"/>
    <x v="6"/>
    <n v="0"/>
    <n v="0.33333333333333331"/>
    <d v="2026-07-03T00:00:00"/>
    <d v="2026-07-03T00:00:00"/>
    <n v="3"/>
    <s v="3-6 Months"/>
    <s v="NO DATA"/>
    <s v="NO DATA"/>
    <x v="1"/>
    <s v="SIN ASIGNAR"/>
    <s v="SIN ASIGNAR"/>
    <s v="NO"/>
    <d v="1994-06-10T00:00:00"/>
    <n v="32"/>
    <s v="FEMENINO"/>
  </r>
  <r>
    <x v="0"/>
    <x v="0"/>
    <x v="0"/>
    <s v="1002395703"/>
    <s v="CIFUENTES RATIVA YOHAN STEVEN"/>
    <x v="1"/>
    <x v="1"/>
    <x v="2"/>
    <s v="C813_00000000006331"/>
    <x v="208"/>
    <s v="AV UNIVERSITARIA # 50-21 LOCAL 100 TUNJA BOYACA"/>
    <x v="2"/>
    <x v="3"/>
    <s v="HIPERMERCADO"/>
    <x v="6"/>
    <s v="BOYACA"/>
    <x v="0"/>
    <s v="GAVIRIA FERRO DIEGO MAURICIO"/>
    <s v="PASTUSO ACHICUE CLAUDIA PATRICIA"/>
    <x v="8"/>
    <x v="2"/>
    <n v="1"/>
    <n v="1"/>
    <d v="2026-02-24T00:00:00"/>
    <d v="2026-01-26T00:00:00"/>
    <n v="8"/>
    <s v="6-9 Months"/>
    <s v="B"/>
    <s v="A"/>
    <x v="1"/>
    <n v="3102624274"/>
    <s v="OK LINEA"/>
    <s v="SI"/>
    <d v="2002-09-17T00:00:00"/>
    <n v="24"/>
    <s v="MASCULINO"/>
  </r>
  <r>
    <x v="0"/>
    <x v="0"/>
    <x v="0"/>
    <s v="1032479604"/>
    <s v="VEGA DUVAN FELIPE"/>
    <x v="1"/>
    <x v="1"/>
    <x v="2"/>
    <s v="C813_00000000005551"/>
    <x v="98"/>
    <s v="CARRERA 7N # 30B-139 SOACHA CUNDINAMARCA"/>
    <x v="1"/>
    <x v="1"/>
    <s v="HIPERMERCADO"/>
    <x v="10"/>
    <s v="CUNDINAMARCA"/>
    <x v="0"/>
    <s v="PEÑA GARCIA JOINER ALEXIS"/>
    <s v="PASTUSO ACHICUE CLAUDIA PATRICIA"/>
    <x v="6"/>
    <x v="1"/>
    <n v="1"/>
    <n v="1"/>
    <d v="2026-08-12T00:00:00"/>
    <d v="2026-08-12T00:00:00"/>
    <n v="2"/>
    <s v="-3 Months"/>
    <s v="B"/>
    <s v="B"/>
    <x v="1"/>
    <s v="SIN ASIGNAR"/>
    <s v="SIN ASIGNAR"/>
    <s v="SI"/>
    <d v="1995-12-26T00:00:00"/>
    <n v="30"/>
    <s v="MASCULINO"/>
  </r>
  <r>
    <x v="0"/>
    <x v="0"/>
    <x v="0"/>
    <s v="1143830698"/>
    <s v="CERON ORTEGA YADIRA ALEXANDRA"/>
    <x v="1"/>
    <x v="1"/>
    <x v="2"/>
    <s v="C813_00000000001113"/>
    <x v="209"/>
    <s v="CALLE 29 # 26A-29"/>
    <x v="8"/>
    <x v="24"/>
    <s v="TRADITIONAL"/>
    <x v="46"/>
    <s v="VALLE DEL CAUCA"/>
    <x v="4"/>
    <s v="ALVAREZ LONDOÑO JOHNNY"/>
    <s v="ROMERO ARENAS DANNY MAURICIO"/>
    <x v="9"/>
    <x v="6"/>
    <n v="1"/>
    <n v="1"/>
    <d v="2025-01-02T00:00:00"/>
    <d v="2023-05-30T00:00:00"/>
    <n v="40"/>
    <s v="+24 Mounths"/>
    <s v="D"/>
    <s v="D"/>
    <x v="0"/>
    <n v="3115860793"/>
    <s v="OK LINEA"/>
    <s v="NO"/>
    <d v="1990-03-23T00:00:00"/>
    <n v="36"/>
    <s v="FEMENINO"/>
  </r>
  <r>
    <x v="0"/>
    <x v="0"/>
    <x v="0"/>
    <s v="1010140351"/>
    <s v="CASTRO TERAN JOSE MARIA"/>
    <x v="1"/>
    <x v="1"/>
    <x v="2"/>
    <s v="C813_00000000000146"/>
    <x v="195"/>
    <s v="CALLE 93 # 45B-90 BARRANQUILLA ATLANTICO"/>
    <x v="5"/>
    <x v="6"/>
    <s v="HIPERMERCADO"/>
    <x v="3"/>
    <s v="ATLANTICO"/>
    <x v="3"/>
    <s v="PRENT SAMPAYO ANDERSON GUILLERMO"/>
    <s v="GRANADOS NAVARRO YEFERSON ORLANDO"/>
    <x v="11"/>
    <x v="4"/>
    <n v="1"/>
    <n v="1"/>
    <d v="2025-10-31T00:00:00"/>
    <d v="2025-10-31T00:00:00"/>
    <n v="11"/>
    <s v="9-12 Months"/>
    <s v="A"/>
    <s v="A"/>
    <x v="1"/>
    <n v="3102647708"/>
    <s v="OK LINEA"/>
    <s v="SI"/>
    <d v="2000-02-28T00:00:00"/>
    <n v="26"/>
    <s v="MASCULINO"/>
  </r>
  <r>
    <x v="0"/>
    <x v="0"/>
    <x v="0"/>
    <s v="1033691045"/>
    <s v="MELO URIBE JHON FREDY"/>
    <x v="1"/>
    <x v="1"/>
    <x v="2"/>
    <s v="C813_00000000006464"/>
    <x v="149"/>
    <s v="AVENIDA BOYACA  # 72 # 12B -18 BOGOTA"/>
    <x v="1"/>
    <x v="2"/>
    <s v="HIPERMERCADO"/>
    <x v="0"/>
    <s v="CUNDINAMARCA"/>
    <x v="0"/>
    <s v="PEÑA GARCIA JOINER ALEXIS"/>
    <s v="PASTUSO ACHICUE CLAUDIA PATRICIA"/>
    <x v="1"/>
    <x v="1"/>
    <n v="1"/>
    <n v="1"/>
    <d v="2026-09-03T00:00:00"/>
    <d v="2026-09-03T00:00:00"/>
    <n v="1"/>
    <s v="-3 Months"/>
    <s v="A"/>
    <s v="A"/>
    <x v="1"/>
    <s v="SIN ASIGNAR"/>
    <s v="SIN ASIGNAR"/>
    <s v="SI"/>
    <d v="1987-10-09T00:00:00"/>
    <n v="39"/>
    <s v="MASCULINO"/>
  </r>
  <r>
    <x v="0"/>
    <x v="0"/>
    <x v="0"/>
    <s v="1112487176"/>
    <s v="CARVAJAL HERNANDEZ YANIOR ESTEBAN"/>
    <x v="1"/>
    <x v="1"/>
    <x v="2"/>
    <s v="C813_00000000001112"/>
    <x v="210"/>
    <s v="CALLE 11 # 8-73 ALFONSO SIERRA FAX: 553-0566 JAMUNDI VALLE DEL CAUCA"/>
    <x v="8"/>
    <x v="24"/>
    <s v="TRADITIONAL"/>
    <x v="47"/>
    <s v="VALLE DEL CAUCA"/>
    <x v="4"/>
    <s v="ALVAREZ LONDOÑO JOHNNY"/>
    <s v="ROMERO ARENAS DANNY MAURICIO"/>
    <x v="9"/>
    <x v="6"/>
    <n v="1"/>
    <n v="0.5"/>
    <d v="2026-07-02T00:00:00"/>
    <d v="2026-07-02T00:00:00"/>
    <n v="3"/>
    <s v="3-6 Months"/>
    <s v="NO DATA"/>
    <s v="NO DATA"/>
    <x v="1"/>
    <s v="SIN ASIGNAR"/>
    <s v="SIN ASIGNAR"/>
    <s v="NO"/>
    <d v="1996-02-12T00:00:00"/>
    <n v="30"/>
    <s v="MASCULINO"/>
  </r>
  <r>
    <x v="0"/>
    <x v="0"/>
    <x v="0"/>
    <s v="1112487176"/>
    <s v="CARVAJAL HERNANDEZ YANIOR ESTEBAN"/>
    <x v="1"/>
    <x v="1"/>
    <x v="2"/>
    <s v="C813_00000000001120"/>
    <x v="211"/>
    <s v="CARRERA 12 # 6 - 77"/>
    <x v="8"/>
    <x v="24"/>
    <s v="TRADITIONAL"/>
    <x v="48"/>
    <s v="CAUCA"/>
    <x v="4"/>
    <s v="ALVAREZ LONDOÑO JOHNNY"/>
    <s v="ROMERO ARENAS DANNY MAURICIO"/>
    <x v="9"/>
    <x v="6"/>
    <n v="0"/>
    <n v="0.5"/>
    <d v="2026-07-02T00:00:00"/>
    <d v="2026-07-02T00:00:00"/>
    <n v="3"/>
    <s v="3-6 Months"/>
    <s v="NO DATA"/>
    <s v="NO DATA"/>
    <x v="1"/>
    <s v="SIN ASIGNAR"/>
    <s v="SIN ASIGNAR"/>
    <s v="NO"/>
    <d v="1996-02-12T00:00:00"/>
    <n v="30"/>
    <s v="MASCULINO"/>
  </r>
  <r>
    <x v="0"/>
    <x v="0"/>
    <x v="0"/>
    <s v="1045714956"/>
    <s v="VARGAS AGUDELO MARIA STEFANY"/>
    <x v="3"/>
    <x v="1"/>
    <x v="2"/>
    <s v="C813_00000000001115"/>
    <x v="212"/>
    <s v="CRA 4 # 6-01 AURELIA MORALES  YUMBO VALLE DEL CAUCA"/>
    <x v="8"/>
    <x v="24"/>
    <s v="TRADITIONAL"/>
    <x v="49"/>
    <s v="VALLE DEL CAUCA"/>
    <x v="4"/>
    <s v="ALVAREZ LONDOÑO JOHNNY"/>
    <s v="ROMERO ARENAS DANNY MAURICIO"/>
    <x v="9"/>
    <x v="6"/>
    <n v="0"/>
    <n v="0.25"/>
    <d v="2025-01-02T00:00:00"/>
    <d v="2021-05-10T00:00:00"/>
    <n v="65"/>
    <s v="+24 Mounths"/>
    <s v="D"/>
    <s v="D"/>
    <x v="0"/>
    <n v="3102623572"/>
    <s v="OK LINEA"/>
    <s v="NO"/>
    <d v="1993-06-23T00:00:00"/>
    <n v="33"/>
    <s v="FEMENINO"/>
  </r>
  <r>
    <x v="0"/>
    <x v="0"/>
    <x v="0"/>
    <s v="1020460678"/>
    <s v="CASTRILLON HENAO JORGE ANDRES"/>
    <x v="1"/>
    <x v="1"/>
    <x v="2"/>
    <s v="C813_00000000006507"/>
    <x v="213"/>
    <s v="CRA. 70 # 1-141 MEDELLIN"/>
    <x v="6"/>
    <x v="7"/>
    <s v="HIPERMERCADO"/>
    <x v="2"/>
    <s v="ANTIOQUIA"/>
    <x v="2"/>
    <s v="LOPEZ PALACIO PABLO EMILIO"/>
    <s v="ROMERO ARENAS DANNY MAURICIO"/>
    <x v="17"/>
    <x v="5"/>
    <n v="1"/>
    <n v="1"/>
    <d v="2025-02-20T00:00:00"/>
    <d v="2025-02-20T00:00:00"/>
    <n v="19"/>
    <s v="12-24 Months"/>
    <s v="C"/>
    <s v="C"/>
    <x v="1"/>
    <n v="3102683994"/>
    <s v="OK LINEA"/>
    <s v="SI"/>
    <d v="1994-06-15T00:00:00"/>
    <n v="32"/>
    <s v="MASCULINO"/>
  </r>
  <r>
    <x v="0"/>
    <x v="0"/>
    <x v="0"/>
    <s v="40450261"/>
    <s v="CASTILLO VASQUEZ YENNY MARCELA "/>
    <x v="1"/>
    <x v="1"/>
    <x v="2"/>
    <s v="C813_00000000006121"/>
    <x v="214"/>
    <s v="CLL 15 # 13 - 61 GRANADA"/>
    <x v="9"/>
    <x v="15"/>
    <s v="TRADITIONAL"/>
    <x v="50"/>
    <s v="META"/>
    <x v="6"/>
    <s v="GAVIRIA FERRO DIEGO MAURICIO"/>
    <s v="PASTUSO ACHICUE CLAUDIA PATRICIA"/>
    <x v="8"/>
    <x v="5"/>
    <n v="1"/>
    <n v="1"/>
    <d v="2025-01-21T00:00:00"/>
    <d v="2025-01-21T00:00:00"/>
    <n v="20"/>
    <s v="12-24 Months"/>
    <s v="NO DATA"/>
    <s v="NO DATA"/>
    <x v="1"/>
    <n v="3102705496"/>
    <s v="OK LINEA"/>
    <s v="NO"/>
    <d v="1982-10-04T00:00:00"/>
    <n v="44"/>
    <s v="FEMENINO"/>
  </r>
  <r>
    <x v="0"/>
    <x v="0"/>
    <x v="0"/>
    <s v="1007347204"/>
    <s v="CASTILLO FERNÁNDEZ DAYLIS DAYANA"/>
    <x v="1"/>
    <x v="1"/>
    <x v="2"/>
    <s v="C813_00000000004531"/>
    <x v="215"/>
    <s v="CRA 16 # 19-29 ARAUCA ARAUCA"/>
    <x v="7"/>
    <x v="27"/>
    <s v="TRADITIONAL"/>
    <x v="51"/>
    <s v="ARAUCA"/>
    <x v="1"/>
    <s v="PRENT SAMPAYO ANDERSON GUILLERMO"/>
    <s v="GRANADOS NAVARRO YEFERSON ORLANDO"/>
    <x v="2"/>
    <x v="6"/>
    <n v="1"/>
    <n v="1"/>
    <d v="2025-01-02T00:00:00"/>
    <d v="2025-01-02T00:00:00"/>
    <n v="21"/>
    <s v="12-24 Months"/>
    <s v="D"/>
    <s v="D"/>
    <x v="1"/>
    <n v="3102691105"/>
    <s v="OK LINEA"/>
    <s v="NO"/>
    <d v="2000-06-23T00:00:00"/>
    <n v="26"/>
    <s v="FEMENINO"/>
  </r>
  <r>
    <x v="0"/>
    <x v="1"/>
    <x v="0"/>
    <s v="1143385908"/>
    <s v="CASTILLO CALA JUAN DAVID"/>
    <x v="1"/>
    <x v="1"/>
    <x v="2"/>
    <s v="C813_00000000001103"/>
    <x v="216"/>
    <s v="CRA 13 # 31-45 CHAMBACU CENTRO COMERCIAL MALL PLAZA CARTAGENA DE INDIAS BOLIVAR"/>
    <x v="6"/>
    <x v="7"/>
    <s v="HIPERMERCADO"/>
    <x v="31"/>
    <s v="BOLIVAR"/>
    <x v="3"/>
    <s v="PRENT SAMPAYO ANDERSON GUILLERMO"/>
    <s v="GRANADOS NAVARRO YEFERSON ORLANDO"/>
    <x v="11"/>
    <x v="5"/>
    <n v="1"/>
    <n v="1"/>
    <d v="2025-01-02T00:00:00"/>
    <d v="2023-09-04T00:00:00"/>
    <n v="37"/>
    <s v="+24 Mounths"/>
    <s v="A"/>
    <s v="C"/>
    <x v="0"/>
    <n v="3102694099"/>
    <s v="OK LINEA"/>
    <s v="SI"/>
    <d v="1995-06-30T00:00:00"/>
    <n v="31"/>
    <s v="MASCULINO"/>
  </r>
  <r>
    <x v="0"/>
    <x v="0"/>
    <x v="0"/>
    <s v="86070792"/>
    <s v="CASTELLANOS OJEDA CARLOS ALBERTO"/>
    <x v="1"/>
    <x v="1"/>
    <x v="2"/>
    <s v="C813_00000000004980"/>
    <x v="19"/>
    <s v="CALLE 7 # 45  185 VILLAVICENCIO META"/>
    <x v="1"/>
    <x v="1"/>
    <s v="HIPERMERCADO"/>
    <x v="9"/>
    <s v="META"/>
    <x v="6"/>
    <s v="GAVIRIA FERRO DIEGO MAURICIO"/>
    <s v="PASTUSO ACHICUE CLAUDIA PATRICIA"/>
    <x v="8"/>
    <x v="1"/>
    <n v="1"/>
    <n v="1"/>
    <d v="2025-08-05T00:00:00"/>
    <d v="2025-08-05T00:00:00"/>
    <n v="14"/>
    <s v="12-24 Months"/>
    <s v="C"/>
    <s v="B"/>
    <x v="1"/>
    <n v="3102700903"/>
    <s v="OK LINEA"/>
    <s v="SI"/>
    <d v="1982-01-16T00:00:00"/>
    <n v="44"/>
    <s v="MASCULINO"/>
  </r>
  <r>
    <x v="0"/>
    <x v="0"/>
    <x v="0"/>
    <s v="1024519481"/>
    <s v="CASTAÑO SALAZAR JUAN DAVID"/>
    <x v="1"/>
    <x v="1"/>
    <x v="2"/>
    <s v="C813_00000000005056"/>
    <x v="217"/>
    <s v="AC 26 # 71A-16 BOGOTA"/>
    <x v="9"/>
    <x v="20"/>
    <s v="HIPERMERCADO"/>
    <x v="0"/>
    <s v="CUNDINAMARCA"/>
    <x v="0"/>
    <s v="GAVIRIA FERRO DIEGO MAURICIO"/>
    <s v="PASTUSO ACHICUE CLAUDIA PATRICIA"/>
    <x v="14"/>
    <x v="4"/>
    <n v="1"/>
    <n v="1"/>
    <d v="2025-01-02T00:00:00"/>
    <d v="2019-08-30T00:00:00"/>
    <n v="85"/>
    <s v="+24 Mounths"/>
    <s v="C"/>
    <s v="C"/>
    <x v="0"/>
    <n v="3102658189"/>
    <s v="OK LINEA"/>
    <s v="SI"/>
    <d v="1991-07-09T00:00:00"/>
    <n v="35"/>
    <s v="MASCULINO"/>
  </r>
  <r>
    <x v="0"/>
    <x v="0"/>
    <x v="0"/>
    <s v="1000657635"/>
    <s v="AYALA ARANGO ALEXIS"/>
    <x v="1"/>
    <x v="1"/>
    <x v="2"/>
    <s v="C813_00000000000101"/>
    <x v="49"/>
    <s v="CALLE 48 # 46-115 MEDELLIN ANTIOQUIA"/>
    <x v="2"/>
    <x v="3"/>
    <s v="HIPERMERCADO"/>
    <x v="2"/>
    <s v="ANTIOQUIA"/>
    <x v="2"/>
    <s v="LOPEZ PALACIO PABLO EMILIO"/>
    <s v="ROMERO ARENAS DANNY MAURICIO"/>
    <x v="3"/>
    <x v="2"/>
    <n v="1"/>
    <n v="1"/>
    <d v="2025-04-25T00:00:00"/>
    <d v="2025-04-25T00:00:00"/>
    <n v="17"/>
    <s v="12-24 Months"/>
    <s v="B"/>
    <s v="A"/>
    <x v="1"/>
    <n v="3102716739"/>
    <s v="OK LINEA"/>
    <s v="SI"/>
    <d v="2003-04-16T00:00:00"/>
    <n v="23"/>
    <s v="MASCULINO"/>
  </r>
  <r>
    <x v="0"/>
    <x v="0"/>
    <x v="0"/>
    <s v="1070016600"/>
    <s v="QUINTERO GOMEZ GILLIAN"/>
    <x v="1"/>
    <x v="1"/>
    <x v="2"/>
    <s v="C813_00000000004452"/>
    <x v="218"/>
    <s v="KM 2.5 VIA CHIA-CAJICA COSTADO ORIENTAL LOCAL ANCALLEA # 4 CHIA CUNDINAMARCA"/>
    <x v="6"/>
    <x v="7"/>
    <s v="HIPERMERCADO"/>
    <x v="7"/>
    <s v="CUNDINAMARCA"/>
    <x v="0"/>
    <s v="PEÑA GARCIA JOINER ALEXIS"/>
    <s v="PASTUSO ACHICUE CLAUDIA PATRICIA"/>
    <x v="12"/>
    <x v="5"/>
    <n v="1"/>
    <n v="1"/>
    <d v="2026-10-02T00:00:00"/>
    <d v="2026-10-02T00:00:00"/>
    <n v="0"/>
    <s v="-3 Months"/>
    <s v="B"/>
    <s v="A"/>
    <x v="1"/>
    <s v="SIN ASIGNAR"/>
    <s v="SIN ASIGNAR"/>
    <s v="SI"/>
    <d v="1995-08-13T00:00:00"/>
    <n v="31"/>
    <s v="MASCULINO"/>
  </r>
  <r>
    <x v="0"/>
    <x v="0"/>
    <x v="0"/>
    <s v="1095941405"/>
    <s v="PABÓN OVIEDO MERILIN YULIETH"/>
    <x v="1"/>
    <x v="1"/>
    <x v="2"/>
    <s v="C813_00000000006815"/>
    <x v="219"/>
    <s v="CARRERA 27 # 36-07"/>
    <x v="7"/>
    <x v="23"/>
    <s v="TRADITIONAL"/>
    <x v="1"/>
    <s v="SANTANDER"/>
    <x v="1"/>
    <s v="LOPEZ PALACIO PABLO EMILIO"/>
    <s v="GRANADOS NAVARRO YEFERSON ORLANDO"/>
    <x v="2"/>
    <x v="6"/>
    <n v="1"/>
    <n v="0.5"/>
    <d v="2025-10-06T00:00:00"/>
    <d v="2025-10-06T00:00:00"/>
    <n v="12"/>
    <s v="12-24 Months"/>
    <s v="NO DATA"/>
    <s v="NO DATA"/>
    <x v="1"/>
    <n v="3102648813"/>
    <s v="OK LINEA"/>
    <s v="NO"/>
    <d v="1995-09-19T00:00:00"/>
    <n v="31"/>
    <s v="FEMENINO"/>
  </r>
  <r>
    <x v="0"/>
    <x v="0"/>
    <x v="0"/>
    <s v="1095941405"/>
    <s v="PABÓN OVIEDO MERILIN YULIETH"/>
    <x v="1"/>
    <x v="1"/>
    <x v="2"/>
    <s v="C813_00000000007275"/>
    <x v="220"/>
    <s v="CARRERA 17 # 31 - 67 "/>
    <x v="7"/>
    <x v="28"/>
    <s v="TRADITIONAL"/>
    <x v="1"/>
    <s v="SANTANDER"/>
    <x v="1"/>
    <s v="LOPEZ PALACIO PABLO EMILIO"/>
    <s v="GRANADOS NAVARRO YEFERSON ORLANDO"/>
    <x v="2"/>
    <x v="6"/>
    <n v="0"/>
    <n v="0.5"/>
    <d v="2025-10-06T00:00:00"/>
    <d v="2025-10-06T00:00:00"/>
    <n v="12"/>
    <s v="12-24 Months"/>
    <s v="NO DATA"/>
    <s v="NO DATA"/>
    <x v="1"/>
    <n v="3102648813"/>
    <s v="OK LINEA"/>
    <s v="NO"/>
    <d v="1995-09-19T00:00:00"/>
    <n v="31"/>
    <s v="FEMENINO"/>
  </r>
  <r>
    <x v="0"/>
    <x v="0"/>
    <x v="0"/>
    <s v="72008936"/>
    <s v="CARMONA LONDOÑO FRANKLIN"/>
    <x v="1"/>
    <x v="1"/>
    <x v="2"/>
    <s v="C813_00000000006855"/>
    <x v="221"/>
    <s v="CALLE 30 # 6B - 25"/>
    <x v="5"/>
    <x v="6"/>
    <s v="HIPERMERCADO"/>
    <x v="3"/>
    <s v="ATLANTICO"/>
    <x v="3"/>
    <s v="PRENT SAMPAYO ANDERSON GUILLERMO"/>
    <s v="GRANADOS NAVARRO YEFERSON ORLANDO"/>
    <x v="11"/>
    <x v="4"/>
    <n v="1"/>
    <n v="1"/>
    <d v="2025-04-04T00:00:00"/>
    <d v="2025-04-04T00:00:00"/>
    <n v="18"/>
    <s v="12-24 Months"/>
    <s v="NO DATA"/>
    <s v="NO DATA"/>
    <x v="1"/>
    <n v="3193096126"/>
    <s v="OK LINEA"/>
    <s v="NO"/>
    <d v="1979-04-23T00:00:00"/>
    <n v="47"/>
    <s v="MASCULINO"/>
  </r>
  <r>
    <x v="0"/>
    <x v="0"/>
    <x v="0"/>
    <s v="1022358597"/>
    <s v="ROJAS RINCÓN WILSON ANÍBAL"/>
    <x v="1"/>
    <x v="1"/>
    <x v="2"/>
    <s v="C813_00000000005050"/>
    <x v="222"/>
    <s v="AV CARRERA 45 (AUTO NORTE) NO. 166-68"/>
    <x v="3"/>
    <x v="4"/>
    <s v="TRADITIONAL"/>
    <x v="0"/>
    <s v="CUNDINAMARCA"/>
    <x v="0"/>
    <s v="GAVIRIA FERRO DIEGO MAURICIO"/>
    <s v="PASTUSO ACHICUE CLAUDIA PATRICIA"/>
    <x v="10"/>
    <x v="3"/>
    <n v="1"/>
    <n v="0.2"/>
    <d v="2026-10-01T00:00:00"/>
    <d v="2026-10-01T00:00:00"/>
    <n v="0"/>
    <s v="-3 Months"/>
    <s v="NO DATA"/>
    <s v="NO DATA"/>
    <x v="1"/>
    <s v="SIN ASIGNAR"/>
    <s v="SIN ASIGNAR"/>
    <s v="NO"/>
    <d v="1989-08-02T00:00:00"/>
    <n v="37"/>
    <s v="MASCULINO"/>
  </r>
  <r>
    <x v="0"/>
    <x v="0"/>
    <x v="0"/>
    <s v="1022358597"/>
    <s v="ROJAS RINCÓN WILSON ANÍBAL"/>
    <x v="1"/>
    <x v="1"/>
    <x v="2"/>
    <s v="SED_0033"/>
    <x v="223"/>
    <s v=" CRA 7 N° 22-20"/>
    <x v="3"/>
    <x v="4"/>
    <s v="TRADITIONAL"/>
    <x v="0"/>
    <s v="CUNDINAMARCA"/>
    <x v="0"/>
    <s v="GAVIRIA FERRO DIEGO MAURICIO"/>
    <s v="PASTUSO ACHICUE CLAUDIA PATRICIA"/>
    <x v="10"/>
    <x v="3"/>
    <n v="0"/>
    <n v="0.3"/>
    <d v="2026-10-01T00:00:00"/>
    <d v="2026-10-01T00:00:00"/>
    <n v="0"/>
    <s v="-3 Months"/>
    <s v="NO DATA"/>
    <s v="NO DATA"/>
    <x v="1"/>
    <s v="SIN ASIGNAR"/>
    <s v="SIN ASIGNAR"/>
    <s v="NO"/>
    <d v="1989-08-02T00:00:00"/>
    <n v="37"/>
    <s v="MASCULINO"/>
  </r>
  <r>
    <x v="0"/>
    <x v="0"/>
    <x v="0"/>
    <s v="1022358597"/>
    <s v="ROJAS RINCÓN WILSON ANÍBAL"/>
    <x v="1"/>
    <x v="1"/>
    <x v="2"/>
    <s v="C813_00000000000596"/>
    <x v="224"/>
    <s v="CALLE 71B # 100-11"/>
    <x v="3"/>
    <x v="4"/>
    <s v="TRADITIONAL"/>
    <x v="0"/>
    <s v="CUNDINAMARCA"/>
    <x v="0"/>
    <s v="GAVIRIA FERRO DIEGO MAURICIO"/>
    <s v="PASTUSO ACHICUE CLAUDIA PATRICIA"/>
    <x v="10"/>
    <x v="3"/>
    <n v="0"/>
    <n v="0.5"/>
    <d v="2026-10-01T00:00:00"/>
    <d v="2026-10-01T00:00:00"/>
    <n v="0"/>
    <s v="-3 Months"/>
    <s v="NO DATA"/>
    <s v="NO DATA"/>
    <x v="1"/>
    <s v="SIN ASIGNAR"/>
    <s v="SIN ASIGNAR"/>
    <s v="NO"/>
    <d v="1989-08-02T00:00:00"/>
    <n v="37"/>
    <s v="MASCULINO"/>
  </r>
  <r>
    <x v="0"/>
    <x v="0"/>
    <x v="0"/>
    <s v="1144147667"/>
    <s v="CAÑON MORENO RICARDO"/>
    <x v="1"/>
    <x v="1"/>
    <x v="2"/>
    <s v="C813_00000000006896"/>
    <x v="20"/>
    <s v="CARRERA 1 # 66 63"/>
    <x v="1"/>
    <x v="2"/>
    <s v="HIPERMERCADO"/>
    <x v="4"/>
    <s v="VALLE DEL CAUCA"/>
    <x v="4"/>
    <s v="ALVAREZ LONDOÑO JOHNNY"/>
    <s v="ROMERO ARENAS DANNY MAURICIO"/>
    <x v="5"/>
    <x v="1"/>
    <n v="1"/>
    <n v="1"/>
    <d v="2025-10-21T00:00:00"/>
    <d v="2025-10-21T00:00:00"/>
    <n v="11"/>
    <s v="9-12 Months"/>
    <s v="A"/>
    <s v="B"/>
    <x v="1"/>
    <n v="3102679357"/>
    <s v="OK LINEA"/>
    <s v="SI"/>
    <d v="1991-03-12T00:00:00"/>
    <n v="35"/>
    <s v="MASCULINO"/>
  </r>
  <r>
    <x v="0"/>
    <x v="0"/>
    <x v="0"/>
    <s v="1043435138"/>
    <s v="CANTILLO MEJIA ARIANA"/>
    <x v="1"/>
    <x v="1"/>
    <x v="2"/>
    <s v="C813_00000000004386"/>
    <x v="225"/>
    <s v="CARRERA  53 # 99-160 BARRANQUILLA  ATLANTICO"/>
    <x v="9"/>
    <x v="16"/>
    <s v="HIPERMERCADO"/>
    <x v="3"/>
    <s v="ATLANTICO"/>
    <x v="3"/>
    <s v="PRENT SAMPAYO ANDERSON GUILLERMO"/>
    <s v="GRANADOS NAVARRO YEFERSON ORLANDO"/>
    <x v="11"/>
    <x v="4"/>
    <n v="1"/>
    <n v="1"/>
    <d v="2026-01-06T00:00:00"/>
    <d v="2026-01-06T00:00:00"/>
    <n v="9"/>
    <s v="9-12 Months"/>
    <s v="D"/>
    <s v="D"/>
    <x v="1"/>
    <n v="3102611686"/>
    <s v="OK LINEA"/>
    <s v="SI"/>
    <d v="2003-12-16T00:00:00"/>
    <n v="22"/>
    <s v="FEMENINO"/>
  </r>
  <r>
    <x v="0"/>
    <x v="0"/>
    <x v="0"/>
    <s v="1083906606"/>
    <s v="CANTILLO LEIDY ADELINA"/>
    <x v="1"/>
    <x v="1"/>
    <x v="2"/>
    <s v="C813_00000000001001"/>
    <x v="226"/>
    <s v="CR 15 # 19 - 31 SUR, BARRIO SOLARTE, CC GRAN PLAZA SAN ANTONIO"/>
    <x v="2"/>
    <x v="3"/>
    <s v="HIPERMERCADO"/>
    <x v="52"/>
    <s v="HUILA"/>
    <x v="7"/>
    <s v="PEÑA GARCIA JOINER ALEXIS"/>
    <s v="PASTUSO ACHICUE CLAUDIA PATRICIA"/>
    <x v="13"/>
    <x v="2"/>
    <n v="1"/>
    <n v="1"/>
    <d v="2025-11-06T00:00:00"/>
    <d v="2025-11-06T00:00:00"/>
    <n v="11"/>
    <s v="9-12 Months"/>
    <s v="B"/>
    <s v="A"/>
    <x v="1"/>
    <n v="3160464868"/>
    <s v="OK LINEA"/>
    <s v="SI"/>
    <d v="1994-01-28T00:00:00"/>
    <n v="32"/>
    <s v="FEMENINO"/>
  </r>
  <r>
    <x v="0"/>
    <x v="0"/>
    <x v="0"/>
    <s v="1040738209"/>
    <s v="SERNA AREIZA ISABEL CRISTINA"/>
    <x v="1"/>
    <x v="1"/>
    <x v="2"/>
    <s v="C813_00000000006801"/>
    <x v="227"/>
    <s v="CALLE 40 # 50-205 BELLO ANTIOQUIA"/>
    <x v="1"/>
    <x v="10"/>
    <s v="HIPERMERCADO"/>
    <x v="13"/>
    <s v="ANTIOQUIA"/>
    <x v="2"/>
    <s v="LOPEZ PALACIO PABLO EMILIO"/>
    <s v="ROMERO ARENAS DANNY MAURICIO"/>
    <x v="3"/>
    <x v="1"/>
    <n v="1"/>
    <n v="1"/>
    <d v="2025-01-02T00:00:00"/>
    <d v="2023-03-09T00:00:00"/>
    <n v="43"/>
    <s v="+24 Mounths"/>
    <s v="C"/>
    <s v="A"/>
    <x v="0"/>
    <n v="3102616548"/>
    <s v="OK LINEA"/>
    <s v="SI"/>
    <d v="1990-10-29T00:00:00"/>
    <n v="35"/>
    <s v="FEMENINO"/>
  </r>
  <r>
    <x v="0"/>
    <x v="0"/>
    <x v="0"/>
    <s v="1005968620"/>
    <s v="REGINO JOHN ALEJANDRO"/>
    <x v="1"/>
    <x v="1"/>
    <x v="2"/>
    <s v="C813_00000000001058"/>
    <x v="7"/>
    <s v="CL 13 #80 - 187, CALI, VALLE DEL CAUCA"/>
    <x v="1"/>
    <x v="2"/>
    <s v="HIPERMERCADO"/>
    <x v="4"/>
    <s v="VALLE DEL CAUCA"/>
    <x v="4"/>
    <s v="ALVAREZ LONDOÑO JOHNNY"/>
    <s v="ROMERO ARENAS DANNY MAURICIO"/>
    <x v="5"/>
    <x v="1"/>
    <n v="1"/>
    <n v="1"/>
    <d v="2026-08-14T00:00:00"/>
    <d v="2026-08-14T00:00:00"/>
    <n v="2"/>
    <s v="-3 Months"/>
    <s v="A"/>
    <s v="A"/>
    <x v="1"/>
    <s v="SIN ASIGNAR"/>
    <s v="SIN ASIGNAR"/>
    <s v="SI"/>
    <d v="2003-09-02T00:00:00"/>
    <n v="23"/>
    <s v="MASCULINO"/>
  </r>
  <r>
    <x v="0"/>
    <x v="0"/>
    <x v="0"/>
    <s v="1030588614"/>
    <s v="CACERES TORRES KAREN YULEIMY"/>
    <x v="1"/>
    <x v="1"/>
    <x v="2"/>
    <s v="C813_00000000006477"/>
    <x v="228"/>
    <s v="CARRERA 13 # 14-74"/>
    <x v="7"/>
    <x v="12"/>
    <s v="TRADITIONAL"/>
    <x v="0"/>
    <s v="CUNDINAMARCA"/>
    <x v="0"/>
    <s v="PEÑA GARCIA JOINER ALEXIS"/>
    <s v="PASTUSO ACHICUE CLAUDIA PATRICIA"/>
    <x v="12"/>
    <x v="6"/>
    <n v="0"/>
    <n v="0.33333333333333331"/>
    <d v="2025-10-09T00:00:00"/>
    <d v="2025-10-09T00:00:00"/>
    <n v="12"/>
    <s v="12-24 Months"/>
    <s v="NO DATA"/>
    <s v="NO DATA"/>
    <x v="1"/>
    <n v="3102647362"/>
    <s v="OK LINEA"/>
    <s v="NO"/>
    <d v="1991-01-31T00:00:00"/>
    <n v="35"/>
    <s v="FEMENINO"/>
  </r>
  <r>
    <x v="0"/>
    <x v="0"/>
    <x v="0"/>
    <s v="1030588614"/>
    <s v="CACERES TORRES KAREN YULEIMY"/>
    <x v="1"/>
    <x v="1"/>
    <x v="2"/>
    <s v="ALCA_0004"/>
    <x v="229"/>
    <s v="CRA 13 # 15-22"/>
    <x v="7"/>
    <x v="12"/>
    <s v="TRADITIONAL"/>
    <x v="0"/>
    <s v="CUNDINAMARCA"/>
    <x v="0"/>
    <s v="PEÑA GARCIA JOINER ALEXIS"/>
    <s v="PASTUSO ACHICUE CLAUDIA PATRICIA"/>
    <x v="12"/>
    <x v="6"/>
    <n v="1"/>
    <n v="0.33333333333333331"/>
    <d v="2025-10-09T00:00:00"/>
    <d v="2025-10-09T00:00:00"/>
    <n v="12"/>
    <s v="12-24 Months"/>
    <s v="NO DATA"/>
    <s v="NO DATA"/>
    <x v="1"/>
    <n v="3102647362"/>
    <s v="OK LINEA"/>
    <s v="NO"/>
    <d v="1991-01-31T00:00:00"/>
    <n v="35"/>
    <s v="FEMENINO"/>
  </r>
  <r>
    <x v="0"/>
    <x v="0"/>
    <x v="0"/>
    <s v="1030588614"/>
    <s v="CACERES TORRES KAREN YULEIMY"/>
    <x v="1"/>
    <x v="1"/>
    <x v="2"/>
    <s v="ALCA_0005"/>
    <x v="230"/>
    <s v="CRA 13 # 16-98"/>
    <x v="7"/>
    <x v="12"/>
    <s v="TRADITIONAL"/>
    <x v="0"/>
    <s v="CUNDINAMARCA"/>
    <x v="0"/>
    <s v="PEÑA GARCIA JOINER ALEXIS"/>
    <s v="PASTUSO ACHICUE CLAUDIA PATRICIA"/>
    <x v="12"/>
    <x v="6"/>
    <n v="0"/>
    <n v="0.33333333333333331"/>
    <d v="2025-10-09T00:00:00"/>
    <d v="2025-10-09T00:00:00"/>
    <n v="12"/>
    <s v="12-24 Months"/>
    <s v="NO DATA"/>
    <s v="NO DATA"/>
    <x v="1"/>
    <n v="3102647362"/>
    <s v="OK LINEA"/>
    <s v="NO"/>
    <d v="1991-01-31T00:00:00"/>
    <n v="35"/>
    <s v="FEMENINO"/>
  </r>
  <r>
    <x v="0"/>
    <x v="0"/>
    <x v="0"/>
    <s v="1098695478"/>
    <s v="CABRERA HERNANDEZ YEISON"/>
    <x v="1"/>
    <x v="1"/>
    <x v="2"/>
    <s v="C813_00000000000395"/>
    <x v="231"/>
    <s v="CALLE 36 # 23-59 BUCARAMANGA SANTANDER"/>
    <x v="7"/>
    <x v="12"/>
    <s v="TRADITIONAL"/>
    <x v="1"/>
    <s v="SANTANDER"/>
    <x v="1"/>
    <s v="LOPEZ PALACIO PABLO EMILIO"/>
    <s v="GRANADOS NAVARRO YEFERSON ORLANDO"/>
    <x v="2"/>
    <x v="6"/>
    <n v="1"/>
    <n v="0.5"/>
    <d v="2025-01-02T00:00:00"/>
    <d v="2022-02-03T00:00:00"/>
    <n v="56"/>
    <s v="+24 Mounths"/>
    <s v="C"/>
    <s v="C"/>
    <x v="0"/>
    <n v="3102630405"/>
    <s v="OK LINEA"/>
    <s v="NO"/>
    <d v="1990-09-17T00:00:00"/>
    <n v="36"/>
    <s v="MASCULINO"/>
  </r>
  <r>
    <x v="0"/>
    <x v="0"/>
    <x v="0"/>
    <s v="1098695478"/>
    <s v="CABRERA HERNANDEZ YEISON"/>
    <x v="1"/>
    <x v="1"/>
    <x v="2"/>
    <s v="C813_00000000004747"/>
    <x v="232"/>
    <s v="CALLE 36 # 23-59 BUCARAMANGA SANTANDER"/>
    <x v="7"/>
    <x v="12"/>
    <s v="TRADITIONAL"/>
    <x v="1"/>
    <s v="SANTANDER"/>
    <x v="1"/>
    <s v="LOPEZ PALACIO PABLO EMILIO"/>
    <s v="GRANADOS NAVARRO YEFERSON ORLANDO"/>
    <x v="2"/>
    <x v="6"/>
    <n v="0"/>
    <n v="0.5"/>
    <d v="2025-01-02T00:00:00"/>
    <d v="2022-02-03T00:00:00"/>
    <n v="56"/>
    <s v="+24 Mounths"/>
    <s v="C"/>
    <s v="C"/>
    <x v="0"/>
    <n v="3102630405"/>
    <s v="OK LINEA"/>
    <s v="NO"/>
    <d v="1990-09-17T00:00:00"/>
    <n v="36"/>
    <s v="MASCULINO"/>
  </r>
  <r>
    <x v="0"/>
    <x v="0"/>
    <x v="0"/>
    <s v="1010140988"/>
    <s v="BUITRAGO JEISSON ANTONIO"/>
    <x v="1"/>
    <x v="1"/>
    <x v="2"/>
    <s v="C813_00000000006481"/>
    <x v="233"/>
    <s v="CALLE 34 #2-45 LOCAL L1 103"/>
    <x v="1"/>
    <x v="10"/>
    <s v="HIPERMERCADO"/>
    <x v="53"/>
    <s v="VALLE DEL CAUCA"/>
    <x v="5"/>
    <s v="ALVAREZ LONDOÑO JOHNNY"/>
    <s v="ROMERO ARENAS DANNY MAURICIO"/>
    <x v="7"/>
    <x v="1"/>
    <n v="1"/>
    <n v="1"/>
    <d v="2026-03-26T00:00:00"/>
    <d v="2026-03-26T00:00:00"/>
    <n v="6"/>
    <s v="6-9 Months"/>
    <s v="C"/>
    <s v="B"/>
    <x v="1"/>
    <s v="SIN ASIGNAR"/>
    <s v="SIN ASIGNAR"/>
    <s v="SI"/>
    <d v="2000-11-21T00:00:00"/>
    <n v="25"/>
    <s v="MASCULINO"/>
  </r>
  <r>
    <x v="0"/>
    <x v="0"/>
    <x v="0"/>
    <s v="1110562757"/>
    <s v="BUITRAGO IBAÑEZ SARA ALEJANDRA"/>
    <x v="1"/>
    <x v="1"/>
    <x v="2"/>
    <s v="C813_00000000003070"/>
    <x v="234"/>
    <s v="CARRERA 16 SUR # 96-48 IBAGUE TOLIMA"/>
    <x v="8"/>
    <x v="14"/>
    <s v="TRADITIONAL"/>
    <x v="12"/>
    <s v="TOLIMA"/>
    <x v="7"/>
    <s v="PEÑA GARCIA JOINER ALEXIS"/>
    <s v="PASTUSO ACHICUE CLAUDIA PATRICIA"/>
    <x v="13"/>
    <x v="6"/>
    <n v="1"/>
    <n v="1"/>
    <d v="2026-04-23T00:00:00"/>
    <d v="2026-04-23T00:00:00"/>
    <n v="5"/>
    <s v="3-6 Months"/>
    <s v="C"/>
    <s v="C"/>
    <x v="1"/>
    <s v="SIN ASIGNAR"/>
    <s v="SIN ASIGNAR"/>
    <s v="NO"/>
    <d v="1995-08-26T00:00:00"/>
    <n v="31"/>
    <s v="FEMENINO"/>
  </r>
  <r>
    <x v="0"/>
    <x v="0"/>
    <x v="0"/>
    <s v="1144206302"/>
    <s v="BUITRAGO CASTAÑO CRISTIAN CAMILO"/>
    <x v="1"/>
    <x v="1"/>
    <x v="2"/>
    <s v="C813_00000000006896"/>
    <x v="20"/>
    <s v="CARRERA 1 # 66 63"/>
    <x v="1"/>
    <x v="2"/>
    <s v="HIPERMERCADO"/>
    <x v="4"/>
    <s v="VALLE DEL CAUCA"/>
    <x v="4"/>
    <s v="ALVAREZ LONDOÑO JOHNNY"/>
    <s v="ROMERO ARENAS DANNY MAURICIO"/>
    <x v="5"/>
    <x v="1"/>
    <n v="1"/>
    <n v="1"/>
    <d v="2025-02-17T00:00:00"/>
    <d v="2025-02-17T00:00:00"/>
    <n v="19"/>
    <s v="12-24 Months"/>
    <s v="A"/>
    <s v="B"/>
    <x v="1"/>
    <n v="3102654552"/>
    <s v="OK LINEA"/>
    <s v="SI"/>
    <d v="1998-06-12T00:00:00"/>
    <n v="28"/>
    <s v="MASCULINO"/>
  </r>
  <r>
    <x v="0"/>
    <x v="0"/>
    <x v="0"/>
    <s v="1098757370"/>
    <s v="BUENAHORA CONTRERAS CAROLL SLENDY"/>
    <x v="1"/>
    <x v="1"/>
    <x v="2"/>
    <s v="C813_00000000004750"/>
    <x v="235"/>
    <s v="CALLE 36 # 22-50 BUCARAMANGA SANTANDER"/>
    <x v="7"/>
    <x v="29"/>
    <s v="TRADITIONAL"/>
    <x v="1"/>
    <s v="SANTANDER"/>
    <x v="1"/>
    <s v="LOPEZ PALACIO PABLO EMILIO"/>
    <s v="GRANADOS NAVARRO YEFERSON ORLANDO"/>
    <x v="2"/>
    <x v="6"/>
    <n v="1"/>
    <n v="0.33333333333333331"/>
    <d v="2025-01-02T00:00:00"/>
    <d v="2023-11-23T00:00:00"/>
    <n v="34"/>
    <s v="+24 Mounths"/>
    <s v="D"/>
    <s v="D"/>
    <x v="0"/>
    <n v="3102701650"/>
    <s v="OK LINEA"/>
    <s v="NO"/>
    <d v="1994-07-02T00:00:00"/>
    <n v="32"/>
    <s v="FEMENINO"/>
  </r>
  <r>
    <x v="0"/>
    <x v="0"/>
    <x v="0"/>
    <s v="1098757370"/>
    <s v="BUENAHORA CONTRERAS CAROLL SLENDY"/>
    <x v="1"/>
    <x v="1"/>
    <x v="2"/>
    <s v="C813_00000000003209"/>
    <x v="236"/>
    <s v="CALLE 9 # 7-29"/>
    <x v="7"/>
    <x v="29"/>
    <s v="TRADITIONAL"/>
    <x v="54"/>
    <s v="SANTANDER"/>
    <x v="1"/>
    <s v="PRENT SAMPAYO ANDERSON GUILLERMO"/>
    <s v="GRANADOS NAVARRO YEFERSON ORLANDO"/>
    <x v="2"/>
    <x v="6"/>
    <n v="0"/>
    <n v="0.33333333333333331"/>
    <d v="2025-01-02T00:00:00"/>
    <d v="2023-11-23T00:00:00"/>
    <n v="34"/>
    <s v="+24 Mounths"/>
    <s v="D"/>
    <s v="D"/>
    <x v="0"/>
    <n v="3102701650"/>
    <s v="OK LINEA"/>
    <s v="NO"/>
    <d v="1994-07-02T00:00:00"/>
    <n v="32"/>
    <s v="FEMENINO"/>
  </r>
  <r>
    <x v="0"/>
    <x v="0"/>
    <x v="0"/>
    <s v="1098757370"/>
    <s v="BUENAHORA CONTRERAS CAROLL SLENDY"/>
    <x v="1"/>
    <x v="1"/>
    <x v="2"/>
    <s v="C813_00000000003210"/>
    <x v="237"/>
    <s v="CARRERA 6 # 10-97"/>
    <x v="7"/>
    <x v="29"/>
    <s v="TRADITIONAL"/>
    <x v="54"/>
    <s v="SANTANDER"/>
    <x v="1"/>
    <s v="PRENT SAMPAYO ANDERSON GUILLERMO"/>
    <s v="GRANADOS NAVARRO YEFERSON ORLANDO"/>
    <x v="2"/>
    <x v="6"/>
    <n v="0"/>
    <n v="0.33333333333333331"/>
    <d v="2025-01-02T00:00:00"/>
    <d v="2023-11-23T00:00:00"/>
    <n v="34"/>
    <s v="+24 Mounths"/>
    <s v="D"/>
    <s v="D"/>
    <x v="0"/>
    <n v="3102701650"/>
    <s v="OK LINEA"/>
    <s v="NO"/>
    <d v="1994-07-02T00:00:00"/>
    <n v="32"/>
    <s v="FEMENINO"/>
  </r>
  <r>
    <x v="0"/>
    <x v="0"/>
    <x v="0"/>
    <s v="1019119291"/>
    <s v="BRAVO LOZANO SAUDITH LUZ"/>
    <x v="1"/>
    <x v="1"/>
    <x v="2"/>
    <s v="C813_00000000006464"/>
    <x v="149"/>
    <s v="AVENIDA BOYACA  # 72 # 12B -18 BOGOTA"/>
    <x v="1"/>
    <x v="2"/>
    <s v="HIPERMERCADO"/>
    <x v="0"/>
    <s v="CUNDINAMARCA"/>
    <x v="0"/>
    <s v="PEÑA GARCIA JOINER ALEXIS"/>
    <s v="PASTUSO ACHICUE CLAUDIA PATRICIA"/>
    <x v="1"/>
    <x v="1"/>
    <n v="1"/>
    <n v="1"/>
    <d v="2025-03-31T00:00:00"/>
    <d v="2025-03-31T00:00:00"/>
    <n v="18"/>
    <s v="12-24 Months"/>
    <s v="A"/>
    <s v="A"/>
    <x v="1"/>
    <n v="3115960487"/>
    <s v="OK LINEA"/>
    <s v="SI"/>
    <d v="1996-05-15T00:00:00"/>
    <n v="30"/>
    <s v="FEMENINO"/>
  </r>
  <r>
    <x v="0"/>
    <x v="0"/>
    <x v="0"/>
    <s v="39576707"/>
    <s v="BONILLA RODRIGUEZ BRENDA PAOLA"/>
    <x v="1"/>
    <x v="1"/>
    <x v="2"/>
    <s v="C813_00000000006817"/>
    <x v="238"/>
    <s v="CARRERA  7A # 33 - 77 / 199  GIRARDOT"/>
    <x v="1"/>
    <x v="1"/>
    <s v="HIPERMERCADO"/>
    <x v="55"/>
    <s v="CUNDINAMARCA"/>
    <x v="7"/>
    <s v="PEÑA GARCIA JOINER ALEXIS"/>
    <s v="PASTUSO ACHICUE CLAUDIA PATRICIA"/>
    <x v="13"/>
    <x v="1"/>
    <n v="1"/>
    <n v="1"/>
    <d v="2025-01-02T00:00:00"/>
    <d v="2020-07-29T00:00:00"/>
    <n v="74"/>
    <s v="+24 Mounths"/>
    <s v="C"/>
    <s v="A"/>
    <x v="0"/>
    <n v="3102676157"/>
    <s v="OK LINEA"/>
    <s v="SI"/>
    <d v="1979-10-21T00:00:00"/>
    <n v="46"/>
    <s v="FEMENINO"/>
  </r>
  <r>
    <x v="0"/>
    <x v="0"/>
    <x v="0"/>
    <s v="1075255097"/>
    <s v="BONILLA MEDINA JUAN CARLOS"/>
    <x v="1"/>
    <x v="1"/>
    <x v="2"/>
    <s v="C813_00000000000198"/>
    <x v="239"/>
    <s v="CRA 5A # 19-23 NEIVA HUILA"/>
    <x v="5"/>
    <x v="6"/>
    <s v="HIPERMERCADO"/>
    <x v="29"/>
    <s v="HUILA"/>
    <x v="7"/>
    <s v="PEÑA GARCIA JOINER ALEXIS"/>
    <s v="PASTUSO ACHICUE CLAUDIA PATRICIA"/>
    <x v="13"/>
    <x v="4"/>
    <n v="1"/>
    <n v="1"/>
    <d v="2025-01-02T00:00:00"/>
    <d v="2022-11-03T00:00:00"/>
    <n v="47"/>
    <s v="+24 Mounths"/>
    <s v="B"/>
    <s v="B"/>
    <x v="0"/>
    <n v="3102680193"/>
    <s v="OK LINEA"/>
    <s v="SI"/>
    <d v="1990-06-05T00:00:00"/>
    <n v="36"/>
    <s v="MASCULINO"/>
  </r>
  <r>
    <x v="0"/>
    <x v="0"/>
    <x v="0"/>
    <s v="1094937522"/>
    <s v="GUZMAN HOLGUIN HERNAN DARIO"/>
    <x v="1"/>
    <x v="1"/>
    <x v="2"/>
    <s v="C813_00000000006505"/>
    <x v="197"/>
    <s v="AV BOLIVAR # 6-02 LOCAL 117 ARMENIA QUINDIO"/>
    <x v="1"/>
    <x v="10"/>
    <s v="HIPERMERCADO"/>
    <x v="44"/>
    <s v="QUINDIO"/>
    <x v="5"/>
    <s v="ALVAREZ LONDOÑO JOHNNY"/>
    <s v="ROMERO ARENAS DANNY MAURICIO"/>
    <x v="7"/>
    <x v="1"/>
    <n v="1"/>
    <n v="1"/>
    <d v="2025-01-02T00:00:00"/>
    <d v="2024-11-13T00:00:00"/>
    <n v="23"/>
    <s v="12-24 Months"/>
    <s v="A"/>
    <s v="B"/>
    <x v="0"/>
    <n v="3102697031"/>
    <s v="OK LINEA"/>
    <s v="SI"/>
    <d v="1993-07-31T00:00:00"/>
    <n v="33"/>
    <s v="MASCULINO"/>
  </r>
  <r>
    <x v="0"/>
    <x v="0"/>
    <x v="0"/>
    <s v="1006149800"/>
    <s v="BOCANEGRA MUÑOZ JUAN CAMILO"/>
    <x v="1"/>
    <x v="1"/>
    <x v="2"/>
    <s v="C813_00000000000696"/>
    <x v="240"/>
    <s v="CALLE 145 # 105B - 58 BOGOTA"/>
    <x v="2"/>
    <x v="3"/>
    <s v="HIPERMERCADO"/>
    <x v="0"/>
    <s v="CUNDINAMARCA"/>
    <x v="0"/>
    <s v="GAVIRIA FERRO DIEGO MAURICIO"/>
    <s v="PASTUSO ACHICUE CLAUDIA PATRICIA"/>
    <x v="14"/>
    <x v="2"/>
    <n v="1"/>
    <n v="1"/>
    <d v="2026-03-10T00:00:00"/>
    <d v="2026-03-10T00:00:00"/>
    <n v="7"/>
    <s v="6-9 Months"/>
    <s v="B"/>
    <s v="B"/>
    <x v="1"/>
    <s v="SIN ASIGNAR"/>
    <s v="SIN ASIGNAR"/>
    <s v="SI"/>
    <d v="2001-08-14T00:00:00"/>
    <n v="25"/>
    <s v="MASCULINO"/>
  </r>
  <r>
    <x v="0"/>
    <x v="0"/>
    <x v="0"/>
    <s v="1013652054"/>
    <s v="GALINDO VARGAS CRISTIAN LEONARDO"/>
    <x v="1"/>
    <x v="1"/>
    <x v="2"/>
    <s v="C813_00000000000512"/>
    <x v="241"/>
    <s v="CRA 13 # 16-55 BOGOTA"/>
    <x v="9"/>
    <x v="15"/>
    <s v="TRADITIONAL"/>
    <x v="0"/>
    <s v="CUNDINAMARCA"/>
    <x v="0"/>
    <s v="GAVIRIA FERRO DIEGO MAURICIO"/>
    <s v="PASTUSO ACHICUE CLAUDIA PATRICIA"/>
    <x v="12"/>
    <x v="5"/>
    <n v="1"/>
    <n v="1"/>
    <d v="2025-03-25T00:00:00"/>
    <d v="2025-03-25T00:00:00"/>
    <n v="18"/>
    <s v="12-24 Months"/>
    <s v="B"/>
    <s v="B"/>
    <x v="1"/>
    <n v="3102708003"/>
    <s v="OK LINEA"/>
    <s v="NO"/>
    <d v="1994-08-28T00:00:00"/>
    <n v="32"/>
    <s v="MASCULINO"/>
  </r>
  <r>
    <x v="0"/>
    <x v="0"/>
    <x v="0"/>
    <s v="1047230063"/>
    <s v="BENAVIDES DIAZ JUNIOR"/>
    <x v="1"/>
    <x v="1"/>
    <x v="2"/>
    <s v="C813_00000000000716"/>
    <x v="242"/>
    <s v="CALLE 98 # 50 - 52 BARRANQUILLA"/>
    <x v="2"/>
    <x v="3"/>
    <s v="HIPERMERCADO"/>
    <x v="3"/>
    <s v="ATLANTICO"/>
    <x v="3"/>
    <s v="PRENT SAMPAYO ANDERSON GUILLERMO"/>
    <s v="GRANADOS NAVARRO YEFERSON ORLANDO"/>
    <x v="4"/>
    <x v="2"/>
    <n v="1"/>
    <n v="1"/>
    <d v="2025-01-02T00:00:00"/>
    <d v="2022-04-13T00:00:00"/>
    <n v="54"/>
    <s v="+24 Mounths"/>
    <s v="A"/>
    <s v="C"/>
    <x v="0"/>
    <n v="3102688415"/>
    <s v="OK LINEA"/>
    <s v="SI"/>
    <d v="1992-03-21T00:00:00"/>
    <n v="34"/>
    <s v="MASCULINO"/>
  </r>
  <r>
    <x v="0"/>
    <x v="0"/>
    <x v="0"/>
    <s v="19621035"/>
    <s v="BENALCAZAR SILVA GIAN CARLOS"/>
    <x v="1"/>
    <x v="1"/>
    <x v="2"/>
    <s v="C813_00000000000717"/>
    <x v="97"/>
    <s v="CALLE 32 #29A-500 MAMATOCO SANTA MARTA"/>
    <x v="2"/>
    <x v="3"/>
    <s v="HIPERMERCADO"/>
    <x v="18"/>
    <s v="MAGDALENA"/>
    <x v="3"/>
    <s v="PRENT SAMPAYO ANDERSON GUILLERMO"/>
    <s v="GRANADOS NAVARRO YEFERSON ORLANDO"/>
    <x v="4"/>
    <x v="2"/>
    <n v="1"/>
    <n v="1"/>
    <d v="2025-09-18T00:00:00"/>
    <d v="2025-09-18T00:00:00"/>
    <n v="12"/>
    <s v="12-24 Months"/>
    <s v="B"/>
    <s v="B"/>
    <x v="1"/>
    <n v="3102706353"/>
    <s v="OK LINEA"/>
    <s v="SI"/>
    <d v="1985-04-12T00:00:00"/>
    <n v="41"/>
    <s v="MASCULINO"/>
  </r>
  <r>
    <x v="0"/>
    <x v="0"/>
    <x v="0"/>
    <s v="1047403940"/>
    <s v="BAZA MORENO YEILER ANTONIO"/>
    <x v="1"/>
    <x v="1"/>
    <x v="2"/>
    <s v="C813_00000000000708"/>
    <x v="243"/>
    <s v="CRA 20 # 28-12 BARRIO LA Y CAUCASIA ANTIOQUIA"/>
    <x v="2"/>
    <x v="3"/>
    <s v="HIPERMERCADO"/>
    <x v="56"/>
    <s v="ANTIOQUIA"/>
    <x v="2"/>
    <s v="LOPEZ PALACIO PABLO EMILIO"/>
    <s v="ROMERO ARENAS DANNY MAURICIO"/>
    <x v="3"/>
    <x v="2"/>
    <n v="1"/>
    <n v="1"/>
    <d v="2025-10-21T00:00:00"/>
    <d v="2025-10-21T00:00:00"/>
    <n v="11"/>
    <s v="9-12 Months"/>
    <s v="B"/>
    <s v="B"/>
    <x v="1"/>
    <s v="SIN ASIGNAR"/>
    <s v="SIN ASIGNAR"/>
    <s v="SI"/>
    <d v="1988-11-14T00:00:00"/>
    <n v="37"/>
    <s v="MASCULINO"/>
  </r>
  <r>
    <x v="0"/>
    <x v="0"/>
    <x v="0"/>
    <s v="1098657422"/>
    <s v="TORRES CACERES PEDRO ANDRES"/>
    <x v="1"/>
    <x v="1"/>
    <x v="2"/>
    <s v="C813_00000000001132"/>
    <x v="244"/>
    <s v="CRA 23 # 29-145 LOCAL 101 BUCARAMANGA SANTANDER"/>
    <x v="6"/>
    <x v="7"/>
    <s v="HIPERMERCADO"/>
    <x v="1"/>
    <s v="SANTANDER"/>
    <x v="1"/>
    <s v="LOPEZ PALACIO PABLO EMILIO"/>
    <s v="GRANADOS NAVARRO YEFERSON ORLANDO"/>
    <x v="2"/>
    <x v="5"/>
    <n v="1"/>
    <n v="1"/>
    <d v="2025-01-02T00:00:00"/>
    <d v="2024-06-27T00:00:00"/>
    <n v="27"/>
    <s v="+24 Mounths"/>
    <s v="B"/>
    <s v="C"/>
    <x v="0"/>
    <n v="3102669080"/>
    <s v="OK LINEA"/>
    <s v="NO"/>
    <d v="1988-06-24T00:00:00"/>
    <n v="38"/>
    <s v="MASCULINO"/>
  </r>
  <r>
    <x v="0"/>
    <x v="0"/>
    <x v="0"/>
    <s v="1029720675"/>
    <s v="FONSECA ESCOBAR JUAN ESTEBAN"/>
    <x v="1"/>
    <x v="1"/>
    <x v="2"/>
    <s v="C813_00000000000056"/>
    <x v="245"/>
    <s v="AV AMERICAS # 68-94 BOGOTA"/>
    <x v="2"/>
    <x v="3"/>
    <s v="HIPERMERCADO"/>
    <x v="0"/>
    <s v="CUNDINAMARCA"/>
    <x v="0"/>
    <s v="GAVIRIA FERRO DIEGO MAURICIO"/>
    <s v="PASTUSO ACHICUE CLAUDIA PATRICIA"/>
    <x v="14"/>
    <x v="2"/>
    <n v="1"/>
    <n v="1"/>
    <d v="2026-04-27T00:00:00"/>
    <d v="2026-04-27T00:00:00"/>
    <n v="5"/>
    <s v="3-6 Months"/>
    <s v="A"/>
    <s v="A"/>
    <x v="1"/>
    <s v="SIN ASIGNAR"/>
    <s v="SIN ASIGNAR"/>
    <s v="SI"/>
    <d v="2005-10-16T00:00:00"/>
    <n v="21"/>
    <s v="MASCULINO"/>
  </r>
  <r>
    <x v="0"/>
    <x v="0"/>
    <x v="0"/>
    <s v="1098791291"/>
    <s v="BARAJAS CHACON JUAN SEBASTIAN"/>
    <x v="1"/>
    <x v="1"/>
    <x v="2"/>
    <s v="C813_00000000005101"/>
    <x v="246"/>
    <s v="CALLE 15 # 3AN - 40 CENTRO COMERCIAL DE LA CUESTA LOCAL 154 PRIMER PISO, PIEDECUESTA, SANTANDER"/>
    <x v="1"/>
    <x v="10"/>
    <s v="HIPERMERCADO"/>
    <x v="1"/>
    <s v="SANTANDER"/>
    <x v="1"/>
    <s v="LOPEZ PALACIO PABLO EMILIO"/>
    <s v="GRANADOS NAVARRO YEFERSON ORLANDO"/>
    <x v="2"/>
    <x v="1"/>
    <n v="1"/>
    <n v="1"/>
    <d v="2025-01-02T00:00:00"/>
    <d v="2023-12-21T00:00:00"/>
    <n v="33"/>
    <s v="+24 Mounths"/>
    <s v="D"/>
    <s v="B"/>
    <x v="0"/>
    <n v="3108504627"/>
    <s v="OK LINEA"/>
    <s v="SI"/>
    <d v="1996-11-12T00:00:00"/>
    <n v="29"/>
    <s v="MASCULINO"/>
  </r>
  <r>
    <x v="0"/>
    <x v="0"/>
    <x v="0"/>
    <s v="80804289"/>
    <s v="LEON RODRIGUEZ FABIAN"/>
    <x v="1"/>
    <x v="1"/>
    <x v="2"/>
    <s v="C813_00000000000319"/>
    <x v="247"/>
    <s v="CRA 92 # 60-90 SUR BOGOTA"/>
    <x v="4"/>
    <x v="5"/>
    <s v="HIPERMERCADO"/>
    <x v="0"/>
    <s v="CUNDINAMARCA"/>
    <x v="0"/>
    <s v="GAVIRIA FERRO DIEGO MAURICIO"/>
    <s v="PASTUSO ACHICUE CLAUDIA PATRICIA"/>
    <x v="16"/>
    <x v="3"/>
    <n v="1"/>
    <n v="1"/>
    <d v="2025-05-05T00:00:00"/>
    <d v="2025-05-05T00:00:00"/>
    <n v="17"/>
    <s v="12-24 Months"/>
    <s v="B"/>
    <s v="B"/>
    <x v="1"/>
    <n v="3102702744"/>
    <s v="OK LINEA"/>
    <s v="SI"/>
    <d v="1985-10-29T00:00:00"/>
    <n v="40"/>
    <s v="MASCULINO"/>
  </r>
  <r>
    <x v="0"/>
    <x v="0"/>
    <x v="0"/>
    <s v="1025880011"/>
    <s v="ROLDAN ZAPATA JORGE IVAN"/>
    <x v="1"/>
    <x v="1"/>
    <x v="2"/>
    <s v="C813_00000000000012"/>
    <x v="37"/>
    <s v="CARRERA 48 # 32 B SUR 139 MEDELLIN ANTIOQUIA"/>
    <x v="2"/>
    <x v="3"/>
    <s v="HIPERMERCADO"/>
    <x v="2"/>
    <s v="ANTIOQUIA"/>
    <x v="2"/>
    <s v="LOPEZ PALACIO PABLO EMILIO"/>
    <s v="ROMERO ARENAS DANNY MAURICIO"/>
    <x v="3"/>
    <x v="2"/>
    <n v="1"/>
    <n v="1"/>
    <d v="2025-01-02T00:00:00"/>
    <d v="2024-06-06T00:00:00"/>
    <n v="28"/>
    <s v="+24 Mounths"/>
    <s v="A"/>
    <s v="A"/>
    <x v="0"/>
    <n v="3102623780"/>
    <s v="OK LINEA"/>
    <s v="SI"/>
    <d v="2003-10-11T00:00:00"/>
    <n v="23"/>
    <s v="MASCULINO"/>
  </r>
  <r>
    <x v="0"/>
    <x v="0"/>
    <x v="0"/>
    <s v="1007317198"/>
    <s v="AVILA CASTRO JUNIOR JOSE"/>
    <x v="1"/>
    <x v="1"/>
    <x v="2"/>
    <s v="C813_00000000007428"/>
    <x v="125"/>
    <s v="DIAGONAL 3 #14A-16 MOSQUERA, CUNDINAMARCA"/>
    <x v="1"/>
    <x v="2"/>
    <s v="HIPERMERCADO"/>
    <x v="32"/>
    <s v="CUNDINAMARCA"/>
    <x v="0"/>
    <s v="PEÑA GARCIA JOINER ALEXIS"/>
    <s v="PASTUSO ACHICUE CLAUDIA PATRICIA"/>
    <x v="6"/>
    <x v="1"/>
    <n v="1"/>
    <n v="1"/>
    <d v="2026-04-25T00:00:00"/>
    <d v="2026-04-25T00:00:00"/>
    <n v="5"/>
    <s v="3-6 Months"/>
    <s v="B"/>
    <s v="B"/>
    <x v="1"/>
    <s v="SIN ASIGNAR"/>
    <s v="SIN ASIGNAR"/>
    <s v="SI"/>
    <d v="2000-04-02T00:00:00"/>
    <n v="26"/>
    <s v="MASCULINO"/>
  </r>
  <r>
    <x v="0"/>
    <x v="0"/>
    <x v="0"/>
    <s v="1002148127"/>
    <s v="PARRA LOPEZ YESENIA"/>
    <x v="1"/>
    <x v="1"/>
    <x v="2"/>
    <s v="C813_00000000000031"/>
    <x v="199"/>
    <s v="DIAGONAL 51 # 35-120 MEDELLIN ANTIOQUIA"/>
    <x v="2"/>
    <x v="3"/>
    <s v="HIPERMERCADO"/>
    <x v="13"/>
    <s v="ANTIOQUIA"/>
    <x v="2"/>
    <s v="LOPEZ PALACIO PABLO EMILIO"/>
    <s v="ROMERO ARENAS DANNY MAURICIO"/>
    <x v="3"/>
    <x v="2"/>
    <n v="1"/>
    <n v="1"/>
    <d v="2025-01-02T00:00:00"/>
    <d v="2024-10-07T00:00:00"/>
    <n v="24"/>
    <s v="+24 Mounths"/>
    <s v="A"/>
    <s v="A"/>
    <x v="0"/>
    <n v="3102651491"/>
    <s v="OK LINEA"/>
    <s v="SI"/>
    <d v="2000-02-12T00:00:00"/>
    <n v="26"/>
    <s v="FEMENINO"/>
  </r>
  <r>
    <x v="0"/>
    <x v="0"/>
    <x v="0"/>
    <s v="1144199930"/>
    <s v="ARISTIZABAL MEJIA ANLLY PAOLA"/>
    <x v="1"/>
    <x v="1"/>
    <x v="2"/>
    <s v="C813_00000000001110"/>
    <x v="248"/>
    <s v="CALLE 11 # 8-58 ALVARO GUTIERREZ PBX: 889-7070 CALI VALLE DEL CAUCA"/>
    <x v="8"/>
    <x v="24"/>
    <s v="TRADITIONAL"/>
    <x v="4"/>
    <s v="VALLE DEL CAUCA"/>
    <x v="4"/>
    <s v="ALVAREZ LONDOÑO JOHNNY"/>
    <s v="ROMERO ARENAS DANNY MAURICIO"/>
    <x v="9"/>
    <x v="6"/>
    <n v="1"/>
    <n v="1"/>
    <d v="2025-01-02T00:00:00"/>
    <d v="2024-04-18T00:00:00"/>
    <n v="29"/>
    <s v="+24 Mounths"/>
    <s v="D"/>
    <s v="D"/>
    <x v="0"/>
    <n v="3102623927"/>
    <s v="OK LINEA"/>
    <s v="NO"/>
    <d v="1997-03-13T00:00:00"/>
    <n v="29"/>
    <s v="FEMENINO"/>
  </r>
  <r>
    <x v="0"/>
    <x v="0"/>
    <x v="0"/>
    <s v="1017173257"/>
    <s v="ARENAS ORTIZ HEYDI JHOANNA"/>
    <x v="1"/>
    <x v="1"/>
    <x v="2"/>
    <s v="C813_00000000001241"/>
    <x v="249"/>
    <s v="CALLE 71 # 65-150 PARQUE COMERCIAL FLORIDA LOCAL 24-25 MEDELLIN ANTIOQUIA"/>
    <x v="1"/>
    <x v="10"/>
    <s v="HIPERMERCADO"/>
    <x v="2"/>
    <s v="ANTIOQUIA"/>
    <x v="2"/>
    <s v="LOPEZ PALACIO PABLO EMILIO"/>
    <s v="ROMERO ARENAS DANNY MAURICIO"/>
    <x v="3"/>
    <x v="1"/>
    <n v="1"/>
    <n v="1"/>
    <d v="2025-05-27T00:00:00"/>
    <d v="2025-05-27T00:00:00"/>
    <n v="16"/>
    <s v="12-24 Months"/>
    <s v="D"/>
    <s v="B"/>
    <x v="1"/>
    <n v="3043488887"/>
    <s v="OK LINEA"/>
    <s v="SI"/>
    <d v="1989-09-23T00:00:00"/>
    <n v="37"/>
    <s v="FEMENINO"/>
  </r>
  <r>
    <x v="0"/>
    <x v="0"/>
    <x v="0"/>
    <s v="35005795"/>
    <s v="ALVAREZ NOVOA MAYRA ESTELA"/>
    <x v="1"/>
    <x v="1"/>
    <x v="2"/>
    <s v="C813_00000000000494"/>
    <x v="250"/>
    <s v="CALLE 50 # 53-65 MEDELLIN ANTIOQUIA"/>
    <x v="10"/>
    <x v="30"/>
    <s v="TRADITIONAL"/>
    <x v="2"/>
    <s v="ANTIOQUIA"/>
    <x v="2"/>
    <s v="LOPEZ PALACIO PABLO EMILIO"/>
    <s v="ROMERO ARENAS DANNY MAURICIO"/>
    <x v="17"/>
    <x v="6"/>
    <n v="1"/>
    <n v="0.5"/>
    <d v="2025-01-02T00:00:00"/>
    <d v="2023-04-13T00:00:00"/>
    <n v="42"/>
    <s v="+24 Mounths"/>
    <s v="D"/>
    <s v="D"/>
    <x v="0"/>
    <n v="3102695455"/>
    <s v="OK LINEA"/>
    <s v="NO"/>
    <d v="1985-02-03T00:00:00"/>
    <n v="41"/>
    <s v="FEMENINO"/>
  </r>
  <r>
    <x v="0"/>
    <x v="0"/>
    <x v="0"/>
    <s v="35005795"/>
    <s v="ALVAREZ NOVOA MAYRA ESTELA"/>
    <x v="1"/>
    <x v="1"/>
    <x v="2"/>
    <s v="C813_00000000000495"/>
    <x v="251"/>
    <s v="CALLE 50 # 52-33 MEDELLIN ANTIOQUIA"/>
    <x v="10"/>
    <x v="30"/>
    <s v="TRADITIONAL"/>
    <x v="2"/>
    <s v="ANTIOQUIA"/>
    <x v="2"/>
    <s v="LOPEZ PALACIO PABLO EMILIO"/>
    <s v="ROMERO ARENAS DANNY MAURICIO"/>
    <x v="17"/>
    <x v="6"/>
    <n v="0"/>
    <n v="0.5"/>
    <d v="2025-01-02T00:00:00"/>
    <d v="2023-04-13T00:00:00"/>
    <n v="42"/>
    <s v="+24 Mounths"/>
    <s v="D"/>
    <s v="D"/>
    <x v="0"/>
    <n v="3102695455"/>
    <s v="OK LINEA"/>
    <s v="NO"/>
    <d v="1985-02-03T00:00:00"/>
    <n v="41"/>
    <s v="FEMENINO"/>
  </r>
  <r>
    <x v="0"/>
    <x v="0"/>
    <x v="0"/>
    <s v="1193271612"/>
    <s v="ALPALA HERRERA SEBASTIAN ALEJANDRO"/>
    <x v="1"/>
    <x v="1"/>
    <x v="2"/>
    <s v="C813_00000000003556"/>
    <x v="252"/>
    <s v="CALLE 19 NO 26-58 CENTRO PASTO - NARIÑO"/>
    <x v="8"/>
    <x v="31"/>
    <s v="TRADITIONAL"/>
    <x v="14"/>
    <s v="NARIÑO"/>
    <x v="8"/>
    <s v="ALVAREZ LONDOÑO JOHNNY"/>
    <s v="ROMERO ARENAS DANNY MAURICIO"/>
    <x v="15"/>
    <x v="6"/>
    <n v="1"/>
    <n v="1"/>
    <d v="2025-01-02T00:00:00"/>
    <d v="2022-10-27T00:00:00"/>
    <n v="47"/>
    <s v="+24 Mounths"/>
    <s v="NO DATA"/>
    <s v="NO DATA"/>
    <x v="0"/>
    <n v="3102691150"/>
    <s v="OK LINEA"/>
    <s v="NO"/>
    <d v="2001-10-02T00:00:00"/>
    <n v="25"/>
    <s v="MASCULINO"/>
  </r>
  <r>
    <x v="0"/>
    <x v="1"/>
    <x v="0"/>
    <s v="1140875763"/>
    <s v="JESSURUM PORTO BRAYAN"/>
    <x v="1"/>
    <x v="1"/>
    <x v="2"/>
    <s v="C813_00000000005388"/>
    <x v="6"/>
    <s v="CL 98 #51B -91 BARRANQUILLA - ATLANTICO"/>
    <x v="1"/>
    <x v="2"/>
    <s v="HIPERMERCADO"/>
    <x v="3"/>
    <s v="ATLANTICO"/>
    <x v="3"/>
    <s v="PRENT SAMPAYO ANDERSON GUILLERMO"/>
    <s v="GRANADOS NAVARRO YEFERSON ORLANDO"/>
    <x v="4"/>
    <x v="1"/>
    <n v="1"/>
    <n v="1"/>
    <d v="2026-06-25T00:00:00"/>
    <d v="2026-06-25T00:00:00"/>
    <n v="3"/>
    <s v="3-6 Months"/>
    <s v="A"/>
    <s v="A"/>
    <x v="1"/>
    <s v="SIN ASIGNAR"/>
    <s v="SIN ASIGNAR"/>
    <s v="SI"/>
    <d v="1995-03-01T00:00:00"/>
    <n v="31"/>
    <s v="MASCULINO"/>
  </r>
  <r>
    <x v="0"/>
    <x v="0"/>
    <x v="0"/>
    <s v="1116788024"/>
    <s v="ALBARRACIN CHARRY MARIA ALEJANDRA"/>
    <x v="1"/>
    <x v="1"/>
    <x v="2"/>
    <s v="C813_00000000000947"/>
    <x v="109"/>
    <s v="CALLE 24 # 28-72. C.C MORICHAL PLAZA YOPAL CASANARE"/>
    <x v="1"/>
    <x v="2"/>
    <s v="HIPERMERCADO"/>
    <x v="28"/>
    <s v="CASANARE"/>
    <x v="6"/>
    <s v="GAVIRIA FERRO DIEGO MAURICIO"/>
    <s v="PASTUSO ACHICUE CLAUDIA PATRICIA"/>
    <x v="8"/>
    <x v="1"/>
    <n v="1"/>
    <n v="1"/>
    <d v="2025-01-02T00:00:00"/>
    <d v="2023-05-30T00:00:00"/>
    <n v="40"/>
    <s v="+24 Mounths"/>
    <s v="B"/>
    <s v="B"/>
    <x v="0"/>
    <n v="3102629981"/>
    <s v="OK LINEA"/>
    <s v="SI"/>
    <d v="1989-10-29T00:00:00"/>
    <n v="36"/>
    <s v="FEMENINO"/>
  </r>
  <r>
    <x v="0"/>
    <x v="0"/>
    <x v="0"/>
    <s v="38364734"/>
    <s v="ACOSTA VELASCO OLGA SHIRLEY"/>
    <x v="1"/>
    <x v="1"/>
    <x v="2"/>
    <s v="C813_00000000000518"/>
    <x v="196"/>
    <s v="AVENIDA  GUABINAL # 51-53"/>
    <x v="8"/>
    <x v="14"/>
    <s v="TRADITIONAL"/>
    <x v="12"/>
    <s v="TOLIMA"/>
    <x v="7"/>
    <s v="PEÑA GARCIA JOINER ALEXIS"/>
    <s v="PASTUSO ACHICUE CLAUDIA PATRICIA"/>
    <x v="13"/>
    <x v="6"/>
    <n v="1"/>
    <n v="1"/>
    <d v="2025-01-02T00:00:00"/>
    <d v="2022-09-02T00:00:00"/>
    <n v="49"/>
    <s v="+24 Mounths"/>
    <s v="B"/>
    <s v="B"/>
    <x v="0"/>
    <n v="3102608394"/>
    <s v="OK LINEA"/>
    <s v="NO"/>
    <d v="1984-03-17T00:00:00"/>
    <n v="42"/>
    <s v="FEMENINO"/>
  </r>
  <r>
    <x v="0"/>
    <x v="0"/>
    <x v="0"/>
    <s v="6254043"/>
    <s v="GOMEZ BENAVIDES JHON SERGIO"/>
    <x v="1"/>
    <x v="1"/>
    <x v="2"/>
    <s v="C813_00000000001058"/>
    <x v="7"/>
    <s v="CL 13 #80 - 187, CALI, VALLE DEL CAUCA"/>
    <x v="1"/>
    <x v="2"/>
    <s v="HIPERMERCADO"/>
    <x v="4"/>
    <s v="VALLE DEL CAUCA"/>
    <x v="4"/>
    <s v="ALVAREZ LONDOÑO JOHNNY"/>
    <s v="ROMERO ARENAS DANNY MAURICIO"/>
    <x v="5"/>
    <x v="1"/>
    <n v="1"/>
    <n v="1"/>
    <d v="2026-02-19T00:00:00"/>
    <d v="2026-02-19T00:00:00"/>
    <n v="7"/>
    <s v="6-9 Months"/>
    <s v="A"/>
    <s v="A"/>
    <x v="1"/>
    <n v="3226832620"/>
    <s v="OK LINEA"/>
    <s v="SI"/>
    <d v="1982-09-19T00:00:00"/>
    <n v="44"/>
    <s v="MASCULINO"/>
  </r>
  <r>
    <x v="0"/>
    <x v="0"/>
    <x v="0"/>
    <s v="1045714956"/>
    <s v="VARGAS AGUDELO MARIA STEFANY"/>
    <x v="3"/>
    <x v="1"/>
    <x v="2"/>
    <s v="C813_00000000000433"/>
    <x v="253"/>
    <s v="CALLE 11 # 6-50 DIEGO TORO 889-9898 CALI VALLE DEL CAUCA"/>
    <x v="8"/>
    <x v="24"/>
    <s v="TRADITIONAL"/>
    <x v="4"/>
    <s v="VALLE DEL CAUCA"/>
    <x v="4"/>
    <s v="ALVAREZ LONDOÑO JOHNNY"/>
    <s v="ROMERO ARENAS DANNY MAURICIO"/>
    <x v="9"/>
    <x v="6"/>
    <n v="1"/>
    <n v="0.75"/>
    <d v="2025-01-02T00:00:00"/>
    <d v="2021-05-10T00:00:00"/>
    <n v="65"/>
    <s v="+24 Mounths"/>
    <s v="D"/>
    <s v="D"/>
    <x v="0"/>
    <n v="3102623572"/>
    <s v="OK LINEA"/>
    <s v="NO"/>
    <d v="1993-06-23T00:00:00"/>
    <n v="33"/>
    <s v="FEMENINO"/>
  </r>
  <r>
    <x v="0"/>
    <x v="0"/>
    <x v="5"/>
    <s v="1007247642"/>
    <s v="UMAÑA GERSON"/>
    <x v="3"/>
    <x v="1"/>
    <x v="2"/>
    <s v="C813_00000000000283"/>
    <x v="118"/>
    <s v="CARRERA 30 N ° 10-25 BOGOTA"/>
    <x v="1"/>
    <x v="2"/>
    <s v="HIPERMERCADO"/>
    <x v="0"/>
    <s v="CUNDINAMARCA"/>
    <x v="0"/>
    <s v="PEÑA GARCIA JOINER ALEXIS"/>
    <s v="PASTUSO ACHICUE CLAUDIA PATRICIA"/>
    <x v="6"/>
    <x v="1"/>
    <n v="0"/>
    <n v="0"/>
    <d v="2025-04-10T00:00:00"/>
    <d v="2025-04-10T00:00:00"/>
    <n v="18"/>
    <s v="12-24 Months"/>
    <s v="B"/>
    <s v="B"/>
    <x v="1"/>
    <n v="3102667865"/>
    <s v="OK LINEA"/>
    <s v="SI"/>
    <d v="2000-08-07T00:00:00"/>
    <n v="26"/>
    <s v="MASCULINO"/>
  </r>
  <r>
    <x v="0"/>
    <x v="0"/>
    <x v="0"/>
    <s v="1012381272"/>
    <s v="GONZALEZ TORRES JAIME ANDRES"/>
    <x v="1"/>
    <x v="1"/>
    <x v="2"/>
    <s v="C813_00000000000284"/>
    <x v="8"/>
    <s v="CALLE 45 SUR #51-90 BOGOTA"/>
    <x v="1"/>
    <x v="2"/>
    <s v="HIPERMERCADO"/>
    <x v="0"/>
    <s v="CUNDINAMARCA"/>
    <x v="0"/>
    <s v="PEÑA GARCIA JOINER ALEXIS"/>
    <s v="PASTUSO ACHICUE CLAUDIA PATRICIA"/>
    <x v="6"/>
    <x v="1"/>
    <n v="1"/>
    <n v="1"/>
    <d v="2026-06-04T00:00:00"/>
    <d v="2026-06-04T00:00:00"/>
    <n v="4"/>
    <s v="3-6 Months"/>
    <s v="B"/>
    <s v="B"/>
    <x v="1"/>
    <s v="SIN ASIGNAR"/>
    <s v="SIN ASIGNAR"/>
    <s v="SI"/>
    <d v="1991-10-11T00:00:00"/>
    <n v="35"/>
    <s v="MASCULINO"/>
  </r>
  <r>
    <x v="0"/>
    <x v="1"/>
    <x v="0"/>
    <s v="1096250220"/>
    <s v="TOVAR SUAREZ RONALDO"/>
    <x v="3"/>
    <x v="1"/>
    <x v="2"/>
    <s v="C813_00000000000292"/>
    <x v="1"/>
    <s v="CALLE 94 # 15-14 BOGOTA CUNDINAMARCA"/>
    <x v="1"/>
    <x v="1"/>
    <s v="HIPERMERCADO"/>
    <x v="0"/>
    <s v="CUNDINAMARCA"/>
    <x v="0"/>
    <s v="PEÑA GARCIA JOINER ALEXIS"/>
    <s v="PASTUSO ACHICUE CLAUDIA PATRICIA"/>
    <x v="1"/>
    <x v="1"/>
    <n v="1"/>
    <n v="1"/>
    <d v="2025-01-02T00:00:00"/>
    <d v="2023-03-23T00:00:00"/>
    <n v="42"/>
    <s v="+24 Mounths"/>
    <s v="C"/>
    <s v="C"/>
    <x v="0"/>
    <n v="3102628721"/>
    <s v="OK LINEA"/>
    <s v="SI"/>
    <d v="1998-06-16T00:00:00"/>
    <n v="28"/>
    <s v="MASCULINO"/>
  </r>
  <r>
    <x v="0"/>
    <x v="0"/>
    <x v="0"/>
    <s v="1070018771"/>
    <s v="MOSQUERA MURCIA JULIAN"/>
    <x v="1"/>
    <x v="1"/>
    <x v="2"/>
    <s v="C813_00000000004452"/>
    <x v="218"/>
    <s v="KM 2.5 VIA CHIA-CAJICA COSTADO ORIENTAL LOCAL ANCALLEA # 4 CHIA CUNDINAMARCA"/>
    <x v="6"/>
    <x v="7"/>
    <s v="HIPERMERCADO"/>
    <x v="7"/>
    <s v="CUNDINAMARCA"/>
    <x v="0"/>
    <s v="PEÑA GARCIA JOINER ALEXIS"/>
    <s v="PASTUSO ACHICUE CLAUDIA PATRICIA"/>
    <x v="12"/>
    <x v="5"/>
    <n v="1"/>
    <n v="1"/>
    <d v="2026-05-26T00:00:00"/>
    <d v="2026-05-26T00:00:00"/>
    <n v="4"/>
    <s v="3-6 Months"/>
    <s v="B"/>
    <s v="A"/>
    <x v="1"/>
    <s v="SIN ASIGNAR"/>
    <s v="SIN ASIGNAR"/>
    <s v="SI"/>
    <d v="1997-03-10T00:00:00"/>
    <n v="29"/>
    <s v="MASCULINO"/>
  </r>
  <r>
    <x v="0"/>
    <x v="0"/>
    <x v="0"/>
    <s v="1143842640"/>
    <s v="MACÍAS MICHAEL DANILO"/>
    <x v="1"/>
    <x v="1"/>
    <x v="2"/>
    <s v="C813_00000000005938"/>
    <x v="254"/>
    <s v="CALLE 38 # 6 NORTE-35"/>
    <x v="1"/>
    <x v="1"/>
    <s v="HIPERMERCADO"/>
    <x v="4"/>
    <s v="VALLE DEL CAUCA"/>
    <x v="4"/>
    <s v="ALVAREZ LONDOÑO JOHNNY"/>
    <s v="ROMERO ARENAS DANNY MAURICIO"/>
    <x v="5"/>
    <x v="1"/>
    <n v="1"/>
    <n v="1"/>
    <d v="2025-04-23T00:00:00"/>
    <d v="2025-04-23T00:00:00"/>
    <n v="17"/>
    <s v="12-24 Months"/>
    <s v="C"/>
    <s v="C"/>
    <x v="1"/>
    <n v="3102389191"/>
    <s v="OK LINEA"/>
    <s v="SI"/>
    <d v="1992-05-13T00:00:00"/>
    <n v="34"/>
    <s v="MASCULINO"/>
  </r>
  <r>
    <x v="0"/>
    <x v="0"/>
    <x v="0"/>
    <s v="1085908931"/>
    <s v="ROSERO BERNAL HECTOR MAURICIO"/>
    <x v="3"/>
    <x v="1"/>
    <x v="2"/>
    <s v="C813_00000000005038"/>
    <x v="189"/>
    <s v="CRA 6 # 24 49 CC GRAN PLAZA IPIALES NARINO"/>
    <x v="8"/>
    <x v="11"/>
    <s v="TRADITIONAL"/>
    <x v="27"/>
    <s v="NARIÑO"/>
    <x v="8"/>
    <s v="ALVAREZ LONDOÑO JOHNNY"/>
    <s v="ROMERO ARENAS DANNY MAURICIO"/>
    <x v="15"/>
    <x v="6"/>
    <n v="1"/>
    <n v="1"/>
    <d v="2025-01-02T00:00:00"/>
    <d v="2015-09-17T00:00:00"/>
    <n v="132"/>
    <s v="+24 Mounths"/>
    <s v="A"/>
    <s v="A"/>
    <x v="0"/>
    <n v="3102655189"/>
    <s v="OK LINEA"/>
    <s v="SI"/>
    <d v="1988-07-08T00:00:00"/>
    <n v="38"/>
    <s v="MASCULINO"/>
  </r>
  <r>
    <x v="0"/>
    <x v="0"/>
    <x v="0"/>
    <s v="1128468501"/>
    <s v="ROJAS ALVAREZ JULIAN ANDRES"/>
    <x v="3"/>
    <x v="1"/>
    <x v="2"/>
    <s v="C813_00000000000010"/>
    <x v="255"/>
    <s v="CRA 43A # 7 SUR-170  CENTRO COMERCIAL SANTAFE MEDELLIN MEDELLIN ANTIOQUIA"/>
    <x v="6"/>
    <x v="7"/>
    <s v="HIPERMERCADO"/>
    <x v="2"/>
    <s v="ANTIOQUIA"/>
    <x v="2"/>
    <s v="LOPEZ PALACIO PABLO EMILIO"/>
    <s v="ROMERO ARENAS DANNY MAURICIO"/>
    <x v="17"/>
    <x v="5"/>
    <n v="1"/>
    <n v="1"/>
    <d v="2025-01-02T00:00:00"/>
    <d v="2019-02-20T00:00:00"/>
    <n v="91"/>
    <s v="+24 Mounths"/>
    <s v="A"/>
    <s v="C"/>
    <x v="0"/>
    <n v="3102651871"/>
    <s v="OK LINEA"/>
    <s v="SI"/>
    <d v="1988-02-18T00:00:00"/>
    <n v="38"/>
    <s v="MASCULINO"/>
  </r>
  <r>
    <x v="0"/>
    <x v="0"/>
    <x v="0"/>
    <s v="1085272414"/>
    <s v="RIOS BOLAÑOS JESUS ANDRES"/>
    <x v="3"/>
    <x v="1"/>
    <x v="2"/>
    <s v="C813_00000000000288"/>
    <x v="57"/>
    <s v="CALLE 19 # 28 - 89 PASTO NARIÑO"/>
    <x v="8"/>
    <x v="11"/>
    <s v="TRADITIONAL"/>
    <x v="14"/>
    <s v="NARIÑO"/>
    <x v="8"/>
    <s v="ALVAREZ LONDOÑO JOHNNY"/>
    <s v="ROMERO ARENAS DANNY MAURICIO"/>
    <x v="15"/>
    <x v="6"/>
    <n v="1"/>
    <n v="1"/>
    <d v="2025-01-02T00:00:00"/>
    <d v="2014-08-01T00:00:00"/>
    <n v="146"/>
    <s v="+24 Mounths"/>
    <s v="B"/>
    <s v="B"/>
    <x v="0"/>
    <n v="3172302016"/>
    <s v="OK LINEA"/>
    <s v="SI"/>
    <d v="1989-03-28T00:00:00"/>
    <n v="37"/>
    <s v="MASCULINO"/>
  </r>
  <r>
    <x v="0"/>
    <x v="0"/>
    <x v="0"/>
    <s v="32257344"/>
    <s v="MOSQUERA PALACIOS DIANA MARCELA"/>
    <x v="3"/>
    <x v="1"/>
    <x v="2"/>
    <s v="C813_00000000004612"/>
    <x v="256"/>
    <s v="CRA 49 # 48-46 MEDELLIN ANTIOQUIA"/>
    <x v="10"/>
    <x v="19"/>
    <s v="TRADITIONAL"/>
    <x v="2"/>
    <s v="ANTIOQUIA"/>
    <x v="2"/>
    <s v="LOPEZ PALACIO PABLO EMILIO"/>
    <s v="ROMERO ARENAS DANNY MAURICIO"/>
    <x v="17"/>
    <x v="6"/>
    <n v="1"/>
    <n v="1"/>
    <d v="2025-01-02T00:00:00"/>
    <d v="2019-03-26T00:00:00"/>
    <n v="90"/>
    <s v="+24 Mounths"/>
    <s v="C"/>
    <s v="C"/>
    <x v="0"/>
    <n v="3102665283"/>
    <s v="OK LINEA"/>
    <s v="NO"/>
    <d v="1983-06-12T00:00:00"/>
    <n v="43"/>
    <s v="FEMENINO"/>
  </r>
  <r>
    <x v="0"/>
    <x v="0"/>
    <x v="0"/>
    <s v="1035915503"/>
    <s v="MORELO RAMIREZ JHOAN SEBASTIAN"/>
    <x v="3"/>
    <x v="1"/>
    <x v="2"/>
    <s v="C813_00000000000009"/>
    <x v="257"/>
    <s v="CRA 43 # 36-04 CENTRO COMERCIAL SANDIEGO MEDELLIN ANTIOQUIA"/>
    <x v="6"/>
    <x v="7"/>
    <s v="HIPERMERCADO"/>
    <x v="2"/>
    <s v="ANTIOQUIA"/>
    <x v="2"/>
    <s v="LOPEZ PALACIO PABLO EMILIO"/>
    <s v="ROMERO ARENAS DANNY MAURICIO"/>
    <x v="17"/>
    <x v="5"/>
    <n v="1"/>
    <n v="1"/>
    <d v="2025-01-02T00:00:00"/>
    <d v="2021-07-19T00:00:00"/>
    <n v="62"/>
    <s v="+24 Mounths"/>
    <s v="A"/>
    <s v="C"/>
    <x v="0"/>
    <n v="3102698643"/>
    <s v="OK LINEA"/>
    <s v="SI"/>
    <d v="1992-10-13T00:00:00"/>
    <n v="34"/>
    <s v="MASCULINO"/>
  </r>
  <r>
    <x v="0"/>
    <x v="0"/>
    <x v="0"/>
    <s v="1085257054"/>
    <s v="MIDEROS HIDALGO CARLOS ANDRES"/>
    <x v="3"/>
    <x v="1"/>
    <x v="2"/>
    <s v="C813_00000000000997"/>
    <x v="258"/>
    <s v="CALLE 22 # 6-28 PASTO NARIÑO"/>
    <x v="8"/>
    <x v="32"/>
    <s v="TRADITIONAL"/>
    <x v="14"/>
    <s v="NARIÑO"/>
    <x v="8"/>
    <s v="ALVAREZ LONDOÑO JOHNNY"/>
    <s v="ROMERO ARENAS DANNY MAURICIO"/>
    <x v="15"/>
    <x v="6"/>
    <n v="1"/>
    <n v="1"/>
    <d v="2025-01-02T00:00:00"/>
    <d v="2017-02-09T00:00:00"/>
    <n v="116"/>
    <s v="+24 Mounths"/>
    <s v="B"/>
    <s v="B"/>
    <x v="0"/>
    <n v="3102705747"/>
    <s v="OK LINEA"/>
    <s v="NO"/>
    <d v="1987-01-04T00:00:00"/>
    <n v="39"/>
    <s v="MASCULINO"/>
  </r>
  <r>
    <x v="0"/>
    <x v="0"/>
    <x v="0"/>
    <s v="1053810897"/>
    <s v="OSORIO MORALES JULIAN ANDRES"/>
    <x v="1"/>
    <x v="1"/>
    <x v="2"/>
    <s v="C813_00000000000785"/>
    <x v="107"/>
    <s v="CRA 20 # 34-18 CENTRO COMERCIAL FUNDADORES MANIZALES CALDAS"/>
    <x v="2"/>
    <x v="3"/>
    <s v="HIPERMERCADO"/>
    <x v="8"/>
    <s v="CALDAS"/>
    <x v="5"/>
    <s v="ALVAREZ LONDOÑO JOHNNY"/>
    <s v="ROMERO ARENAS DANNY MAURICIO"/>
    <x v="7"/>
    <x v="2"/>
    <n v="1"/>
    <n v="1"/>
    <d v="2025-10-03T00:00:00"/>
    <d v="2025-10-03T00:00:00"/>
    <n v="12"/>
    <s v="12-24 Months"/>
    <s v="A"/>
    <s v="A"/>
    <x v="1"/>
    <n v="3102627658"/>
    <s v="OK LINEA"/>
    <s v="SI"/>
    <d v="1991-04-09T00:00:00"/>
    <n v="35"/>
    <s v="MASCULINO"/>
  </r>
  <r>
    <x v="0"/>
    <x v="0"/>
    <x v="0"/>
    <s v="1000115618"/>
    <s v="GUZMAN MANCIPE KEVIN ANDRES"/>
    <x v="3"/>
    <x v="1"/>
    <x v="2"/>
    <s v="C813_00000000005031"/>
    <x v="183"/>
    <s v="CARRERA 13 # 15-62  BOGOTA"/>
    <x v="9"/>
    <x v="15"/>
    <s v="TRADITIONAL"/>
    <x v="0"/>
    <s v="CUNDINAMARCA"/>
    <x v="0"/>
    <s v="GAVIRIA FERRO DIEGO MAURICIO"/>
    <s v="PASTUSO ACHICUE CLAUDIA PATRICIA"/>
    <x v="12"/>
    <x v="5"/>
    <n v="1"/>
    <n v="1"/>
    <d v="2025-01-02T00:00:00"/>
    <d v="2022-03-24T00:00:00"/>
    <n v="54"/>
    <s v="+24 Mounths"/>
    <s v="B"/>
    <s v="B"/>
    <x v="0"/>
    <n v="3102657030"/>
    <s v="OK LINEA"/>
    <s v="NO"/>
    <d v="1997-07-29T00:00:00"/>
    <n v="29"/>
    <s v="MASCULINO"/>
  </r>
  <r>
    <x v="0"/>
    <x v="0"/>
    <x v="0"/>
    <s v="41951540"/>
    <s v="GUZMAN HOLGUIN JACQUELINE"/>
    <x v="3"/>
    <x v="1"/>
    <x v="2"/>
    <s v="C813_00000000001062"/>
    <x v="259"/>
    <s v="CRA 14 # 14-34 (CENTRO COMERCIAL UNICENTRO)  ARMENIA QUINDIO"/>
    <x v="2"/>
    <x v="3"/>
    <s v="HIPERMERCADO"/>
    <x v="44"/>
    <s v="QUINDIO"/>
    <x v="5"/>
    <s v="ALVAREZ LONDOÑO JOHNNY"/>
    <s v="ROMERO ARENAS DANNY MAURICIO"/>
    <x v="7"/>
    <x v="2"/>
    <n v="1"/>
    <n v="1"/>
    <d v="2025-01-02T00:00:00"/>
    <d v="2020-07-03T00:00:00"/>
    <n v="75"/>
    <s v="+24 Mounths"/>
    <s v="A"/>
    <s v="A"/>
    <x v="0"/>
    <n v="3102631513"/>
    <s v="OK LINEA"/>
    <s v="SI"/>
    <d v="1981-12-20T00:00:00"/>
    <n v="44"/>
    <s v="FEMENINO"/>
  </r>
  <r>
    <x v="0"/>
    <x v="1"/>
    <x v="0"/>
    <s v="79723207"/>
    <s v="GUTIERREZ PABON OSCAR GIOVANNI"/>
    <x v="3"/>
    <x v="1"/>
    <x v="2"/>
    <s v="C813_00000000006464"/>
    <x v="149"/>
    <s v="AVENIDA BOYACA  # 72 # 12B -18 BOGOTA"/>
    <x v="1"/>
    <x v="2"/>
    <s v="HIPERMERCADO"/>
    <x v="0"/>
    <s v="CUNDINAMARCA"/>
    <x v="0"/>
    <s v="PEÑA GARCIA JOINER ALEXIS"/>
    <s v="PASTUSO ACHICUE CLAUDIA PATRICIA"/>
    <x v="1"/>
    <x v="1"/>
    <n v="1"/>
    <n v="1"/>
    <d v="2025-01-02T00:00:00"/>
    <d v="2014-03-11T00:00:00"/>
    <n v="151"/>
    <s v="+24 Mounths"/>
    <s v="A"/>
    <s v="A"/>
    <x v="0"/>
    <n v="3102676932"/>
    <s v="OK LINEA"/>
    <s v="SI"/>
    <d v="1978-11-15T00:00:00"/>
    <n v="47"/>
    <s v="MASCULINO"/>
  </r>
  <r>
    <x v="0"/>
    <x v="0"/>
    <x v="0"/>
    <s v="6663481"/>
    <s v="GRAZZIANI RINCON MIGUEL ANGEL"/>
    <x v="3"/>
    <x v="1"/>
    <x v="2"/>
    <s v="C813_00000000000933"/>
    <x v="260"/>
    <s v="CALLE 11 # 10-55"/>
    <x v="2"/>
    <x v="3"/>
    <s v="HIPERMERCADO"/>
    <x v="57"/>
    <s v="NORTE DE SANTANDER"/>
    <x v="1"/>
    <s v="PRENT SAMPAYO ANDERSON GUILLERMO"/>
    <s v="GRANADOS NAVARRO YEFERSON ORLANDO"/>
    <x v="2"/>
    <x v="2"/>
    <n v="1"/>
    <n v="1"/>
    <d v="2025-01-02T00:00:00"/>
    <d v="2018-10-26T00:00:00"/>
    <n v="95"/>
    <s v="+24 Mounths"/>
    <s v="C"/>
    <s v="C"/>
    <x v="0"/>
    <n v="3102698662"/>
    <s v="OK LINEA"/>
    <s v="SI"/>
    <d v="1985-06-11T00:00:00"/>
    <n v="41"/>
    <s v="MASCULINO"/>
  </r>
  <r>
    <x v="0"/>
    <x v="0"/>
    <x v="0"/>
    <s v="1096194456"/>
    <s v="GOMEZ SEIJA WILMAR"/>
    <x v="3"/>
    <x v="1"/>
    <x v="2"/>
    <s v="C813_00000000000784"/>
    <x v="261"/>
    <s v="CALLE 50 # 10-75 BARRANCABERMEJA SANTANDER"/>
    <x v="2"/>
    <x v="3"/>
    <s v="HIPERMERCADO"/>
    <x v="36"/>
    <s v="SANTANDER"/>
    <x v="1"/>
    <s v="LOPEZ PALACIO PABLO EMILIO"/>
    <s v="GRANADOS NAVARRO YEFERSON ORLANDO"/>
    <x v="2"/>
    <x v="2"/>
    <n v="1"/>
    <n v="1"/>
    <d v="2025-01-02T00:00:00"/>
    <d v="2018-02-02T00:00:00"/>
    <n v="104"/>
    <s v="+24 Mounths"/>
    <s v="B"/>
    <s v="C"/>
    <x v="0"/>
    <n v="3122622954"/>
    <s v="OK LINEA"/>
    <s v="SI"/>
    <d v="1988-04-23T00:00:00"/>
    <n v="38"/>
    <s v="MASCULINO"/>
  </r>
  <r>
    <x v="0"/>
    <x v="0"/>
    <x v="0"/>
    <s v="1140826837"/>
    <s v="FERRER RAPALINO ALEXANDER ANTONIO"/>
    <x v="3"/>
    <x v="1"/>
    <x v="2"/>
    <s v="C813_00000000006491"/>
    <x v="262"/>
    <s v="CARRERA 55 # 98A-15 CENTRO COMERCIAL MALL PLAZA BUENAVISTA"/>
    <x v="6"/>
    <x v="7"/>
    <s v="HIPERMERCADO"/>
    <x v="3"/>
    <s v="ATLANTICO"/>
    <x v="3"/>
    <s v="PRENT SAMPAYO ANDERSON GUILLERMO"/>
    <s v="GRANADOS NAVARRO YEFERSON ORLANDO"/>
    <x v="11"/>
    <x v="5"/>
    <n v="1"/>
    <n v="1"/>
    <d v="2025-10-20T00:00:00"/>
    <d v="2025-10-20T00:00:00"/>
    <n v="11"/>
    <s v="9-12 Months"/>
    <s v="A"/>
    <s v="C"/>
    <x v="1"/>
    <n v="3102622356"/>
    <s v="OK LINEA"/>
    <s v="SI"/>
    <d v="1989-12-11T00:00:00"/>
    <n v="36"/>
    <s v="MASCULINO"/>
  </r>
  <r>
    <x v="0"/>
    <x v="1"/>
    <x v="0"/>
    <s v="1022326711"/>
    <s v="DIAZ VASCO OVIEDO"/>
    <x v="3"/>
    <x v="1"/>
    <x v="2"/>
    <s v="C813_00000000004678"/>
    <x v="9"/>
    <s v="CARRERA 15 # 123-08 BOGOTA CUNDINAMARCA"/>
    <x v="1"/>
    <x v="1"/>
    <s v="HIPERMERCADO"/>
    <x v="0"/>
    <s v="CUNDINAMARCA"/>
    <x v="0"/>
    <s v="PEÑA GARCIA JOINER ALEXIS"/>
    <s v="PASTUSO ACHICUE CLAUDIA PATRICIA"/>
    <x v="1"/>
    <x v="1"/>
    <n v="1"/>
    <n v="1"/>
    <d v="2025-02-24T00:00:00"/>
    <d v="2025-02-24T00:00:00"/>
    <n v="19"/>
    <s v="12-24 Months"/>
    <s v="C"/>
    <s v="A"/>
    <x v="1"/>
    <n v="3102663492"/>
    <s v="OK LINEA"/>
    <s v="SI"/>
    <d v="1986-09-25T00:00:00"/>
    <n v="40"/>
    <s v="MASCULINO"/>
  </r>
  <r>
    <x v="0"/>
    <x v="0"/>
    <x v="0"/>
    <s v="1051826038"/>
    <s v="CARMONA BELTRAN JOSE ANDRES"/>
    <x v="3"/>
    <x v="1"/>
    <x v="2"/>
    <s v="C813_00000000005388"/>
    <x v="6"/>
    <s v="CL 98 #51B -91 BARRANQUILLA - ATLANTICO"/>
    <x v="1"/>
    <x v="2"/>
    <s v="HIPERMERCADO"/>
    <x v="3"/>
    <s v="ATLANTICO"/>
    <x v="3"/>
    <s v="PRENT SAMPAYO ANDERSON GUILLERMO"/>
    <s v="GRANADOS NAVARRO YEFERSON ORLANDO"/>
    <x v="4"/>
    <x v="1"/>
    <n v="1"/>
    <n v="1"/>
    <d v="2025-01-02T00:00:00"/>
    <d v="2023-06-01T00:00:00"/>
    <n v="40"/>
    <s v="+24 Mounths"/>
    <s v="A"/>
    <s v="A"/>
    <x v="0"/>
    <n v="3102687868"/>
    <s v="OK LINEA"/>
    <s v="SI"/>
    <d v="1994-10-25T00:00:00"/>
    <n v="31"/>
    <s v="MASCULINO"/>
  </r>
  <r>
    <x v="0"/>
    <x v="0"/>
    <x v="0"/>
    <s v="1061709505"/>
    <s v="CAMPO GAVIRIA DAGOBERTO"/>
    <x v="3"/>
    <x v="1"/>
    <x v="2"/>
    <s v="C813_00000000000287"/>
    <x v="38"/>
    <s v="CALLE 22 # 6-28 PASTO NARIÑO"/>
    <x v="8"/>
    <x v="11"/>
    <s v="TRADITIONAL"/>
    <x v="14"/>
    <s v="NARIÑO"/>
    <x v="8"/>
    <s v="ALVAREZ LONDOÑO JOHNNY"/>
    <s v="ROMERO ARENAS DANNY MAURICIO"/>
    <x v="15"/>
    <x v="6"/>
    <n v="1"/>
    <n v="1"/>
    <d v="2025-01-02T00:00:00"/>
    <d v="2017-10-11T00:00:00"/>
    <n v="108"/>
    <s v="+24 Mounths"/>
    <s v="A"/>
    <s v="A"/>
    <x v="0"/>
    <n v="3102689163"/>
    <s v="OK LINEA"/>
    <s v="SI"/>
    <d v="1988-07-15T00:00:00"/>
    <n v="38"/>
    <s v="MASCULINO"/>
  </r>
  <r>
    <x v="0"/>
    <x v="0"/>
    <x v="0"/>
    <s v="10002206"/>
    <s v="BUITRAGO GONZALEZ ALEJANDRO"/>
    <x v="3"/>
    <x v="1"/>
    <x v="2"/>
    <s v="C813_00000000000297"/>
    <x v="10"/>
    <s v="AV AMERICAS # 46-03 PEREIRA RISARALDA"/>
    <x v="1"/>
    <x v="2"/>
    <s v="HIPERMERCADO"/>
    <x v="5"/>
    <s v="RISARALDA"/>
    <x v="5"/>
    <s v="ALVAREZ LONDOÑO JOHNNY"/>
    <s v="ROMERO ARENAS DANNY MAURICIO"/>
    <x v="7"/>
    <x v="1"/>
    <n v="1"/>
    <n v="1"/>
    <d v="2025-01-02T00:00:00"/>
    <d v="2022-09-23T00:00:00"/>
    <n v="48"/>
    <s v="+24 Mounths"/>
    <s v="A"/>
    <s v="A"/>
    <x v="0"/>
    <n v="3108506774"/>
    <s v="OK LINEA"/>
    <s v="SI"/>
    <d v="1977-03-27T00:00:00"/>
    <n v="49"/>
    <s v="MASCULINO"/>
  </r>
  <r>
    <x v="0"/>
    <x v="0"/>
    <x v="0"/>
    <s v="93133751"/>
    <s v="ARTEAGA DURAN JOSE ANDRES"/>
    <x v="3"/>
    <x v="1"/>
    <x v="2"/>
    <s v="C813_00000000000520"/>
    <x v="263"/>
    <s v="CRA 4 # 7 - 04 ESPINAL - TOLIMA"/>
    <x v="8"/>
    <x v="14"/>
    <s v="TRADITIONAL"/>
    <x v="58"/>
    <s v="TOLIMA"/>
    <x v="7"/>
    <s v="PEÑA GARCIA JOINER ALEXIS"/>
    <s v="PASTUSO ACHICUE CLAUDIA PATRICIA"/>
    <x v="13"/>
    <x v="6"/>
    <n v="1"/>
    <n v="1"/>
    <d v="2025-01-02T00:00:00"/>
    <d v="2020-01-09T00:00:00"/>
    <n v="81"/>
    <s v="+24 Mounths"/>
    <s v="C"/>
    <s v="C"/>
    <x v="0"/>
    <n v="3102700265"/>
    <s v="OK LINEA"/>
    <s v="NO"/>
    <d v="1979-11-30T00:00:00"/>
    <n v="46"/>
    <s v="MASCULINO"/>
  </r>
  <r>
    <x v="0"/>
    <x v="0"/>
    <x v="4"/>
    <s v="1095298351"/>
    <s v="GUTIERREZ MANUEL ALEJANDRO"/>
    <x v="1"/>
    <x v="1"/>
    <x v="2"/>
    <s v="C813_00000000005391"/>
    <x v="264"/>
    <s v="AV. BOYACA # 145-2 BOGOTA"/>
    <x v="6"/>
    <x v="7"/>
    <s v="HIPERMERCADO"/>
    <x v="0"/>
    <s v="CUNDINAMARCA"/>
    <x v="0"/>
    <s v="PEÑA GARCIA JOINER ALEXIS"/>
    <s v="PASTUSO ACHICUE CLAUDIA PATRICIA"/>
    <x v="12"/>
    <x v="5"/>
    <n v="1"/>
    <n v="1"/>
    <d v="2025-12-10T00:00:00"/>
    <d v="2025-12-10T00:00:00"/>
    <n v="10"/>
    <s v="9-12 Months"/>
    <s v="A"/>
    <s v="C"/>
    <x v="1"/>
    <s v="SIN ASIGNAR"/>
    <s v="SIN ASIGNAR"/>
    <s v="SI"/>
    <d v="2003-12-19T00:00:00"/>
    <n v="22"/>
    <s v="MASCULINO"/>
  </r>
  <r>
    <x v="0"/>
    <x v="1"/>
    <x v="0"/>
    <s v="1024519394"/>
    <s v="VELA CASTRO JENNY MILENA"/>
    <x v="4"/>
    <x v="1"/>
    <x v="2"/>
    <s v="C813_00000000000006"/>
    <x v="265"/>
    <s v="AV 15 # 123-30 MUELLE 8 FALABELLA BOGOTA"/>
    <x v="6"/>
    <x v="7"/>
    <s v="HIPERMERCADO"/>
    <x v="0"/>
    <s v="CUNDINAMARCA"/>
    <x v="0"/>
    <s v="PEÑA GARCIA JOINER ALEXIS"/>
    <s v="PASTUSO ACHICUE CLAUDIA PATRICIA"/>
    <x v="12"/>
    <x v="5"/>
    <n v="1"/>
    <n v="1"/>
    <d v="2025-01-02T00:00:00"/>
    <d v="2018-09-14T00:00:00"/>
    <n v="97"/>
    <s v="+24 Mounths"/>
    <s v="C"/>
    <s v="C"/>
    <x v="0"/>
    <n v="3102614016"/>
    <s v="OK LINEA"/>
    <s v="SI"/>
    <d v="1991-05-13T00:00:00"/>
    <n v="35"/>
    <s v="FEMENINO"/>
  </r>
  <r>
    <x v="0"/>
    <x v="0"/>
    <x v="0"/>
    <s v="1020448134"/>
    <s v="VALENCIA OSORIO ESTEFANIA"/>
    <x v="4"/>
    <x v="1"/>
    <x v="2"/>
    <s v="C813_00000000000009"/>
    <x v="257"/>
    <s v="CRA 43 # 36-04 CENTRO COMERCIAL SANDIEGO MEDELLIN ANTIOQUIA"/>
    <x v="6"/>
    <x v="7"/>
    <s v="HIPERMERCADO"/>
    <x v="2"/>
    <s v="ANTIOQUIA"/>
    <x v="2"/>
    <s v="LOPEZ PALACIO PABLO EMILIO"/>
    <s v="ROMERO ARENAS DANNY MAURICIO"/>
    <x v="17"/>
    <x v="5"/>
    <n v="1"/>
    <n v="1"/>
    <d v="2025-01-02T00:00:00"/>
    <d v="2015-03-09T00:00:00"/>
    <n v="139"/>
    <s v="+24 Mounths"/>
    <s v="A"/>
    <s v="C"/>
    <x v="0"/>
    <n v="3102678219"/>
    <s v="OK LINEA"/>
    <s v="SI"/>
    <d v="1992-01-18T00:00:00"/>
    <n v="34"/>
    <s v="FEMENINO"/>
  </r>
  <r>
    <x v="0"/>
    <x v="0"/>
    <x v="0"/>
    <s v="1113646564"/>
    <s v="TROCHEZ VIDAL EDUIN"/>
    <x v="4"/>
    <x v="1"/>
    <x v="2"/>
    <s v="C813_00000000000744"/>
    <x v="80"/>
    <s v="CRA 3 # 52-126 CC UNICO LOCAL 10-07 CALI VALLE DEL CAUCA"/>
    <x v="1"/>
    <x v="10"/>
    <s v="HIPERMERCADO"/>
    <x v="4"/>
    <s v="VALLE DEL CAUCA"/>
    <x v="4"/>
    <s v="ALVAREZ LONDOÑO JOHNNY"/>
    <s v="ROMERO ARENAS DANNY MAURICIO"/>
    <x v="5"/>
    <x v="1"/>
    <n v="1"/>
    <n v="1"/>
    <d v="2025-01-02T00:00:00"/>
    <d v="2013-11-29T00:00:00"/>
    <n v="154"/>
    <s v="+24 Mounths"/>
    <s v="B"/>
    <s v="B"/>
    <x v="0"/>
    <n v="3102672263"/>
    <s v="OK LINEA"/>
    <s v="SI"/>
    <d v="1990-07-15T00:00:00"/>
    <n v="36"/>
    <s v="MASCULINO"/>
  </r>
  <r>
    <x v="0"/>
    <x v="0"/>
    <x v="0"/>
    <s v="1024542304"/>
    <s v="LEON BERNAL MAICOL ALEJANDRO"/>
    <x v="1"/>
    <x v="1"/>
    <x v="2"/>
    <s v="C813_00000000000994"/>
    <x v="266"/>
    <s v="PARQUE IND SAN CARLOS II BOD 3 KM 35 VIA FUNZA BOGOTA"/>
    <x v="11"/>
    <x v="32"/>
    <s v="TRADITIONAL"/>
    <x v="59"/>
    <s v="CUNDINAMARCA"/>
    <x v="0"/>
    <s v="GAVIRIA FERRO DIEGO MAURICIO"/>
    <s v="PASTUSO ACHICUE CLAUDIA PATRICIA"/>
    <x v="16"/>
    <x v="3"/>
    <n v="1"/>
    <n v="1"/>
    <d v="2026-07-01T00:00:00"/>
    <d v="2026-07-01T00:00:00"/>
    <n v="3"/>
    <s v="3-6 Months"/>
    <s v="A"/>
    <s v="A"/>
    <x v="1"/>
    <s v="SIN ASIGNAR"/>
    <s v="SIN ASIGNAR"/>
    <s v="NO"/>
    <d v="1993-07-09T00:00:00"/>
    <n v="33"/>
    <s v="MASCULINO"/>
  </r>
  <r>
    <x v="0"/>
    <x v="0"/>
    <x v="0"/>
    <s v="71792175"/>
    <s v="SERNA MOSQUERA FRANCISCO JAVIER"/>
    <x v="4"/>
    <x v="1"/>
    <x v="2"/>
    <s v="C813_00000000000111"/>
    <x v="177"/>
    <s v="CALLE 38 A SUR # 34D-51 BOGOTA"/>
    <x v="2"/>
    <x v="3"/>
    <s v="HIPERMERCADO"/>
    <x v="0"/>
    <s v="CUNDINAMARCA"/>
    <x v="0"/>
    <s v="GAVIRIA FERRO DIEGO MAURICIO"/>
    <s v="PASTUSO ACHICUE CLAUDIA PATRICIA"/>
    <x v="14"/>
    <x v="2"/>
    <n v="1"/>
    <n v="1"/>
    <d v="2025-01-02T00:00:00"/>
    <d v="2011-01-23T00:00:00"/>
    <n v="188"/>
    <s v="+24 Mounths"/>
    <s v="A"/>
    <s v="A"/>
    <x v="0"/>
    <n v="3102609890"/>
    <s v="OK LINEA"/>
    <s v="SI"/>
    <d v="1983-01-14T00:00:00"/>
    <n v="43"/>
    <s v="MASCULINO"/>
  </r>
  <r>
    <x v="0"/>
    <x v="0"/>
    <x v="0"/>
    <s v="1017146846"/>
    <s v="SALDARRIAGA ALISSON DAHIANA"/>
    <x v="4"/>
    <x v="1"/>
    <x v="2"/>
    <s v="C813_00000000000996"/>
    <x v="267"/>
    <s v="CALLE 2 # 50 - 21 BARRIO GUAYABAL MEDELLIN ANTIOQUIA"/>
    <x v="11"/>
    <x v="32"/>
    <s v="TRADITIONAL"/>
    <x v="2"/>
    <s v="ANTIOQUIA"/>
    <x v="2"/>
    <s v="LOPEZ PALACIO PABLO EMILIO"/>
    <s v="ROMERO ARENAS DANNY MAURICIO"/>
    <x v="16"/>
    <x v="3"/>
    <n v="1"/>
    <n v="1"/>
    <d v="2026-02-06T00:00:00"/>
    <d v="2026-02-06T00:00:00"/>
    <n v="8"/>
    <s v="6-9 Months"/>
    <s v="A"/>
    <s v="A"/>
    <x v="1"/>
    <n v="3102627604"/>
    <s v="OK LINEA"/>
    <s v="NO"/>
    <d v="2005-01-18T00:00:00"/>
    <n v="21"/>
    <s v="FEMENINO"/>
  </r>
  <r>
    <x v="0"/>
    <x v="0"/>
    <x v="0"/>
    <s v="1017194840"/>
    <s v="RUA ZULUAGA LIYIBETH DAJANA"/>
    <x v="4"/>
    <x v="1"/>
    <x v="2"/>
    <s v="C813_00000000000101"/>
    <x v="49"/>
    <s v="CALLE 48 # 46-115 MEDELLIN ANTIOQUIA"/>
    <x v="2"/>
    <x v="3"/>
    <s v="HIPERMERCADO"/>
    <x v="2"/>
    <s v="ANTIOQUIA"/>
    <x v="2"/>
    <s v="LOPEZ PALACIO PABLO EMILIO"/>
    <s v="ROMERO ARENAS DANNY MAURICIO"/>
    <x v="3"/>
    <x v="2"/>
    <n v="1"/>
    <n v="1"/>
    <d v="2025-01-02T00:00:00"/>
    <d v="2015-09-17T00:00:00"/>
    <n v="132"/>
    <s v="+24 Mounths"/>
    <s v="B"/>
    <s v="A"/>
    <x v="0"/>
    <n v="3102631535"/>
    <s v="OK LINEA"/>
    <s v="SI"/>
    <d v="1991-08-16T00:00:00"/>
    <n v="35"/>
    <s v="FEMENINO"/>
  </r>
  <r>
    <x v="0"/>
    <x v="1"/>
    <x v="0"/>
    <s v="1000693020"/>
    <s v="CASTELLANOS SUAREZ LAURA DANIELA"/>
    <x v="1"/>
    <x v="1"/>
    <x v="2"/>
    <s v="C813_00000000000284"/>
    <x v="8"/>
    <s v="CALLE 45 SUR #51-90 BOGOTA"/>
    <x v="1"/>
    <x v="2"/>
    <s v="HIPERMERCADO"/>
    <x v="0"/>
    <s v="CUNDINAMARCA"/>
    <x v="0"/>
    <s v="PEÑA GARCIA JOINER ALEXIS"/>
    <s v="PASTUSO ACHICUE CLAUDIA PATRICIA"/>
    <x v="6"/>
    <x v="1"/>
    <n v="1"/>
    <n v="1"/>
    <d v="2026-07-30T00:00:00"/>
    <d v="2026-07-30T00:00:00"/>
    <n v="2"/>
    <s v="-3 Months"/>
    <s v="B"/>
    <s v="B"/>
    <x v="1"/>
    <s v="SIN ASIGNAR"/>
    <s v="SIN ASIGNAR"/>
    <s v="SI"/>
    <d v="2002-05-15T00:00:00"/>
    <n v="24"/>
    <s v="FEMENINO"/>
  </r>
  <r>
    <x v="1"/>
    <x v="0"/>
    <x v="0"/>
    <s v="12"/>
    <s v="VACANTE"/>
    <x v="4"/>
    <x v="1"/>
    <x v="2"/>
    <s v="C813_00000000000994"/>
    <x v="266"/>
    <s v="PARQUE IND SAN CARLOS II BOD 3 KM 35 VIA FUNZA BOGOTA"/>
    <x v="11"/>
    <x v="32"/>
    <s v="TRADITIONAL"/>
    <x v="59"/>
    <s v="CUNDINAMARCA"/>
    <x v="0"/>
    <s v="GAVIRIA FERRO DIEGO MAURICIO"/>
    <s v="PASTUSO ACHICUE CLAUDIA PATRICIA"/>
    <x v="16"/>
    <x v="3"/>
    <n v="1"/>
    <n v="1"/>
    <s v="VACANTE"/>
    <s v="NO APLICA"/>
    <s v="NO APLICA"/>
    <s v="NO APLICA"/>
    <s v="A"/>
    <s v="A"/>
    <x v="2"/>
    <s v="VACANTE"/>
    <s v="VACANTE"/>
    <s v="NO"/>
    <s v="VACANTE"/>
    <s v="VACANTE"/>
    <s v="VACANTE"/>
  </r>
  <r>
    <x v="0"/>
    <x v="0"/>
    <x v="1"/>
    <s v="1067925258"/>
    <s v="GRANDETT PERNETT JOSE GABRIEL"/>
    <x v="1"/>
    <x v="1"/>
    <x v="2"/>
    <s v="C813_00000000000283"/>
    <x v="118"/>
    <s v="CARRERA 30 N ° 10-25 BOGOTA"/>
    <x v="1"/>
    <x v="2"/>
    <s v="HIPERMERCADO"/>
    <x v="0"/>
    <s v="CUNDINAMARCA"/>
    <x v="0"/>
    <s v="PEÑA GARCIA JOINER ALEXIS"/>
    <s v="PASTUSO ACHICUE CLAUDIA PATRICIA"/>
    <x v="6"/>
    <x v="1"/>
    <n v="1"/>
    <n v="1"/>
    <d v="2026-08-14T00:00:00"/>
    <d v="2026-08-14T00:00:00"/>
    <n v="2"/>
    <s v="-3 Months"/>
    <s v="B"/>
    <s v="B"/>
    <x v="1"/>
    <s v="SIN ASIGNAR"/>
    <s v="SIN ASIGNAR"/>
    <s v="SI"/>
    <d v="1993-11-19T00:00:00"/>
    <n v="32"/>
    <s v="MASCULINO"/>
  </r>
  <r>
    <x v="0"/>
    <x v="0"/>
    <x v="0"/>
    <s v="8852671"/>
    <s v="PEINADO GAVIRIA HENRY BENJAMIN"/>
    <x v="4"/>
    <x v="1"/>
    <x v="2"/>
    <s v="C813_00000000000151"/>
    <x v="188"/>
    <s v="CARRERA 71 # 29-100"/>
    <x v="5"/>
    <x v="6"/>
    <s v="HIPERMERCADO"/>
    <x v="31"/>
    <s v="BOLIVAR"/>
    <x v="3"/>
    <s v="PRENT SAMPAYO ANDERSON GUILLERMO"/>
    <s v="GRANADOS NAVARRO YEFERSON ORLANDO"/>
    <x v="11"/>
    <x v="4"/>
    <n v="1"/>
    <n v="1"/>
    <d v="2025-01-02T00:00:00"/>
    <d v="2012-01-05T00:00:00"/>
    <n v="177"/>
    <s v="+24 Mounths"/>
    <s v="A"/>
    <s v="A"/>
    <x v="0"/>
    <n v="3102687059"/>
    <s v="OK LINEA"/>
    <s v="SI"/>
    <d v="1980-07-23T00:00:00"/>
    <n v="46"/>
    <s v="MASCULINO"/>
  </r>
  <r>
    <x v="0"/>
    <x v="0"/>
    <x v="0"/>
    <s v="1089598939"/>
    <s v="ORTEGÓN TORRES DANNA KARINA"/>
    <x v="4"/>
    <x v="1"/>
    <x v="2"/>
    <s v="C813_00000000000995"/>
    <x v="268"/>
    <s v="CARRERA 32 # 13 - 101 ACOPI - YUMBO VALLE DEL CAUCA"/>
    <x v="11"/>
    <x v="32"/>
    <s v="TRADITIONAL"/>
    <x v="5"/>
    <s v="RISARALDA"/>
    <x v="5"/>
    <s v="ALVAREZ LONDOÑO JOHNNY"/>
    <s v="ROMERO ARENAS DANNY MAURICIO"/>
    <x v="16"/>
    <x v="3"/>
    <n v="1"/>
    <n v="1"/>
    <d v="2025-08-29T00:00:00"/>
    <d v="2025-08-29T00:00:00"/>
    <n v="13"/>
    <s v="12-24 Months"/>
    <s v="NO DATA"/>
    <s v="NO DATA"/>
    <x v="1"/>
    <n v="3043709955"/>
    <s v="OK LINEA"/>
    <s v="NO"/>
    <d v="2004-06-22T00:00:00"/>
    <n v="22"/>
    <s v="FEMENINO"/>
  </r>
  <r>
    <x v="0"/>
    <x v="0"/>
    <x v="0"/>
    <s v="80926843"/>
    <s v="MOSQUERA ARENAS EDWIN CAMILO"/>
    <x v="4"/>
    <x v="1"/>
    <x v="2"/>
    <s v="C813_00000000002373"/>
    <x v="106"/>
    <s v="AUTOPISTA BOGOTÁ - MEDELLIN (CALLE 80) KM 2 VÍA COTA"/>
    <x v="11"/>
    <x v="18"/>
    <s v="TRADITIONAL"/>
    <x v="0"/>
    <s v="CUNDINAMARCA"/>
    <x v="0"/>
    <s v="GAVIRIA FERRO DIEGO MAURICIO"/>
    <s v="PASTUSO ACHICUE CLAUDIA PATRICIA"/>
    <x v="16"/>
    <x v="3"/>
    <n v="1"/>
    <n v="1"/>
    <d v="2025-01-21T00:00:00"/>
    <d v="2025-01-21T00:00:00"/>
    <n v="20"/>
    <s v="12-24 Months"/>
    <s v="NO DATA"/>
    <s v="NO DATA"/>
    <x v="0"/>
    <n v="3102676856"/>
    <s v="OK LINEA"/>
    <s v="NO"/>
    <d v="1985-01-08T00:00:00"/>
    <n v="41"/>
    <s v="MASCULINO"/>
  </r>
  <r>
    <x v="0"/>
    <x v="0"/>
    <x v="0"/>
    <s v="1035233806"/>
    <s v="MEJIA SANCHEZ CARLOS DAVID"/>
    <x v="2"/>
    <x v="1"/>
    <x v="2"/>
    <s v="C813_00000000000012"/>
    <x v="37"/>
    <s v="CARRERA 48 # 32 B SUR 139 MEDELLIN ANTIOQUIA"/>
    <x v="2"/>
    <x v="3"/>
    <s v="HIPERMERCADO"/>
    <x v="2"/>
    <s v="ANTIOQUIA"/>
    <x v="2"/>
    <s v="LOPEZ PALACIO PABLO EMILIO"/>
    <s v="ROMERO ARENAS DANNY MAURICIO"/>
    <x v="3"/>
    <x v="2"/>
    <n v="1"/>
    <n v="1"/>
    <d v="2026-10-15T00:00:00"/>
    <d v="2026-10-15T00:00:00"/>
    <n v="0"/>
    <s v="-3 Months"/>
    <s v="A"/>
    <s v="A"/>
    <x v="1"/>
    <s v="SIN ASIGNAR"/>
    <s v="SIN ASIGNAR"/>
    <s v="SI"/>
    <s v="VACANTE"/>
    <s v="VACANTE"/>
    <s v="VACANTE"/>
  </r>
  <r>
    <x v="0"/>
    <x v="1"/>
    <x v="0"/>
    <s v="1024506434"/>
    <s v="MALAGON SANCHEZ CRISTIAN FABIAN"/>
    <x v="4"/>
    <x v="1"/>
    <x v="2"/>
    <s v="C813_00000000000285"/>
    <x v="18"/>
    <s v="CRA 31 # 31-95 VILLAVICENCIO META"/>
    <x v="1"/>
    <x v="2"/>
    <s v="HIPERMERCADO"/>
    <x v="9"/>
    <s v="META"/>
    <x v="6"/>
    <s v="GAVIRIA FERRO DIEGO MAURICIO"/>
    <s v="PASTUSO ACHICUE CLAUDIA PATRICIA"/>
    <x v="8"/>
    <x v="1"/>
    <n v="1"/>
    <n v="1"/>
    <d v="2025-01-02T00:00:00"/>
    <d v="2021-04-30T00:00:00"/>
    <n v="65"/>
    <s v="+24 Mounths"/>
    <s v="A"/>
    <s v="A"/>
    <x v="0"/>
    <n v="3102614673"/>
    <s v="OK LINEA"/>
    <s v="SI"/>
    <d v="1990-07-10T00:00:00"/>
    <n v="36"/>
    <s v="MASCULINO"/>
  </r>
  <r>
    <x v="0"/>
    <x v="1"/>
    <x v="0"/>
    <s v="1152208910"/>
    <s v="LOAIZA PUERTA MAURICIO"/>
    <x v="4"/>
    <x v="1"/>
    <x v="2"/>
    <s v="C813_00000000000010"/>
    <x v="255"/>
    <s v="CRA 43A # 7 SUR-170  CENTRO COMERCIAL SANTAFE MEDELLIN MEDELLIN ANTIOQUIA"/>
    <x v="6"/>
    <x v="7"/>
    <s v="HIPERMERCADO"/>
    <x v="2"/>
    <s v="ANTIOQUIA"/>
    <x v="2"/>
    <s v="LOPEZ PALACIO PABLO EMILIO"/>
    <s v="ROMERO ARENAS DANNY MAURICIO"/>
    <x v="17"/>
    <x v="5"/>
    <n v="1"/>
    <n v="1"/>
    <d v="2025-01-02T00:00:00"/>
    <d v="2019-03-08T00:00:00"/>
    <n v="91"/>
    <s v="+24 Mounths"/>
    <s v="A"/>
    <s v="C"/>
    <x v="0"/>
    <n v="3102655210"/>
    <s v="OK LINEA"/>
    <s v="SI"/>
    <d v="1995-06-06T00:00:00"/>
    <n v="31"/>
    <s v="MASCULINO"/>
  </r>
  <r>
    <x v="0"/>
    <x v="0"/>
    <x v="0"/>
    <s v="7179796"/>
    <s v="REYES CRUZ JOSE RICARDO"/>
    <x v="3"/>
    <x v="1"/>
    <x v="2"/>
    <s v="C813_00000000000282"/>
    <x v="17"/>
    <s v="AK 68 # 72-43 BOGOTA"/>
    <x v="1"/>
    <x v="2"/>
    <s v="HIPERMERCADO"/>
    <x v="0"/>
    <s v="CUNDINAMARCA"/>
    <x v="0"/>
    <s v="PEÑA GARCIA JOINER ALEXIS"/>
    <s v="PASTUSO ACHICUE CLAUDIA PATRICIA"/>
    <x v="1"/>
    <x v="1"/>
    <n v="1"/>
    <n v="1"/>
    <d v="2025-01-02T00:00:00"/>
    <d v="2018-10-15T00:00:00"/>
    <n v="96"/>
    <s v="+24 Mounths"/>
    <s v="A"/>
    <s v="A"/>
    <x v="0"/>
    <n v="3102616545"/>
    <s v="OK LINEA"/>
    <s v="SI"/>
    <d v="1981-06-13T00:00:00"/>
    <n v="45"/>
    <s v="MASCULINO"/>
  </r>
  <r>
    <x v="0"/>
    <x v="0"/>
    <x v="0"/>
    <s v="1107512660"/>
    <s v="GONZALEZ CRISTIAN"/>
    <x v="2"/>
    <x v="1"/>
    <x v="2"/>
    <s v="C813_00000000001058"/>
    <x v="7"/>
    <s v="CL 13 #80 - 187, CALI, VALLE DEL CAUCA"/>
    <x v="1"/>
    <x v="2"/>
    <s v="HIPERMERCADO"/>
    <x v="4"/>
    <s v="VALLE DEL CAUCA"/>
    <x v="4"/>
    <s v="ALVAREZ LONDOÑO JOHNNY"/>
    <s v="ROMERO ARENAS DANNY MAURICIO"/>
    <x v="5"/>
    <x v="1"/>
    <n v="1"/>
    <n v="1"/>
    <d v="2026-06-01T00:00:00"/>
    <d v="2026-06-01T00:00:00"/>
    <n v="4"/>
    <s v="3-6 Months"/>
    <s v="A"/>
    <s v="A"/>
    <x v="1"/>
    <s v="SIN ASIGNAR"/>
    <s v="SIN ASIGNAR"/>
    <s v="SI"/>
    <d v="1997-10-20T00:00:00"/>
    <n v="28"/>
    <s v="MASCULINO"/>
  </r>
  <r>
    <x v="0"/>
    <x v="0"/>
    <x v="0"/>
    <s v="1022372578"/>
    <s v="CUBILLOS GONZALEZ ANGIE LORENA"/>
    <x v="4"/>
    <x v="1"/>
    <x v="2"/>
    <s v="C813_00000000000994"/>
    <x v="266"/>
    <s v="PARQUE IND SAN CARLOS II BOD 3 KM 35 VIA FUNZA BOGOTA"/>
    <x v="11"/>
    <x v="32"/>
    <s v="TRADITIONAL"/>
    <x v="59"/>
    <s v="CUNDINAMARCA"/>
    <x v="0"/>
    <s v="GAVIRIA FERRO DIEGO MAURICIO"/>
    <s v="PASTUSO ACHICUE CLAUDIA PATRICIA"/>
    <x v="16"/>
    <x v="3"/>
    <n v="1"/>
    <n v="1"/>
    <d v="2025-01-02T00:00:00"/>
    <d v="2025-01-02T00:00:00"/>
    <n v="21"/>
    <s v="12-24 Months"/>
    <s v="A"/>
    <s v="A"/>
    <x v="0"/>
    <n v="3102702803"/>
    <s v="OK LINEA"/>
    <s v="NO"/>
    <d v="1991-09-13T00:00:00"/>
    <n v="35"/>
    <s v="FEMENINO"/>
  </r>
  <r>
    <x v="0"/>
    <x v="0"/>
    <x v="0"/>
    <s v="1030529813"/>
    <s v="CORTES AGUIRRE FRANCY YAMILE"/>
    <x v="4"/>
    <x v="1"/>
    <x v="2"/>
    <s v="C813_00000000000512"/>
    <x v="241"/>
    <s v="CRA 13 # 16-55 BOGOTA"/>
    <x v="9"/>
    <x v="15"/>
    <s v="TRADITIONAL"/>
    <x v="0"/>
    <s v="CUNDINAMARCA"/>
    <x v="0"/>
    <s v="GAVIRIA FERRO DIEGO MAURICIO"/>
    <s v="PASTUSO ACHICUE CLAUDIA PATRICIA"/>
    <x v="12"/>
    <x v="5"/>
    <n v="1"/>
    <n v="1"/>
    <d v="2025-01-02T00:00:00"/>
    <d v="2025-01-02T00:00:00"/>
    <n v="21"/>
    <s v="12-24 Months"/>
    <s v="B"/>
    <s v="B"/>
    <x v="0"/>
    <n v="3102703433"/>
    <s v="OK LINEA"/>
    <s v="NO"/>
    <d v="1986-09-30T00:00:00"/>
    <n v="40"/>
    <s v="FEMENINO"/>
  </r>
  <r>
    <x v="0"/>
    <x v="0"/>
    <x v="0"/>
    <s v="1045673157"/>
    <s v="CARMONA COMAS JORGE LUIS"/>
    <x v="4"/>
    <x v="1"/>
    <x v="2"/>
    <s v="C813_00000000000993"/>
    <x v="269"/>
    <s v="KM 4 PROLONGACIÓN AV MURILLO SUR #1-300 BARRANQUILLA"/>
    <x v="11"/>
    <x v="32"/>
    <s v="TRADITIONAL"/>
    <x v="3"/>
    <s v="ATLANTICO"/>
    <x v="3"/>
    <s v="PRENT SAMPAYO ANDERSON GUILLERMO"/>
    <s v="GRANADOS NAVARRO YEFERSON ORLANDO"/>
    <x v="16"/>
    <x v="3"/>
    <n v="1"/>
    <n v="1"/>
    <d v="2025-01-02T00:00:00"/>
    <d v="2025-01-02T00:00:00"/>
    <n v="21"/>
    <s v="12-24 Months"/>
    <s v="D"/>
    <s v="D"/>
    <x v="0"/>
    <n v="3102708762"/>
    <s v="OK LINEA"/>
    <s v="NO"/>
    <d v="1988-03-07T00:00:00"/>
    <n v="38"/>
    <s v="MASCULINO"/>
  </r>
  <r>
    <x v="0"/>
    <x v="0"/>
    <x v="0"/>
    <s v="1214728086"/>
    <s v="CALLE OSPINA DUBIAN ALBEIRO"/>
    <x v="4"/>
    <x v="1"/>
    <x v="2"/>
    <s v="C813_00000000000031"/>
    <x v="199"/>
    <s v="DIAGONAL 51 # 35-120 MEDELLIN ANTIOQUIA"/>
    <x v="2"/>
    <x v="3"/>
    <s v="HIPERMERCADO"/>
    <x v="13"/>
    <s v="ANTIOQUIA"/>
    <x v="2"/>
    <s v="LOPEZ PALACIO PABLO EMILIO"/>
    <s v="ROMERO ARENAS DANNY MAURICIO"/>
    <x v="3"/>
    <x v="2"/>
    <n v="1"/>
    <n v="1"/>
    <d v="2025-01-02T00:00:00"/>
    <d v="2018-09-17T00:00:00"/>
    <n v="96"/>
    <s v="+24 Mounths"/>
    <s v="A"/>
    <s v="A"/>
    <x v="0"/>
    <n v="3102681766"/>
    <s v="OK LINEA"/>
    <s v="SI"/>
    <d v="1995-02-13T00:00:00"/>
    <n v="31"/>
    <s v="MASCULINO"/>
  </r>
  <r>
    <x v="0"/>
    <x v="0"/>
    <x v="0"/>
    <s v="1033713341"/>
    <s v="BERNATE ACOSTA NICOLAS ALBERTO"/>
    <x v="4"/>
    <x v="1"/>
    <x v="2"/>
    <s v="C813_00000000000111"/>
    <x v="177"/>
    <s v="CALLE 38 A SUR # 34D-51 BOGOTA"/>
    <x v="2"/>
    <x v="3"/>
    <s v="HIPERMERCADO"/>
    <x v="0"/>
    <s v="CUNDINAMARCA"/>
    <x v="0"/>
    <s v="GAVIRIA FERRO DIEGO MAURICIO"/>
    <s v="PASTUSO ACHICUE CLAUDIA PATRICIA"/>
    <x v="14"/>
    <x v="2"/>
    <n v="1"/>
    <n v="1"/>
    <d v="2025-01-02T00:00:00"/>
    <d v="2017-11-03T00:00:00"/>
    <n v="107"/>
    <s v="+24 Mounths"/>
    <s v="A"/>
    <s v="A"/>
    <x v="0"/>
    <n v="3102610434"/>
    <s v="OK LINEA"/>
    <s v="SI"/>
    <d v="1989-08-13T00:00:00"/>
    <n v="37"/>
    <s v="MASCULINO"/>
  </r>
  <r>
    <x v="0"/>
    <x v="0"/>
    <x v="0"/>
    <s v="1005935268"/>
    <s v="CASTILLO JUAN"/>
    <x v="1"/>
    <x v="1"/>
    <x v="2"/>
    <s v="C813_00000000000281"/>
    <x v="4"/>
    <s v="CRA 69 # 170-15 BOGOTA"/>
    <x v="1"/>
    <x v="2"/>
    <s v="HIPERMERCADO"/>
    <x v="0"/>
    <s v="CUNDINAMARCA"/>
    <x v="0"/>
    <s v="PEÑA GARCIA JOINER ALEXIS"/>
    <s v="PASTUSO ACHICUE CLAUDIA PATRICIA"/>
    <x v="1"/>
    <x v="1"/>
    <n v="1"/>
    <n v="1"/>
    <d v="2026-10-16T00:00:00"/>
    <d v="2026-10-16T00:00:00"/>
    <n v="0"/>
    <s v="-3 Months"/>
    <s v="A"/>
    <s v="A"/>
    <x v="1"/>
    <s v="SIN ASIGNAR"/>
    <s v="SIN ASIGNAR"/>
    <s v="SI"/>
    <s v="VACANTE"/>
    <s v="VACANTE"/>
    <s v="VACANTE"/>
  </r>
  <r>
    <x v="0"/>
    <x v="0"/>
    <x v="0"/>
    <s v="31710145"/>
    <s v="AGRONO SALAZAR SOR GENELLI"/>
    <x v="4"/>
    <x v="1"/>
    <x v="2"/>
    <s v="C813_00000000001110"/>
    <x v="248"/>
    <s v="CALLE 11 # 8-58 ALVARO GUTIERREZ PBX: 889-7070 CALI VALLE DEL CAUCA"/>
    <x v="8"/>
    <x v="24"/>
    <s v="TRADITIONAL"/>
    <x v="4"/>
    <s v="VALLE DEL CAUCA"/>
    <x v="4"/>
    <s v="ALVAREZ LONDOÑO JOHNNY"/>
    <s v="ROMERO ARENAS DANNY MAURICIO"/>
    <x v="9"/>
    <x v="6"/>
    <n v="1"/>
    <n v="0.5"/>
    <d v="2025-01-02T00:00:00"/>
    <d v="2004-02-16T00:00:00"/>
    <n v="272"/>
    <s v="+24 Mounths"/>
    <s v="D"/>
    <s v="D"/>
    <x v="0"/>
    <n v="3102690181"/>
    <s v="OK LINEA"/>
    <s v="NO"/>
    <d v="1982-06-18T00:00:00"/>
    <n v="44"/>
    <s v="FEMENINO"/>
  </r>
  <r>
    <x v="0"/>
    <x v="0"/>
    <x v="0"/>
    <s v="31710145"/>
    <s v="AGRONO SALAZAR SOR GENELLI"/>
    <x v="4"/>
    <x v="1"/>
    <x v="2"/>
    <s v="C813_00000000000590"/>
    <x v="270"/>
    <s v="CALLE 11 # 7-39 CALI VALLE DEL CAUCA"/>
    <x v="8"/>
    <x v="33"/>
    <s v="TRADITIONAL"/>
    <x v="4"/>
    <s v="VALLE DEL CAUCA"/>
    <x v="4"/>
    <s v="ALVAREZ LONDOÑO JOHNNY"/>
    <s v="ROMERO ARENAS DANNY MAURICIO"/>
    <x v="9"/>
    <x v="6"/>
    <n v="0"/>
    <n v="0.5"/>
    <d v="2025-01-02T00:00:00"/>
    <d v="2004-02-16T00:00:00"/>
    <n v="272"/>
    <s v="+24 Mounths"/>
    <s v="D"/>
    <s v="D"/>
    <x v="0"/>
    <n v="3102690181"/>
    <s v="OK LINEA"/>
    <s v="NO"/>
    <d v="1982-06-18T00:00:00"/>
    <n v="44"/>
    <s v="FEMENINO"/>
  </r>
  <r>
    <x v="0"/>
    <x v="0"/>
    <x v="4"/>
    <s v="1214721859"/>
    <s v="ARIZA ARROYAVE JEFERSON ANDRES"/>
    <x v="1"/>
    <x v="1"/>
    <x v="2"/>
    <s v="C813_00000000000101"/>
    <x v="49"/>
    <s v="CALLE 48 # 46-115 MEDELLIN ANTIOQUIA"/>
    <x v="2"/>
    <x v="3"/>
    <s v="HIPERMERCADO"/>
    <x v="2"/>
    <s v="ANTIOQUIA"/>
    <x v="2"/>
    <s v="LOPEZ PALACIO PABLO EMILIO"/>
    <s v="ROMERO ARENAS DANNY MAURICIO"/>
    <x v="3"/>
    <x v="2"/>
    <n v="1"/>
    <n v="1"/>
    <d v="2025-09-23T00:00:00"/>
    <d v="2025-09-23T00:00:00"/>
    <n v="12"/>
    <s v="12-24 Months"/>
    <s v="B"/>
    <s v="A"/>
    <x v="1"/>
    <s v="SIN ASIGNAR"/>
    <s v="SIN ASIGNAR"/>
    <s v="SI"/>
    <d v="1993-10-29T00:00:00"/>
    <n v="32"/>
    <s v="MASCULINO"/>
  </r>
  <r>
    <x v="0"/>
    <x v="0"/>
    <x v="0"/>
    <s v="1000293322"/>
    <s v="SANCHEZ BRAYAN"/>
    <x v="2"/>
    <x v="1"/>
    <x v="2"/>
    <s v="C813_00000000000102"/>
    <x v="174"/>
    <s v="CRA 81 # 37-100 MEDELLIN ANTIOQUIA"/>
    <x v="2"/>
    <x v="3"/>
    <s v="HIPERMERCADO"/>
    <x v="2"/>
    <s v="ANTIOQUIA"/>
    <x v="2"/>
    <s v="LOPEZ PALACIO PABLO EMILIO"/>
    <s v="ROMERO ARENAS DANNY MAURICIO"/>
    <x v="3"/>
    <x v="2"/>
    <n v="1"/>
    <n v="1"/>
    <d v="2026-05-06T00:00:00"/>
    <d v="2026-05-06T00:00:00"/>
    <n v="5"/>
    <s v="3-6 Months"/>
    <s v="A"/>
    <s v="A"/>
    <x v="1"/>
    <s v="SIN ASIGNAR"/>
    <s v="SIN ASIGNAR"/>
    <s v="SI"/>
    <d v="2002-08-13T00:00:00"/>
    <n v="24"/>
    <s v="MASCULINO"/>
  </r>
  <r>
    <x v="0"/>
    <x v="0"/>
    <x v="0"/>
    <s v="1010034507"/>
    <s v="SUÁREZ GARCÍA BRAYAN STIVEN"/>
    <x v="1"/>
    <x v="1"/>
    <x v="2"/>
    <s v="C813_00000000000282"/>
    <x v="17"/>
    <s v="AK 68 # 72-43 BOGOTA"/>
    <x v="1"/>
    <x v="2"/>
    <s v="HIPERMERCADO"/>
    <x v="0"/>
    <s v="CUNDINAMARCA"/>
    <x v="0"/>
    <s v="PEÑA GARCIA JOINER ALEXIS"/>
    <s v="PASTUSO ACHICUE CLAUDIA PATRICIA"/>
    <x v="1"/>
    <x v="1"/>
    <n v="1"/>
    <n v="1"/>
    <d v="2026-04-10T00:00:00"/>
    <d v="2026-04-10T00:00:00"/>
    <n v="6"/>
    <s v="6-9 Months"/>
    <s v="A"/>
    <s v="A"/>
    <x v="1"/>
    <s v="SIN ASIGNAR"/>
    <s v="SIN ASIGNAR"/>
    <s v="SI"/>
    <d v="2000-09-25T00:00:00"/>
    <n v="26"/>
    <s v="MASCULINO"/>
  </r>
  <r>
    <x v="0"/>
    <x v="0"/>
    <x v="4"/>
    <s v="1095829845"/>
    <s v="OLARTE DUARTE MIGUEL ANGEL"/>
    <x v="2"/>
    <x v="1"/>
    <x v="2"/>
    <s v="C813_00000000000115"/>
    <x v="25"/>
    <s v="CARRERA 17 # 45-77 BUCARAMANGA SANTANDER"/>
    <x v="2"/>
    <x v="3"/>
    <s v="HIPERMERCADO"/>
    <x v="1"/>
    <s v="SANTANDER"/>
    <x v="1"/>
    <s v="LOPEZ PALACIO PABLO EMILIO"/>
    <s v="GRANADOS NAVARRO YEFERSON ORLANDO"/>
    <x v="2"/>
    <x v="2"/>
    <n v="1"/>
    <n v="1"/>
    <d v="2026-05-09T00:00:00"/>
    <d v="2026-05-09T00:00:00"/>
    <n v="5"/>
    <s v="3-6 Months"/>
    <s v="A"/>
    <s v="A"/>
    <x v="1"/>
    <s v="SIN ASIGNAR"/>
    <s v="SIN ASIGNAR"/>
    <s v="SI"/>
    <d v="1996-08-07T00:00:00"/>
    <n v="30"/>
    <s v="MASCULINO"/>
  </r>
  <r>
    <x v="0"/>
    <x v="0"/>
    <x v="0"/>
    <s v="1086358630"/>
    <s v="ENRIQUEZ ROMERO ANDRES JOVANNY"/>
    <x v="4"/>
    <x v="1"/>
    <x v="2"/>
    <s v="C813_00000000005097"/>
    <x v="271"/>
    <s v="CALLE 25 # 98-416 LOCAL 229 CENTRO COMERCIAL JARDIN PLAZA CALI VALLE DEL CAUCA"/>
    <x v="6"/>
    <x v="7"/>
    <s v="HIPERMERCADO"/>
    <x v="4"/>
    <s v="VALLE DEL CAUCA"/>
    <x v="4"/>
    <s v="ALVAREZ LONDOÑO JOHNNY"/>
    <s v="ROMERO ARENAS DANNY MAURICIO"/>
    <x v="5"/>
    <x v="5"/>
    <n v="1"/>
    <n v="1"/>
    <d v="2025-01-02T00:00:00"/>
    <d v="2014-03-10T00:00:00"/>
    <n v="151"/>
    <s v="+24 Mounths"/>
    <s v="A"/>
    <s v="C"/>
    <x v="0"/>
    <n v="3102695225"/>
    <s v="OK LINEA"/>
    <s v="SI"/>
    <d v="1986-10-05T00:00:00"/>
    <n v="40"/>
    <s v="MASCULINO"/>
  </r>
  <r>
    <x v="0"/>
    <x v="0"/>
    <x v="0"/>
    <s v="80829292"/>
    <s v="JIMENEZ OCHOA LEONARDO ANTONIO"/>
    <x v="1"/>
    <x v="1"/>
    <x v="2"/>
    <s v="C813_00000000000285"/>
    <x v="18"/>
    <s v="CRA 31 # 31-95 VILLAVICENCIO META"/>
    <x v="1"/>
    <x v="2"/>
    <s v="HIPERMERCADO"/>
    <x v="9"/>
    <s v="META"/>
    <x v="6"/>
    <s v="GAVIRIA FERRO DIEGO MAURICIO"/>
    <s v="PASTUSO ACHICUE CLAUDIA PATRICIA"/>
    <x v="8"/>
    <x v="1"/>
    <n v="1"/>
    <n v="1"/>
    <d v="2026-10-09T00:00:00"/>
    <d v="2026-10-09T00:00:00"/>
    <n v="0"/>
    <s v="-3 Months"/>
    <s v="A"/>
    <s v="A"/>
    <x v="1"/>
    <s v="SIN ASIGNAR"/>
    <s v="SIN ASIGNAR"/>
    <s v="SI"/>
    <s v="VACANTE"/>
    <s v="VACANTE"/>
    <s v="VACANTE"/>
  </r>
  <r>
    <x v="0"/>
    <x v="0"/>
    <x v="0"/>
    <s v="1001174903"/>
    <s v="GUTIERREZ MARTINE ANGIE KATERINE"/>
    <x v="2"/>
    <x v="1"/>
    <x v="2"/>
    <s v="C813_00000000000284"/>
    <x v="8"/>
    <s v="CALLE 45 SUR #51-90 BOGOTA"/>
    <x v="1"/>
    <x v="2"/>
    <s v="HIPERMERCADO"/>
    <x v="0"/>
    <s v="CUNDINAMARCA"/>
    <x v="0"/>
    <s v="PEÑA GARCIA JOINER ALEXIS"/>
    <s v="PASTUSO ACHICUE CLAUDIA PATRICIA"/>
    <x v="6"/>
    <x v="1"/>
    <n v="1"/>
    <n v="1"/>
    <d v="2026-05-22T00:00:00"/>
    <d v="2026-05-22T00:00:00"/>
    <n v="4"/>
    <s v="3-6 Months"/>
    <s v="B"/>
    <s v="B"/>
    <x v="1"/>
    <s v="SIN ASIGNAR"/>
    <s v="SIN ASIGNAR"/>
    <s v="SI"/>
    <d v="2003-01-29T00:00:00"/>
    <n v="23"/>
    <s v="FEMENINO"/>
  </r>
  <r>
    <x v="0"/>
    <x v="0"/>
    <x v="0"/>
    <s v="1072662577"/>
    <s v="TORRES SARMIENTO ENRIQUE"/>
    <x v="3"/>
    <x v="1"/>
    <x v="2"/>
    <s v="C813_00000000000281"/>
    <x v="4"/>
    <s v="CRA 69 # 170-15 BOGOTA"/>
    <x v="1"/>
    <x v="2"/>
    <s v="HIPERMERCADO"/>
    <x v="0"/>
    <s v="CUNDINAMARCA"/>
    <x v="0"/>
    <s v="PEÑA GARCIA JOINER ALEXIS"/>
    <s v="PASTUSO ACHICUE CLAUDIA PATRICIA"/>
    <x v="1"/>
    <x v="1"/>
    <n v="1"/>
    <n v="1"/>
    <d v="2026-06-11T00:00:00"/>
    <d v="2026-06-11T00:00:00"/>
    <n v="4"/>
    <s v="3-6 Months"/>
    <s v="A"/>
    <s v="A"/>
    <x v="0"/>
    <n v="3045518089"/>
    <s v="OK LINEA"/>
    <s v="SI"/>
    <d v="1991-10-24T00:00:00"/>
    <n v="34"/>
    <s v="MASCULINO"/>
  </r>
  <r>
    <x v="0"/>
    <x v="0"/>
    <x v="4"/>
    <s v="1035856421"/>
    <s v="CASTRILLON YERLY ALEXIS"/>
    <x v="2"/>
    <x v="1"/>
    <x v="2"/>
    <s v="C813_00000000000031"/>
    <x v="199"/>
    <s v="DIAGONAL 51 # 35-120 MEDELLIN ANTIOQUIA"/>
    <x v="2"/>
    <x v="3"/>
    <s v="HIPERMERCADO"/>
    <x v="13"/>
    <s v="ANTIOQUIA"/>
    <x v="2"/>
    <s v="LOPEZ PALACIO PABLO EMILIO"/>
    <s v="ROMERO ARENAS DANNY MAURICIO"/>
    <x v="3"/>
    <x v="2"/>
    <n v="1"/>
    <n v="1"/>
    <d v="2026-05-06T00:00:00"/>
    <d v="2026-05-06T00:00:00"/>
    <n v="5"/>
    <s v="3-6 Months"/>
    <s v="A"/>
    <s v="A"/>
    <x v="1"/>
    <s v="SIN ASIGNAR"/>
    <s v="SIN ASIGNAR"/>
    <s v="SI"/>
    <d v="1989-12-20T00:00:00"/>
    <n v="36"/>
    <s v="MASCULINO"/>
  </r>
  <r>
    <x v="1"/>
    <x v="0"/>
    <x v="0"/>
    <s v="13"/>
    <s v="VACANTE"/>
    <x v="2"/>
    <x v="1"/>
    <x v="2"/>
    <s v="C813_00000000000296"/>
    <x v="11"/>
    <s v="CARRERA 43 A # 1 SUR - 272 MEDELLIN ANTIOQUIA"/>
    <x v="1"/>
    <x v="1"/>
    <s v="HIPERMERCADO"/>
    <x v="2"/>
    <s v="ANTIOQUIA"/>
    <x v="2"/>
    <s v="LOPEZ PALACIO PABLO EMILIO"/>
    <s v="ROMERO ARENAS DANNY MAURICIO"/>
    <x v="3"/>
    <x v="1"/>
    <n v="1"/>
    <n v="1"/>
    <s v="VACANTE"/>
    <s v="NO APLICA"/>
    <s v="NO APLICA"/>
    <s v="NO APLICA"/>
    <s v="D"/>
    <s v="B"/>
    <x v="2"/>
    <s v="VACANTE"/>
    <s v="VACANTE"/>
    <s v="SI"/>
    <s v="VACANTE"/>
    <s v="VACANTE"/>
    <s v="VACANTE"/>
  </r>
  <r>
    <x v="0"/>
    <x v="0"/>
    <x v="0"/>
    <s v="1128844673"/>
    <s v="MOSQUERA KEINER STEVEN"/>
    <x v="1"/>
    <x v="1"/>
    <x v="2"/>
    <s v="C813_00000000001104"/>
    <x v="5"/>
    <s v="CR 25 A # 1A SUR – 45 TV SUP CC EL TESORO LC 3589"/>
    <x v="1"/>
    <x v="1"/>
    <s v="HIPERMERCADO"/>
    <x v="2"/>
    <s v="ANTIOQUIA"/>
    <x v="2"/>
    <s v="LOPEZ PALACIO PABLO EMILIO"/>
    <s v="ROMERO ARENAS DANNY MAURICIO"/>
    <x v="3"/>
    <x v="1"/>
    <n v="1"/>
    <n v="1"/>
    <d v="2026-08-05T00:00:00"/>
    <d v="2026-07-01T00:00:00"/>
    <n v="3"/>
    <s v="3-6 Months"/>
    <s v="C"/>
    <s v="A"/>
    <x v="1"/>
    <s v="SIN ASIGNAR"/>
    <s v="SIN ASIGNAR"/>
    <s v="SI"/>
    <d v="2005-12-05T00:00:00"/>
    <n v="20"/>
    <s v="MASCULINO"/>
  </r>
  <r>
    <x v="0"/>
    <x v="0"/>
    <x v="0"/>
    <s v="8358331"/>
    <s v="VEGA HIDALGO CAMILO ANDRES"/>
    <x v="5"/>
    <x v="2"/>
    <x v="2"/>
    <s v="NO APLICA"/>
    <x v="0"/>
    <s v="NO APLICA"/>
    <x v="0"/>
    <x v="0"/>
    <s v="NO APLICA"/>
    <x v="2"/>
    <s v="ANTIOQUIA"/>
    <x v="2"/>
    <s v="NO APLICA"/>
    <s v="ROMERO ARENAS DANNY MAURICIO"/>
    <x v="0"/>
    <x v="0"/>
    <n v="1"/>
    <n v="1"/>
    <d v="2025-01-02T00:00:00"/>
    <d v="2008-09-26T00:00:00"/>
    <n v="216"/>
    <s v="+24 Mounths"/>
    <s v="NO APLICA"/>
    <s v="NO APLICA"/>
    <x v="0"/>
    <n v="3102711709"/>
    <s v="OK LINEA"/>
    <s v="NO APLICA"/>
    <d v="1984-08-18T00:00:00"/>
    <n v="42"/>
    <s v="MASCULINO"/>
  </r>
  <r>
    <x v="0"/>
    <x v="0"/>
    <x v="0"/>
    <s v="1020767454"/>
    <s v="BARRERA VEGA DANIEL FERNANDO"/>
    <x v="5"/>
    <x v="2"/>
    <x v="2"/>
    <s v="NO APLICA"/>
    <x v="0"/>
    <s v="NO APLICA"/>
    <x v="0"/>
    <x v="0"/>
    <s v="NO APLICA"/>
    <x v="0"/>
    <s v="CUNDINAMARCA"/>
    <x v="0"/>
    <s v="NO APLICA"/>
    <s v="PASTUSO ACHICUE CLAUDIA PATRICIA"/>
    <x v="0"/>
    <x v="0"/>
    <n v="1"/>
    <n v="1"/>
    <d v="2026-05-22T00:00:00"/>
    <d v="2026-05-22T00:00:00"/>
    <n v="4"/>
    <s v="3-6 Months"/>
    <s v="NO APLICA"/>
    <s v="NO APLICA"/>
    <x v="1"/>
    <s v="SIN ASIGNAR"/>
    <s v="SIN ASIGNAR"/>
    <s v="NO APLICA"/>
    <d v="1991-12-12T00:00:00"/>
    <n v="34"/>
    <s v="MASCULINO"/>
  </r>
  <r>
    <x v="0"/>
    <x v="0"/>
    <x v="0"/>
    <s v="1012318351"/>
    <s v="SARMIENTO SEGURA JULY ALEXANDRA"/>
    <x v="5"/>
    <x v="2"/>
    <x v="2"/>
    <s v="NO APLICA"/>
    <x v="0"/>
    <s v="NO APLICA"/>
    <x v="0"/>
    <x v="0"/>
    <s v="NO APLICA"/>
    <x v="0"/>
    <s v="CUNDINAMARCA"/>
    <x v="0"/>
    <s v="NO APLICA"/>
    <s v="ROMERO ARENAS DANNY MAURICIO"/>
    <x v="0"/>
    <x v="0"/>
    <n v="1"/>
    <n v="1"/>
    <d v="2025-11-14T00:00:00"/>
    <d v="2019-06-19T00:00:00"/>
    <n v="87"/>
    <s v="+24 Mounths"/>
    <s v="NO APLICA"/>
    <s v="NO APLICA"/>
    <x v="0"/>
    <n v="3102712380"/>
    <s v="OK LINEA"/>
    <s v="NO APLICA"/>
    <d v="1985-11-24T00:00:00"/>
    <n v="40"/>
    <s v="FEMENINO"/>
  </r>
  <r>
    <x v="0"/>
    <x v="0"/>
    <x v="0"/>
    <s v="1143242514"/>
    <s v="MORA ARIAS MAYERLI"/>
    <x v="5"/>
    <x v="2"/>
    <x v="2"/>
    <s v="NO APLICA"/>
    <x v="0"/>
    <s v="NO APLICA"/>
    <x v="0"/>
    <x v="0"/>
    <s v="NO APLICA"/>
    <x v="0"/>
    <s v="CUNDINAMARCA"/>
    <x v="0"/>
    <s v="NO APLICA"/>
    <s v="PASTUSO ACHICUE CLAUDIA PATRICIA"/>
    <x v="0"/>
    <x v="0"/>
    <n v="1"/>
    <n v="1"/>
    <d v="2025-07-16T00:00:00"/>
    <d v="2017-01-20T00:00:00"/>
    <n v="116"/>
    <s v="+24 Mounths"/>
    <s v="NO APLICA"/>
    <s v="NO APLICA"/>
    <x v="0"/>
    <n v="3102716340"/>
    <s v="OK LINEA"/>
    <s v="NO APLICA"/>
    <d v="1992-05-07T00:00:00"/>
    <n v="34"/>
    <s v="FEMENINO"/>
  </r>
  <r>
    <x v="0"/>
    <x v="0"/>
    <x v="0"/>
    <s v="1143458873"/>
    <s v="GOMEZ GUTIERREZ HEIDY"/>
    <x v="5"/>
    <x v="2"/>
    <x v="2"/>
    <s v="NO APLICA"/>
    <x v="0"/>
    <s v="NO APLICA"/>
    <x v="0"/>
    <x v="0"/>
    <s v="NO APLICA"/>
    <x v="3"/>
    <s v="ATLANTICO"/>
    <x v="3"/>
    <s v="NO APLICA"/>
    <s v="GRANADOS NAVARRO YEFERSON ORLANDO"/>
    <x v="0"/>
    <x v="0"/>
    <n v="1"/>
    <n v="1"/>
    <d v="2025-10-22T00:00:00"/>
    <d v="2025-10-22T00:00:00"/>
    <n v="11"/>
    <s v="9-12 Months"/>
    <s v="NO APLICA"/>
    <s v="NO APLICA"/>
    <x v="1"/>
    <n v="3102717335"/>
    <s v="OK LINEA"/>
    <s v="NO APLICA"/>
    <d v="1996-11-26T00:00:00"/>
    <n v="29"/>
    <s v="FEMENINO"/>
  </r>
  <r>
    <x v="0"/>
    <x v="0"/>
    <x v="0"/>
    <s v="1035428765"/>
    <s v="CORREA PINEDO JOHN EDISON"/>
    <x v="6"/>
    <x v="2"/>
    <x v="2"/>
    <s v="NO APLICA"/>
    <x v="0"/>
    <s v="NO APLICA"/>
    <x v="0"/>
    <x v="0"/>
    <s v="NO APLICA"/>
    <x v="2"/>
    <s v="ANTIOQUIA"/>
    <x v="2"/>
    <s v="NO APLICA"/>
    <s v="ROMERO ARENAS DANNY MAURICIO"/>
    <x v="0"/>
    <x v="0"/>
    <n v="1"/>
    <n v="1"/>
    <d v="2025-06-03T00:00:00"/>
    <d v="2012-03-02T00:00:00"/>
    <n v="175"/>
    <s v="+24 Mounths"/>
    <s v="NO APLICA"/>
    <s v="NO APLICA"/>
    <x v="0"/>
    <n v="3102714520"/>
    <s v="OK LINEA"/>
    <s v="NO APLICA"/>
    <d v="1992-11-21T00:00:00"/>
    <n v="33"/>
    <s v="MASCULINO"/>
  </r>
  <r>
    <x v="0"/>
    <x v="0"/>
    <x v="0"/>
    <s v="1012383841"/>
    <s v="GARCIA BUITRAGO KELYN VIVIANA"/>
    <x v="7"/>
    <x v="3"/>
    <x v="2"/>
    <s v="NO APLICA"/>
    <x v="0"/>
    <s v="NO APLICA"/>
    <x v="0"/>
    <x v="0"/>
    <s v="NO APLICA"/>
    <x v="0"/>
    <s v="CUNDINAMARCA"/>
    <x v="0"/>
    <s v="NO APLICA"/>
    <s v="PASTUSO ACHICUE CLAUDIA PATRICIA"/>
    <x v="0"/>
    <x v="7"/>
    <n v="1"/>
    <n v="1"/>
    <d v="2025-01-02T00:00:00"/>
    <d v="2025-01-02T00:00:00"/>
    <n v="21"/>
    <s v="12-24 Months"/>
    <s v="NO APLICA"/>
    <s v="NO APLICA"/>
    <x v="0"/>
    <n v="3102710737"/>
    <s v="OK LINEA"/>
    <s v="NO APLICA"/>
    <s v="NO APLICA"/>
    <s v="NO APLICA"/>
    <s v="FEMENINO"/>
  </r>
  <r>
    <x v="0"/>
    <x v="0"/>
    <x v="0"/>
    <s v="1006515144"/>
    <s v="PEÑA GARCIA JOINER ALEXIS"/>
    <x v="8"/>
    <x v="4"/>
    <x v="2"/>
    <s v="NO APLICA"/>
    <x v="0"/>
    <s v="NO APLICA"/>
    <x v="0"/>
    <x v="0"/>
    <s v="NO APLICA"/>
    <x v="0"/>
    <s v="CUNDINAMARCA"/>
    <x v="0"/>
    <s v="NO APLICA"/>
    <s v="PASTUSO ACHICUE CLAUDIA PATRICIA"/>
    <x v="0"/>
    <x v="0"/>
    <n v="1"/>
    <n v="1"/>
    <d v="2026-08-14T00:00:00"/>
    <d v="2021-08-25T00:00:00"/>
    <n v="61"/>
    <s v="+24 Mounths"/>
    <s v="NO APLICA"/>
    <s v="NO APLICA"/>
    <x v="0"/>
    <n v="3102691909"/>
    <s v="OK LINEA"/>
    <s v="NO APLICA"/>
    <d v="1999-07-27T00:00:00"/>
    <n v="27"/>
    <s v="MASCULINO"/>
  </r>
  <r>
    <x v="0"/>
    <x v="0"/>
    <x v="0"/>
    <s v="1036617104"/>
    <s v="LOPEZ PALACIO PABLO EMILIO"/>
    <x v="8"/>
    <x v="4"/>
    <x v="2"/>
    <s v="NO APLICA"/>
    <x v="0"/>
    <s v="NO APLICA"/>
    <x v="0"/>
    <x v="0"/>
    <s v="NO APLICA"/>
    <x v="2"/>
    <s v="ANTIOQUIA"/>
    <x v="2"/>
    <s v="NO APLICA"/>
    <s v="ROMERO ARENAS DANNY MAURICIO"/>
    <x v="0"/>
    <x v="0"/>
    <n v="1"/>
    <n v="1"/>
    <d v="2025-01-02T00:00:00"/>
    <d v="2025-01-02T00:00:00"/>
    <n v="21"/>
    <s v="12-24 Months"/>
    <s v="NO APLICA"/>
    <s v="NO APLICA"/>
    <x v="1"/>
    <n v="3102712400"/>
    <s v="OK LINEA"/>
    <s v="NO APLICA"/>
    <d v="1988-08-17T00:00:00"/>
    <n v="38"/>
    <s v="MASCULINO"/>
  </r>
  <r>
    <x v="0"/>
    <x v="0"/>
    <x v="0"/>
    <s v="80188369"/>
    <s v="GAVIRIA FERRO DIEGO MAURICIO"/>
    <x v="8"/>
    <x v="4"/>
    <x v="2"/>
    <s v="NO APLICA"/>
    <x v="0"/>
    <s v="NO APLICA"/>
    <x v="0"/>
    <x v="0"/>
    <s v="NO APLICA"/>
    <x v="0"/>
    <s v="CUNDINAMARCA"/>
    <x v="0"/>
    <s v="NO APLICA"/>
    <s v="PASTUSO ACHICUE CLAUDIA PATRICIA"/>
    <x v="0"/>
    <x v="0"/>
    <n v="1"/>
    <n v="1"/>
    <d v="2025-04-24T00:00:00"/>
    <d v="2025-01-02T00:00:00"/>
    <n v="21"/>
    <s v="12-24 Months"/>
    <s v="NO APLICA"/>
    <s v="NO APLICA"/>
    <x v="1"/>
    <n v="3102639803"/>
    <s v="OK LINEA"/>
    <s v="NO APLICA"/>
    <d v="1983-12-15T00:00:00"/>
    <n v="42"/>
    <s v="MASCULINO"/>
  </r>
  <r>
    <x v="0"/>
    <x v="0"/>
    <x v="0"/>
    <s v="72274366"/>
    <s v="PRENT SAMPAYO ANDERSON GUILLERMO"/>
    <x v="9"/>
    <x v="4"/>
    <x v="2"/>
    <s v="NO APLICA"/>
    <x v="0"/>
    <s v="NO APLICA"/>
    <x v="0"/>
    <x v="0"/>
    <s v="NO APLICA"/>
    <x v="3"/>
    <s v="ATLANTICO"/>
    <x v="3"/>
    <s v="NO APLICA"/>
    <s v="GRANADOS NAVARRO YEFERSON ORLANDO"/>
    <x v="0"/>
    <x v="0"/>
    <n v="1"/>
    <n v="1"/>
    <d v="2025-01-02T00:00:00"/>
    <d v="2025-01-02T00:00:00"/>
    <n v="21"/>
    <s v="12-24 Months"/>
    <s v="NO APLICA"/>
    <s v="NO APLICA"/>
    <x v="1"/>
    <n v="3102718034"/>
    <s v="OK LINEA"/>
    <s v="NO APLICA"/>
    <d v="1982-08-18T00:00:00"/>
    <n v="44"/>
    <s v="MASCULINO"/>
  </r>
  <r>
    <x v="0"/>
    <x v="0"/>
    <x v="0"/>
    <s v="1143843349"/>
    <s v="ALVAREZ LONDOÑO JOHNNY"/>
    <x v="10"/>
    <x v="4"/>
    <x v="2"/>
    <s v="NO APLICA"/>
    <x v="0"/>
    <s v="NO APLICA"/>
    <x v="0"/>
    <x v="0"/>
    <s v="NO APLICA"/>
    <x v="4"/>
    <s v="VALLE DEL CAUCA"/>
    <x v="4"/>
    <s v="NO APLICA"/>
    <s v="ROMERO ARENAS DANNY MAURICIO"/>
    <x v="0"/>
    <x v="0"/>
    <n v="1"/>
    <n v="1"/>
    <d v="2025-01-02T00:00:00"/>
    <d v="2025-01-02T00:00:00"/>
    <n v="21"/>
    <s v="12-24 Months"/>
    <s v="NO APLICA"/>
    <s v="NO APLICA"/>
    <x v="1"/>
    <n v="3102628927"/>
    <s v="OK LINEA"/>
    <s v="NO APLICA"/>
    <d v="1992-04-29T00:00:00"/>
    <n v="34"/>
    <s v="MASCULINO"/>
  </r>
  <r>
    <x v="0"/>
    <x v="0"/>
    <x v="0"/>
    <s v="1010210279"/>
    <s v="RAMIREZ ANGULO JUAN SEBASTIAN"/>
    <x v="11"/>
    <x v="4"/>
    <x v="2"/>
    <s v="NO APLICA"/>
    <x v="0"/>
    <s v="NO APLICA"/>
    <x v="0"/>
    <x v="0"/>
    <s v="NO APLICA"/>
    <x v="0"/>
    <s v="CUNDINAMARCA"/>
    <x v="0"/>
    <s v="NO APLICA"/>
    <s v="PASTUSO ACHICUE CLAUDIA PATRICIA"/>
    <x v="0"/>
    <x v="0"/>
    <n v="1"/>
    <n v="1"/>
    <d v="2025-01-02T00:00:00"/>
    <d v="2025-01-02T00:00:00"/>
    <n v="21"/>
    <s v="12-24 Months"/>
    <s v="NO APLICA"/>
    <s v="NO APLICA"/>
    <x v="1"/>
    <n v="3102712755"/>
    <s v="OK LINEA"/>
    <s v="NO APLICA"/>
    <d v="1993-09-05T00:00:00"/>
    <n v="33"/>
    <s v="MASCULINO"/>
  </r>
  <r>
    <x v="0"/>
    <x v="0"/>
    <x v="0"/>
    <s v="41960973"/>
    <s v="VEGA HERREÑO DIANA PATRICIA"/>
    <x v="12"/>
    <x v="5"/>
    <x v="2"/>
    <s v="C813_00000000006505"/>
    <x v="197"/>
    <s v="AV BOLIVAR # 6-02 LOCAL 117 ARMENIA QUINDIO"/>
    <x v="1"/>
    <x v="10"/>
    <s v="HIPERMERCADO"/>
    <x v="44"/>
    <s v="QUINDIO"/>
    <x v="5"/>
    <s v="ALVAREZ LONDOÑO JOHNNY"/>
    <s v="ROMERO ARENAS DANNY MAURICIO"/>
    <x v="7"/>
    <x v="1"/>
    <n v="1"/>
    <n v="0.1111111111111111"/>
    <d v="2025-01-20T00:00:00"/>
    <d v="2025-01-20T00:00:00"/>
    <n v="20"/>
    <s v="12-24 Months"/>
    <s v="A"/>
    <s v="B"/>
    <x v="1"/>
    <n v="3102626594"/>
    <s v="OK LINEA"/>
    <s v="SI"/>
    <d v="1985-01-09T00:00:00"/>
    <n v="41"/>
    <s v="FEMENINO"/>
  </r>
  <r>
    <x v="0"/>
    <x v="0"/>
    <x v="0"/>
    <s v="41960973"/>
    <s v="VEGA HERREÑO DIANA PATRICIA"/>
    <x v="12"/>
    <x v="5"/>
    <x v="2"/>
    <s v="C813_00000000004400"/>
    <x v="131"/>
    <s v="CRA 16 # 24-02 LOCAL 15 CENTRO COMERCIAL ÚNICO DOSQUEBRADAS"/>
    <x v="1"/>
    <x v="10"/>
    <s v="HIPERMERCADO"/>
    <x v="35"/>
    <s v="RISARALDA"/>
    <x v="5"/>
    <s v="ALVAREZ LONDOÑO JOHNNY"/>
    <s v="ROMERO ARENAS DANNY MAURICIO"/>
    <x v="7"/>
    <x v="1"/>
    <n v="0"/>
    <n v="0.1111111111111111"/>
    <d v="2025-01-20T00:00:00"/>
    <d v="2025-01-20T00:00:00"/>
    <n v="20"/>
    <s v="12-24 Months"/>
    <s v="C"/>
    <s v="D"/>
    <x v="1"/>
    <n v="3102626594"/>
    <s v="OK LINEA"/>
    <s v="SI"/>
    <d v="1985-01-09T00:00:00"/>
    <n v="41"/>
    <s v="FEMENINO"/>
  </r>
  <r>
    <x v="0"/>
    <x v="0"/>
    <x v="0"/>
    <s v="41960973"/>
    <s v="VEGA HERREÑO DIANA PATRICIA"/>
    <x v="12"/>
    <x v="5"/>
    <x v="2"/>
    <s v="C813_00000000006481"/>
    <x v="233"/>
    <s v="CALLE 34 #2-45 LOCAL L1 103"/>
    <x v="1"/>
    <x v="10"/>
    <s v="HIPERMERCADO"/>
    <x v="53"/>
    <s v="VALLE DEL CAUCA"/>
    <x v="5"/>
    <s v="ALVAREZ LONDOÑO JOHNNY"/>
    <s v="ROMERO ARENAS DANNY MAURICIO"/>
    <x v="7"/>
    <x v="1"/>
    <n v="0"/>
    <n v="0.1111111111111111"/>
    <d v="2025-01-20T00:00:00"/>
    <d v="2025-01-20T00:00:00"/>
    <n v="20"/>
    <s v="12-24 Months"/>
    <s v="C"/>
    <s v="B"/>
    <x v="1"/>
    <n v="3102626594"/>
    <s v="OK LINEA"/>
    <s v="SI"/>
    <d v="1985-01-09T00:00:00"/>
    <n v="41"/>
    <s v="FEMENINO"/>
  </r>
  <r>
    <x v="0"/>
    <x v="0"/>
    <x v="0"/>
    <s v="41960973"/>
    <s v="VEGA HERREÑO DIANA PATRICIA"/>
    <x v="12"/>
    <x v="5"/>
    <x v="2"/>
    <s v="C813_00000000000297"/>
    <x v="10"/>
    <s v="AV AMERICAS # 46-03 PEREIRA RISARALDA"/>
    <x v="1"/>
    <x v="2"/>
    <s v="HIPERMERCADO"/>
    <x v="5"/>
    <s v="RISARALDA"/>
    <x v="5"/>
    <s v="ALVAREZ LONDOÑO JOHNNY"/>
    <s v="ROMERO ARENAS DANNY MAURICIO"/>
    <x v="7"/>
    <x v="1"/>
    <n v="0"/>
    <n v="0.1111111111111111"/>
    <d v="2025-01-20T00:00:00"/>
    <d v="2025-01-20T00:00:00"/>
    <n v="20"/>
    <s v="12-24 Months"/>
    <s v="A"/>
    <s v="A"/>
    <x v="1"/>
    <n v="3102626594"/>
    <s v="OK LINEA"/>
    <s v="SI"/>
    <d v="1985-01-09T00:00:00"/>
    <n v="41"/>
    <s v="FEMENINO"/>
  </r>
  <r>
    <x v="0"/>
    <x v="0"/>
    <x v="0"/>
    <s v="41960973"/>
    <s v="VEGA HERREÑO DIANA PATRICIA"/>
    <x v="12"/>
    <x v="5"/>
    <x v="2"/>
    <s v="C813_00000000000785"/>
    <x v="107"/>
    <s v="CRA 20 # 34-18 CENTRO COMERCIAL FUNDADORES MANIZALES CALDAS"/>
    <x v="2"/>
    <x v="3"/>
    <s v="HIPERMERCADO"/>
    <x v="8"/>
    <s v="CALDAS"/>
    <x v="5"/>
    <s v="ALVAREZ LONDOÑO JOHNNY"/>
    <s v="ROMERO ARENAS DANNY MAURICIO"/>
    <x v="7"/>
    <x v="2"/>
    <n v="0"/>
    <n v="0.1111111111111111"/>
    <d v="2025-01-20T00:00:00"/>
    <d v="2025-01-20T00:00:00"/>
    <n v="20"/>
    <s v="12-24 Months"/>
    <s v="A"/>
    <s v="A"/>
    <x v="1"/>
    <n v="3102626594"/>
    <s v="OK LINEA"/>
    <s v="SI"/>
    <d v="1985-01-09T00:00:00"/>
    <n v="41"/>
    <s v="FEMENINO"/>
  </r>
  <r>
    <x v="0"/>
    <x v="0"/>
    <x v="0"/>
    <s v="41960973"/>
    <s v="VEGA HERREÑO DIANA PATRICIA"/>
    <x v="12"/>
    <x v="5"/>
    <x v="2"/>
    <s v="C813_00000000000688"/>
    <x v="21"/>
    <s v="CRA 10 # 14-71 PEREIRA RISARALDA"/>
    <x v="2"/>
    <x v="3"/>
    <s v="HIPERMERCADO"/>
    <x v="5"/>
    <s v="RISARALDA"/>
    <x v="5"/>
    <s v="ALVAREZ LONDOÑO JOHNNY"/>
    <s v="ROMERO ARENAS DANNY MAURICIO"/>
    <x v="7"/>
    <x v="2"/>
    <n v="0"/>
    <n v="0.1111111111111111"/>
    <d v="2025-01-20T00:00:00"/>
    <d v="2025-01-20T00:00:00"/>
    <n v="20"/>
    <s v="12-24 Months"/>
    <s v="B"/>
    <s v="B"/>
    <x v="1"/>
    <n v="3102626594"/>
    <s v="OK LINEA"/>
    <s v="SI"/>
    <d v="1985-01-09T00:00:00"/>
    <n v="41"/>
    <s v="FEMENINO"/>
  </r>
  <r>
    <x v="0"/>
    <x v="0"/>
    <x v="0"/>
    <s v="41960973"/>
    <s v="VEGA HERREÑO DIANA PATRICIA"/>
    <x v="12"/>
    <x v="5"/>
    <x v="2"/>
    <s v="C813_00000000001062"/>
    <x v="259"/>
    <s v="CRA 14 # 14-34 (CENTRO COMERCIAL UNICENTRO)  ARMENIA QUINDIO"/>
    <x v="2"/>
    <x v="3"/>
    <s v="HIPERMERCADO"/>
    <x v="44"/>
    <s v="QUINDIO"/>
    <x v="5"/>
    <s v="ALVAREZ LONDOÑO JOHNNY"/>
    <s v="ROMERO ARENAS DANNY MAURICIO"/>
    <x v="7"/>
    <x v="2"/>
    <n v="0"/>
    <n v="0.1111111111111111"/>
    <d v="2025-01-20T00:00:00"/>
    <d v="2025-01-20T00:00:00"/>
    <n v="20"/>
    <s v="12-24 Months"/>
    <s v="A"/>
    <s v="A"/>
    <x v="1"/>
    <n v="3102626594"/>
    <s v="OK LINEA"/>
    <s v="SI"/>
    <d v="1985-01-09T00:00:00"/>
    <n v="41"/>
    <s v="FEMENINO"/>
  </r>
  <r>
    <x v="0"/>
    <x v="0"/>
    <x v="0"/>
    <s v="41960973"/>
    <s v="VEGA HERREÑO DIANA PATRICIA"/>
    <x v="12"/>
    <x v="5"/>
    <x v="2"/>
    <s v="C813_00000000006274"/>
    <x v="50"/>
    <s v="CRA 14 # 56D-1 MANIZALES CALDAS"/>
    <x v="6"/>
    <x v="7"/>
    <s v="HIPERMERCADO"/>
    <x v="8"/>
    <s v="CALDAS"/>
    <x v="5"/>
    <s v="ALVAREZ LONDOÑO JOHNNY"/>
    <s v="ROMERO ARENAS DANNY MAURICIO"/>
    <x v="7"/>
    <x v="5"/>
    <n v="0"/>
    <n v="0.1111111111111111"/>
    <d v="2025-01-20T00:00:00"/>
    <d v="2025-01-20T00:00:00"/>
    <n v="20"/>
    <s v="12-24 Months"/>
    <s v="C"/>
    <s v="C"/>
    <x v="1"/>
    <n v="3102626594"/>
    <s v="OK LINEA"/>
    <s v="NO"/>
    <d v="1985-01-09T00:00:00"/>
    <n v="41"/>
    <s v="FEMENINO"/>
  </r>
  <r>
    <x v="0"/>
    <x v="0"/>
    <x v="0"/>
    <s v="41960973"/>
    <s v="VEGA HERREÑO DIANA PATRICIA"/>
    <x v="12"/>
    <x v="5"/>
    <x v="2"/>
    <s v="C813_00000000006278"/>
    <x v="16"/>
    <s v="AV KEVIN ANGEL # 55D-251 MANIZALES CALDAS"/>
    <x v="1"/>
    <x v="1"/>
    <s v="HIPERMERCADO"/>
    <x v="8"/>
    <s v="CALDAS"/>
    <x v="5"/>
    <s v="ALVAREZ LONDOÑO JOHNNY"/>
    <s v="ROMERO ARENAS DANNY MAURICIO"/>
    <x v="7"/>
    <x v="1"/>
    <n v="0"/>
    <n v="0.1111111111111111"/>
    <d v="2025-01-20T00:00:00"/>
    <d v="2025-01-20T00:00:00"/>
    <n v="20"/>
    <s v="12-24 Months"/>
    <s v="C"/>
    <s v="A"/>
    <x v="1"/>
    <n v="3102626594"/>
    <s v="OK LINEA"/>
    <s v="SI"/>
    <d v="1985-01-09T00:00:00"/>
    <n v="41"/>
    <s v="FEMENINO"/>
  </r>
  <r>
    <x v="0"/>
    <x v="0"/>
    <x v="0"/>
    <s v="1019093142"/>
    <s v="OLAYA GUERRERO JUAN DAVID"/>
    <x v="12"/>
    <x v="5"/>
    <x v="2"/>
    <s v="C813_00000000000282"/>
    <x v="17"/>
    <s v="AK 68 # 72-43 BOGOTA"/>
    <x v="1"/>
    <x v="2"/>
    <s v="HIPERMERCADO"/>
    <x v="0"/>
    <s v="CUNDINAMARCA"/>
    <x v="0"/>
    <s v="PEÑA GARCIA JOINER ALEXIS"/>
    <s v="PASTUSO ACHICUE CLAUDIA PATRICIA"/>
    <x v="1"/>
    <x v="1"/>
    <n v="1"/>
    <n v="0.1111111111111111"/>
    <d v="2025-01-02T00:00:00"/>
    <d v="2021-03-27T00:00:00"/>
    <n v="66"/>
    <s v="+24 Mounths"/>
    <s v="A"/>
    <s v="A"/>
    <x v="0"/>
    <n v="3102712507"/>
    <s v="OK LINEA"/>
    <s v="SI"/>
    <d v="1994-03-25T00:00:00"/>
    <n v="32"/>
    <s v="MASCULINO"/>
  </r>
  <r>
    <x v="0"/>
    <x v="0"/>
    <x v="0"/>
    <s v="1019093142"/>
    <s v="OLAYA GUERRERO JUAN DAVID"/>
    <x v="12"/>
    <x v="5"/>
    <x v="2"/>
    <s v="C813_00000000000281"/>
    <x v="4"/>
    <s v="CRA 69 # 170-15 BOGOTA"/>
    <x v="1"/>
    <x v="2"/>
    <s v="HIPERMERCADO"/>
    <x v="0"/>
    <s v="CUNDINAMARCA"/>
    <x v="0"/>
    <s v="PEÑA GARCIA JOINER ALEXIS"/>
    <s v="PASTUSO ACHICUE CLAUDIA PATRICIA"/>
    <x v="1"/>
    <x v="1"/>
    <n v="0"/>
    <n v="0.1111111111111111"/>
    <d v="2025-01-02T00:00:00"/>
    <d v="2021-03-27T00:00:00"/>
    <n v="66"/>
    <s v="+24 Mounths"/>
    <s v="A"/>
    <s v="A"/>
    <x v="0"/>
    <n v="3102712507"/>
    <s v="OK LINEA"/>
    <s v="SI"/>
    <d v="1994-03-25T00:00:00"/>
    <n v="32"/>
    <s v="MASCULINO"/>
  </r>
  <r>
    <x v="0"/>
    <x v="0"/>
    <x v="0"/>
    <s v="1019093142"/>
    <s v="OLAYA GUERRERO JUAN DAVID"/>
    <x v="12"/>
    <x v="5"/>
    <x v="2"/>
    <s v="C813_00000000006464"/>
    <x v="149"/>
    <s v="AVENIDA BOYACA  # 72 # 12B -18 BOGOTA"/>
    <x v="1"/>
    <x v="2"/>
    <s v="HIPERMERCADO"/>
    <x v="0"/>
    <s v="CUNDINAMARCA"/>
    <x v="0"/>
    <s v="PEÑA GARCIA JOINER ALEXIS"/>
    <s v="PASTUSO ACHICUE CLAUDIA PATRICIA"/>
    <x v="1"/>
    <x v="1"/>
    <n v="0"/>
    <n v="0.1111111111111111"/>
    <d v="2025-01-02T00:00:00"/>
    <d v="2021-03-27T00:00:00"/>
    <n v="66"/>
    <s v="+24 Mounths"/>
    <s v="A"/>
    <s v="A"/>
    <x v="0"/>
    <n v="3102712507"/>
    <s v="OK LINEA"/>
    <s v="SI"/>
    <d v="1994-03-25T00:00:00"/>
    <n v="32"/>
    <s v="MASCULINO"/>
  </r>
  <r>
    <x v="0"/>
    <x v="0"/>
    <x v="0"/>
    <s v="1019093142"/>
    <s v="OLAYA GUERRERO JUAN DAVID"/>
    <x v="12"/>
    <x v="5"/>
    <x v="2"/>
    <s v="C813_00000000000292"/>
    <x v="1"/>
    <s v="CALLE 94 # 15-14 BOGOTA CUNDINAMARCA"/>
    <x v="1"/>
    <x v="1"/>
    <s v="HIPERMERCADO"/>
    <x v="0"/>
    <s v="CUNDINAMARCA"/>
    <x v="0"/>
    <s v="PEÑA GARCIA JOINER ALEXIS"/>
    <s v="PASTUSO ACHICUE CLAUDIA PATRICIA"/>
    <x v="1"/>
    <x v="1"/>
    <n v="0"/>
    <n v="0.1111111111111111"/>
    <d v="2025-01-02T00:00:00"/>
    <d v="2021-03-27T00:00:00"/>
    <n v="66"/>
    <s v="+24 Mounths"/>
    <s v="C"/>
    <s v="C"/>
    <x v="0"/>
    <n v="3102712507"/>
    <s v="OK LINEA"/>
    <s v="SI"/>
    <d v="1994-03-25T00:00:00"/>
    <n v="32"/>
    <s v="MASCULINO"/>
  </r>
  <r>
    <x v="0"/>
    <x v="0"/>
    <x v="0"/>
    <s v="1019093142"/>
    <s v="OLAYA GUERRERO JUAN DAVID"/>
    <x v="12"/>
    <x v="5"/>
    <x v="2"/>
    <s v="C813_00000000006933"/>
    <x v="148"/>
    <s v="MALLPLAZA NQS, AV CIUDAD DE LIMA #28 – 80 LOCAL B-65, BOGOTÁ"/>
    <x v="1"/>
    <x v="1"/>
    <s v="HIPERMERCADO"/>
    <x v="0"/>
    <s v="CUNDINAMARCA"/>
    <x v="0"/>
    <s v="PEÑA GARCIA JOINER ALEXIS"/>
    <s v="PASTUSO ACHICUE CLAUDIA PATRICIA"/>
    <x v="1"/>
    <x v="1"/>
    <n v="0"/>
    <n v="0.1111111111111111"/>
    <d v="2025-01-02T00:00:00"/>
    <d v="2021-03-27T00:00:00"/>
    <n v="66"/>
    <s v="+24 Mounths"/>
    <s v="C"/>
    <s v="C"/>
    <x v="0"/>
    <n v="3102712507"/>
    <s v="OK LINEA"/>
    <s v="SI"/>
    <d v="1994-03-25T00:00:00"/>
    <n v="32"/>
    <s v="MASCULINO"/>
  </r>
  <r>
    <x v="0"/>
    <x v="0"/>
    <x v="0"/>
    <s v="1019093142"/>
    <s v="OLAYA GUERRERO JUAN DAVID"/>
    <x v="12"/>
    <x v="5"/>
    <x v="2"/>
    <s v="C813_00000000004415"/>
    <x v="13"/>
    <s v="KM 25 VÍA CHÍA CAJICÁ COSTADO ORIENTAL LC 2 - 49B CC FONTANAR"/>
    <x v="1"/>
    <x v="1"/>
    <s v="HIPERMERCADO"/>
    <x v="7"/>
    <s v="CUNDINAMARCA"/>
    <x v="0"/>
    <s v="PEÑA GARCIA JOINER ALEXIS"/>
    <s v="PASTUSO ACHICUE CLAUDIA PATRICIA"/>
    <x v="1"/>
    <x v="1"/>
    <n v="0"/>
    <n v="0.1111111111111111"/>
    <d v="2025-01-02T00:00:00"/>
    <d v="2021-03-27T00:00:00"/>
    <n v="66"/>
    <s v="+24 Mounths"/>
    <s v="C"/>
    <s v="A"/>
    <x v="0"/>
    <n v="3102712507"/>
    <s v="OK LINEA"/>
    <s v="SI"/>
    <d v="1994-03-25T00:00:00"/>
    <n v="32"/>
    <s v="MASCULINO"/>
  </r>
  <r>
    <x v="0"/>
    <x v="0"/>
    <x v="0"/>
    <s v="1019093142"/>
    <s v="OLAYA GUERRERO JUAN DAVID"/>
    <x v="12"/>
    <x v="5"/>
    <x v="2"/>
    <s v="C813_00000000000291"/>
    <x v="2"/>
    <s v="CARRERA  68 B # 25B-80 BOGOTA CUNDINAMARCA"/>
    <x v="1"/>
    <x v="1"/>
    <s v="HIPERMERCADO"/>
    <x v="0"/>
    <s v="CUNDINAMARCA"/>
    <x v="0"/>
    <s v="PEÑA GARCIA JOINER ALEXIS"/>
    <s v="PASTUSO ACHICUE CLAUDIA PATRICIA"/>
    <x v="1"/>
    <x v="1"/>
    <n v="0"/>
    <n v="0.1111111111111111"/>
    <d v="2025-01-02T00:00:00"/>
    <d v="2021-03-27T00:00:00"/>
    <n v="66"/>
    <s v="+24 Mounths"/>
    <s v="C"/>
    <s v="A"/>
    <x v="0"/>
    <n v="3102712507"/>
    <s v="OK LINEA"/>
    <s v="SI"/>
    <d v="1994-03-25T00:00:00"/>
    <n v="32"/>
    <s v="MASCULINO"/>
  </r>
  <r>
    <x v="0"/>
    <x v="0"/>
    <x v="0"/>
    <s v="1019093142"/>
    <s v="OLAYA GUERRERO JUAN DAVID"/>
    <x v="12"/>
    <x v="5"/>
    <x v="2"/>
    <s v="C813_00000000000295"/>
    <x v="76"/>
    <s v="TRANVERSAL 91 # 135-56 BOGOTA CUNDINAMARCA"/>
    <x v="1"/>
    <x v="1"/>
    <s v="HIPERMERCADO"/>
    <x v="0"/>
    <s v="CUNDINAMARCA"/>
    <x v="0"/>
    <s v="PEÑA GARCIA JOINER ALEXIS"/>
    <s v="PASTUSO ACHICUE CLAUDIA PATRICIA"/>
    <x v="1"/>
    <x v="1"/>
    <n v="0"/>
    <n v="0.1111111111111111"/>
    <d v="2025-01-02T00:00:00"/>
    <d v="2021-03-27T00:00:00"/>
    <n v="66"/>
    <s v="+24 Mounths"/>
    <s v="D"/>
    <s v="B"/>
    <x v="0"/>
    <n v="3102712507"/>
    <s v="OK LINEA"/>
    <s v="SI"/>
    <d v="1994-03-25T00:00:00"/>
    <n v="32"/>
    <s v="MASCULINO"/>
  </r>
  <r>
    <x v="0"/>
    <x v="0"/>
    <x v="0"/>
    <s v="1019093142"/>
    <s v="OLAYA GUERRERO JUAN DAVID"/>
    <x v="12"/>
    <x v="5"/>
    <x v="2"/>
    <s v="C813_00000000004678"/>
    <x v="9"/>
    <s v="CARRERA 15 # 123-08 BOGOTA CUNDINAMARCA"/>
    <x v="1"/>
    <x v="1"/>
    <s v="HIPERMERCADO"/>
    <x v="0"/>
    <s v="CUNDINAMARCA"/>
    <x v="0"/>
    <s v="PEÑA GARCIA JOINER ALEXIS"/>
    <s v="PASTUSO ACHICUE CLAUDIA PATRICIA"/>
    <x v="1"/>
    <x v="1"/>
    <n v="0"/>
    <n v="0.1111111111111111"/>
    <d v="2025-01-02T00:00:00"/>
    <d v="2021-03-27T00:00:00"/>
    <n v="66"/>
    <s v="+24 Mounths"/>
    <s v="C"/>
    <s v="A"/>
    <x v="0"/>
    <n v="3102712507"/>
    <s v="OK LINEA"/>
    <s v="SI"/>
    <d v="1994-03-25T00:00:00"/>
    <n v="32"/>
    <s v="MASCULINO"/>
  </r>
  <r>
    <x v="0"/>
    <x v="0"/>
    <x v="0"/>
    <s v="1143424569"/>
    <s v="MORENO GONZALEZ MILENA BEATRIZ"/>
    <x v="12"/>
    <x v="5"/>
    <x v="2"/>
    <s v="C813_00000000006491"/>
    <x v="262"/>
    <s v="CARRERA 55 # 98A-15 CENTRO COMERCIAL MALL PLAZA BUENAVISTA"/>
    <x v="6"/>
    <x v="7"/>
    <s v="HIPERMERCADO"/>
    <x v="3"/>
    <s v="ATLANTICO"/>
    <x v="3"/>
    <s v="PRENT SAMPAYO ANDERSON GUILLERMO"/>
    <s v="GRANADOS NAVARRO YEFERSON ORLANDO"/>
    <x v="11"/>
    <x v="5"/>
    <n v="1"/>
    <n v="8.3333333333333329E-2"/>
    <d v="2025-01-02T00:00:00"/>
    <d v="2015-10-01T00:00:00"/>
    <n v="132"/>
    <s v="+24 Mounths"/>
    <s v="A"/>
    <s v="C"/>
    <x v="0"/>
    <n v="3102712358"/>
    <s v="OK LINEA"/>
    <s v="SI"/>
    <d v="1989-10-16T00:00:00"/>
    <n v="37"/>
    <s v="FEMENINO"/>
  </r>
  <r>
    <x v="0"/>
    <x v="0"/>
    <x v="0"/>
    <s v="1143424569"/>
    <s v="MORENO GONZALEZ MILENA BEATRIZ"/>
    <x v="12"/>
    <x v="5"/>
    <x v="2"/>
    <s v="C813_00000000001103"/>
    <x v="216"/>
    <s v="CRA 13 # 31-45 CHAMBACU CENTRO COMERCIAL MALL PLAZA CARTAGENA DE INDIAS BOLIVAR"/>
    <x v="6"/>
    <x v="7"/>
    <s v="HIPERMERCADO"/>
    <x v="31"/>
    <s v="BOLIVAR"/>
    <x v="3"/>
    <s v="PRENT SAMPAYO ANDERSON GUILLERMO"/>
    <s v="GRANADOS NAVARRO YEFERSON ORLANDO"/>
    <x v="11"/>
    <x v="5"/>
    <n v="0"/>
    <n v="8.3333333333333329E-2"/>
    <d v="2025-01-02T00:00:00"/>
    <d v="2015-10-01T00:00:00"/>
    <n v="132"/>
    <s v="+24 Mounths"/>
    <s v="A"/>
    <s v="C"/>
    <x v="0"/>
    <n v="3102712358"/>
    <s v="OK LINEA"/>
    <s v="SI"/>
    <d v="1989-10-16T00:00:00"/>
    <n v="37"/>
    <s v="FEMENINO"/>
  </r>
  <r>
    <x v="0"/>
    <x v="0"/>
    <x v="0"/>
    <s v="1143424569"/>
    <s v="MORENO GONZALEZ MILENA BEATRIZ"/>
    <x v="12"/>
    <x v="5"/>
    <x v="2"/>
    <s v="C813_00000000004386"/>
    <x v="225"/>
    <s v="CARRERA  53 # 99-160 BARRANQUILLA  ATLANTICO"/>
    <x v="9"/>
    <x v="16"/>
    <s v="HIPERMERCADO"/>
    <x v="3"/>
    <s v="ATLANTICO"/>
    <x v="3"/>
    <s v="PRENT SAMPAYO ANDERSON GUILLERMO"/>
    <s v="GRANADOS NAVARRO YEFERSON ORLANDO"/>
    <x v="11"/>
    <x v="4"/>
    <n v="0"/>
    <n v="8.3333333333333329E-2"/>
    <d v="2025-01-02T00:00:00"/>
    <d v="2015-10-01T00:00:00"/>
    <n v="132"/>
    <s v="+24 Mounths"/>
    <s v="D"/>
    <s v="D"/>
    <x v="0"/>
    <n v="3102712358"/>
    <s v="OK LINEA"/>
    <s v="SI"/>
    <d v="1989-10-16T00:00:00"/>
    <n v="37"/>
    <s v="FEMENINO"/>
  </r>
  <r>
    <x v="0"/>
    <x v="0"/>
    <x v="0"/>
    <s v="1143424569"/>
    <s v="MORENO GONZALEZ MILENA BEATRIZ"/>
    <x v="12"/>
    <x v="5"/>
    <x v="2"/>
    <s v="C813_00000000004391"/>
    <x v="96"/>
    <s v="CARRERA 35 #29A - 355 SANTA MARTA"/>
    <x v="9"/>
    <x v="16"/>
    <s v="HIPERMERCADO"/>
    <x v="18"/>
    <s v="MAGDALENA"/>
    <x v="3"/>
    <s v="PRENT SAMPAYO ANDERSON GUILLERMO"/>
    <s v="GRANADOS NAVARRO YEFERSON ORLANDO"/>
    <x v="11"/>
    <x v="4"/>
    <n v="0"/>
    <n v="8.3333333333333329E-2"/>
    <d v="2025-01-02T00:00:00"/>
    <d v="2015-10-01T00:00:00"/>
    <n v="132"/>
    <s v="+24 Mounths"/>
    <s v="B"/>
    <s v="B"/>
    <x v="0"/>
    <n v="3102712358"/>
    <s v="OK LINEA"/>
    <s v="SI"/>
    <d v="1989-10-16T00:00:00"/>
    <n v="37"/>
    <s v="FEMENINO"/>
  </r>
  <r>
    <x v="0"/>
    <x v="0"/>
    <x v="0"/>
    <s v="1143424569"/>
    <s v="MORENO GONZALEZ MILENA BEATRIZ"/>
    <x v="12"/>
    <x v="5"/>
    <x v="2"/>
    <s v="C813_00000000000131"/>
    <x v="29"/>
    <s v="CALLE 30 # 30-30 BARRANQUILLA ATLANTICO"/>
    <x v="5"/>
    <x v="6"/>
    <s v="HIPERMERCADO"/>
    <x v="3"/>
    <s v="ATLANTICO"/>
    <x v="3"/>
    <s v="PRENT SAMPAYO ANDERSON GUILLERMO"/>
    <s v="GRANADOS NAVARRO YEFERSON ORLANDO"/>
    <x v="11"/>
    <x v="4"/>
    <n v="0"/>
    <n v="8.3333333333333329E-2"/>
    <d v="2025-01-02T00:00:00"/>
    <d v="2015-10-01T00:00:00"/>
    <n v="132"/>
    <s v="+24 Mounths"/>
    <s v="B"/>
    <s v="B"/>
    <x v="0"/>
    <n v="3102712358"/>
    <s v="OK LINEA"/>
    <s v="SI"/>
    <d v="1989-10-16T00:00:00"/>
    <n v="37"/>
    <s v="FEMENINO"/>
  </r>
  <r>
    <x v="0"/>
    <x v="0"/>
    <x v="0"/>
    <s v="1143424569"/>
    <s v="MORENO GONZALEZ MILENA BEATRIZ"/>
    <x v="12"/>
    <x v="5"/>
    <x v="2"/>
    <s v="C813_00000000000151"/>
    <x v="188"/>
    <s v="CARRERA 71 # 29-100"/>
    <x v="5"/>
    <x v="6"/>
    <s v="HIPERMERCADO"/>
    <x v="31"/>
    <s v="BOLIVAR"/>
    <x v="3"/>
    <s v="PRENT SAMPAYO ANDERSON GUILLERMO"/>
    <s v="GRANADOS NAVARRO YEFERSON ORLANDO"/>
    <x v="11"/>
    <x v="4"/>
    <n v="0"/>
    <n v="8.3333333333333329E-2"/>
    <d v="2025-01-02T00:00:00"/>
    <d v="2015-10-01T00:00:00"/>
    <n v="132"/>
    <s v="+24 Mounths"/>
    <s v="A"/>
    <s v="A"/>
    <x v="0"/>
    <n v="3102712358"/>
    <s v="OK LINEA"/>
    <s v="SI"/>
    <d v="1989-10-16T00:00:00"/>
    <n v="37"/>
    <s v="FEMENINO"/>
  </r>
  <r>
    <x v="0"/>
    <x v="0"/>
    <x v="0"/>
    <s v="1143424569"/>
    <s v="MORENO GONZALEZ MILENA BEATRIZ"/>
    <x v="12"/>
    <x v="5"/>
    <x v="2"/>
    <s v="C813_00000000006855"/>
    <x v="221"/>
    <s v="CALLE 30 # 6B - 25"/>
    <x v="5"/>
    <x v="6"/>
    <s v="HIPERMERCADO"/>
    <x v="3"/>
    <s v="ATLANTICO"/>
    <x v="3"/>
    <s v="PRENT SAMPAYO ANDERSON GUILLERMO"/>
    <s v="GRANADOS NAVARRO YEFERSON ORLANDO"/>
    <x v="11"/>
    <x v="4"/>
    <n v="0"/>
    <n v="8.3333333333333329E-2"/>
    <d v="2025-01-02T00:00:00"/>
    <d v="2015-10-01T00:00:00"/>
    <n v="132"/>
    <s v="+24 Mounths"/>
    <s v="NO DATA"/>
    <s v="NO DATA"/>
    <x v="0"/>
    <n v="3102712358"/>
    <s v="OK LINEA"/>
    <s v="NO"/>
    <d v="1989-10-16T00:00:00"/>
    <n v="37"/>
    <s v="FEMENINO"/>
  </r>
  <r>
    <x v="0"/>
    <x v="0"/>
    <x v="0"/>
    <s v="1143424569"/>
    <s v="MORENO GONZALEZ MILENA BEATRIZ"/>
    <x v="12"/>
    <x v="5"/>
    <x v="2"/>
    <s v="C813_00000000000937"/>
    <x v="170"/>
    <s v="CALLE 5 # 23 - 73, AGUACHICA"/>
    <x v="5"/>
    <x v="6"/>
    <s v="HIPERMERCADO"/>
    <x v="43"/>
    <s v="CESAR"/>
    <x v="3"/>
    <s v="PRENT SAMPAYO ANDERSON GUILLERMO"/>
    <s v="GRANADOS NAVARRO YEFERSON ORLANDO"/>
    <x v="11"/>
    <x v="4"/>
    <n v="0"/>
    <n v="8.3333333333333329E-2"/>
    <d v="2025-01-02T00:00:00"/>
    <d v="2015-10-01T00:00:00"/>
    <n v="132"/>
    <s v="+24 Mounths"/>
    <s v="NO DATA"/>
    <s v="NO DATA"/>
    <x v="0"/>
    <n v="3102712358"/>
    <s v="OK LINEA"/>
    <s v="NO"/>
    <d v="1989-10-16T00:00:00"/>
    <n v="37"/>
    <s v="FEMENINO"/>
  </r>
  <r>
    <x v="0"/>
    <x v="0"/>
    <x v="0"/>
    <s v="1143424569"/>
    <s v="MORENO GONZALEZ MILENA BEATRIZ"/>
    <x v="12"/>
    <x v="5"/>
    <x v="2"/>
    <s v="C813_00000000000138"/>
    <x v="82"/>
    <s v="CALLE 53 # 46-38"/>
    <x v="5"/>
    <x v="6"/>
    <s v="HIPERMERCADO"/>
    <x v="3"/>
    <s v="ATLANTICO"/>
    <x v="3"/>
    <s v="PRENT SAMPAYO ANDERSON GUILLERMO"/>
    <s v="GRANADOS NAVARRO YEFERSON ORLANDO"/>
    <x v="11"/>
    <x v="4"/>
    <n v="0"/>
    <n v="8.3333333333333329E-2"/>
    <d v="2025-01-02T00:00:00"/>
    <d v="2015-10-01T00:00:00"/>
    <n v="132"/>
    <s v="+24 Mounths"/>
    <s v="A"/>
    <s v="A"/>
    <x v="0"/>
    <n v="3102712358"/>
    <s v="OK LINEA"/>
    <s v="SI"/>
    <d v="1989-10-16T00:00:00"/>
    <n v="37"/>
    <s v="FEMENINO"/>
  </r>
  <r>
    <x v="0"/>
    <x v="0"/>
    <x v="0"/>
    <s v="1143424569"/>
    <s v="MORENO GONZALEZ MILENA BEATRIZ"/>
    <x v="12"/>
    <x v="5"/>
    <x v="2"/>
    <s v="C813_00000000000146"/>
    <x v="195"/>
    <s v="CALLE 93 # 45B-90 BARRANQUILLA ATLANTICO"/>
    <x v="5"/>
    <x v="6"/>
    <s v="HIPERMERCADO"/>
    <x v="3"/>
    <s v="ATLANTICO"/>
    <x v="3"/>
    <s v="PRENT SAMPAYO ANDERSON GUILLERMO"/>
    <s v="GRANADOS NAVARRO YEFERSON ORLANDO"/>
    <x v="11"/>
    <x v="4"/>
    <n v="0"/>
    <n v="8.3333333333333329E-2"/>
    <d v="2025-01-02T00:00:00"/>
    <d v="2015-10-01T00:00:00"/>
    <n v="132"/>
    <s v="+24 Mounths"/>
    <s v="A"/>
    <s v="A"/>
    <x v="0"/>
    <n v="3102712358"/>
    <s v="OK LINEA"/>
    <s v="SI"/>
    <d v="1989-10-16T00:00:00"/>
    <n v="37"/>
    <s v="FEMENINO"/>
  </r>
  <r>
    <x v="0"/>
    <x v="0"/>
    <x v="0"/>
    <s v="1143424569"/>
    <s v="MORENO GONZALEZ MILENA BEATRIZ"/>
    <x v="12"/>
    <x v="5"/>
    <x v="2"/>
    <s v="C813_00000000000168"/>
    <x v="51"/>
    <s v="CALLE 23 # 7-150  SANTA MARTA MAGDALENA"/>
    <x v="5"/>
    <x v="6"/>
    <s v="HIPERMERCADO"/>
    <x v="18"/>
    <s v="MAGDALENA"/>
    <x v="3"/>
    <s v="PRENT SAMPAYO ANDERSON GUILLERMO"/>
    <s v="GRANADOS NAVARRO YEFERSON ORLANDO"/>
    <x v="11"/>
    <x v="4"/>
    <n v="0"/>
    <n v="8.3333333333333329E-2"/>
    <d v="2025-01-02T00:00:00"/>
    <d v="2015-10-01T00:00:00"/>
    <n v="132"/>
    <s v="+24 Mounths"/>
    <s v="B"/>
    <s v="B"/>
    <x v="0"/>
    <n v="3102712358"/>
    <s v="OK LINEA"/>
    <s v="SI"/>
    <d v="1989-10-16T00:00:00"/>
    <n v="37"/>
    <s v="FEMENINO"/>
  </r>
  <r>
    <x v="0"/>
    <x v="0"/>
    <x v="0"/>
    <s v="1143424569"/>
    <s v="MORENO GONZALEZ MILENA BEATRIZ"/>
    <x v="12"/>
    <x v="5"/>
    <x v="2"/>
    <s v="C813_00000000005055"/>
    <x v="114"/>
    <s v="CALLE 106 # 53-41 BARRANQUILLA ATLANTICO"/>
    <x v="9"/>
    <x v="20"/>
    <s v="HIPERMERCADO"/>
    <x v="3"/>
    <s v="ATLANTICO"/>
    <x v="3"/>
    <s v="PRENT SAMPAYO ANDERSON GUILLERMO"/>
    <s v="GRANADOS NAVARRO YEFERSON ORLANDO"/>
    <x v="11"/>
    <x v="4"/>
    <n v="0"/>
    <n v="8.3333333333333329E-2"/>
    <d v="2025-01-02T00:00:00"/>
    <d v="2015-10-01T00:00:00"/>
    <n v="132"/>
    <s v="+24 Mounths"/>
    <s v="C"/>
    <s v="C"/>
    <x v="0"/>
    <n v="3102712358"/>
    <s v="OK LINEA"/>
    <s v="NO"/>
    <d v="1989-10-16T00:00:00"/>
    <n v="37"/>
    <s v="FEMENINO"/>
  </r>
  <r>
    <x v="0"/>
    <x v="0"/>
    <x v="0"/>
    <s v="29685706"/>
    <s v="IRLANDA VEGA YENNIFER"/>
    <x v="12"/>
    <x v="5"/>
    <x v="2"/>
    <s v="C813_00000000000690"/>
    <x v="181"/>
    <s v="CALLE 2 # 66-86"/>
    <x v="2"/>
    <x v="3"/>
    <s v="HIPERMERCADO"/>
    <x v="21"/>
    <s v="VALLE DEL CAUCA"/>
    <x v="4"/>
    <s v="ALVAREZ LONDOÑO JOHNNY"/>
    <s v="ROMERO ARENAS DANNY MAURICIO"/>
    <x v="9"/>
    <x v="2"/>
    <n v="1"/>
    <n v="0.04"/>
    <d v="2025-11-13T00:00:00"/>
    <d v="2025-11-13T00:00:00"/>
    <n v="11"/>
    <s v="9-12 Months"/>
    <s v="A"/>
    <s v="C"/>
    <x v="1"/>
    <n v="3102710518"/>
    <s v="OK LINEA"/>
    <s v="SI"/>
    <d v="1985-10-23T00:00:00"/>
    <n v="40"/>
    <s v="FEMENINO"/>
  </r>
  <r>
    <x v="0"/>
    <x v="0"/>
    <x v="0"/>
    <s v="29685706"/>
    <s v="IRLANDA VEGA YENNIFER"/>
    <x v="12"/>
    <x v="5"/>
    <x v="2"/>
    <s v="C813_00000000000074"/>
    <x v="144"/>
    <s v="CRA 13 # 8 - 40 BUGA - VALLE DEL CAUCA"/>
    <x v="2"/>
    <x v="3"/>
    <s v="HIPERMERCADO"/>
    <x v="39"/>
    <s v="VALLE DEL CAUCA"/>
    <x v="4"/>
    <s v="ALVAREZ LONDOÑO JOHNNY"/>
    <s v="ROMERO ARENAS DANNY MAURICIO"/>
    <x v="9"/>
    <x v="2"/>
    <n v="0"/>
    <n v="0.04"/>
    <d v="2025-11-13T00:00:00"/>
    <d v="2025-11-13T00:00:00"/>
    <n v="11"/>
    <s v="9-12 Months"/>
    <s v="C"/>
    <s v="C"/>
    <x v="1"/>
    <n v="3102710518"/>
    <s v="OK LINEA"/>
    <s v="NO"/>
    <d v="1985-10-23T00:00:00"/>
    <n v="40"/>
    <s v="FEMENINO"/>
  </r>
  <r>
    <x v="0"/>
    <x v="0"/>
    <x v="0"/>
    <s v="29685706"/>
    <s v="IRLANDA VEGA YENNIFER"/>
    <x v="12"/>
    <x v="5"/>
    <x v="2"/>
    <s v="C813_00000000000054"/>
    <x v="94"/>
    <s v="CRA 9 # 6N-03 POPAYAN - CAUCA"/>
    <x v="2"/>
    <x v="3"/>
    <s v="HIPERMERCADO"/>
    <x v="26"/>
    <s v="CAUCA"/>
    <x v="4"/>
    <s v="ALVAREZ LONDOÑO JOHNNY"/>
    <s v="ROMERO ARENAS DANNY MAURICIO"/>
    <x v="9"/>
    <x v="2"/>
    <n v="0"/>
    <n v="0.04"/>
    <d v="2025-11-13T00:00:00"/>
    <d v="2025-11-13T00:00:00"/>
    <n v="11"/>
    <s v="9-12 Months"/>
    <s v="B"/>
    <s v="B"/>
    <x v="1"/>
    <n v="3102710518"/>
    <s v="OK LINEA"/>
    <s v="SI"/>
    <d v="1985-10-23T00:00:00"/>
    <n v="40"/>
    <s v="FEMENINO"/>
  </r>
  <r>
    <x v="0"/>
    <x v="0"/>
    <x v="0"/>
    <s v="29685706"/>
    <s v="IRLANDA VEGA YENNIFER"/>
    <x v="12"/>
    <x v="5"/>
    <x v="2"/>
    <s v="C813_00000000006870"/>
    <x v="155"/>
    <s v="CARRERA 40 # 37-51"/>
    <x v="2"/>
    <x v="3"/>
    <s v="HIPERMERCADO"/>
    <x v="41"/>
    <s v="VALLE DEL CAUCA"/>
    <x v="4"/>
    <s v="ALVAREZ LONDOÑO JOHNNY"/>
    <s v="ROMERO ARENAS DANNY MAURICIO"/>
    <x v="9"/>
    <x v="2"/>
    <n v="0"/>
    <n v="0.04"/>
    <d v="2025-11-13T00:00:00"/>
    <d v="2025-11-13T00:00:00"/>
    <n v="11"/>
    <s v="9-12 Months"/>
    <s v="A"/>
    <s v="C"/>
    <x v="1"/>
    <n v="3102710518"/>
    <s v="OK LINEA"/>
    <s v="SI"/>
    <d v="1985-10-23T00:00:00"/>
    <n v="40"/>
    <s v="FEMENINO"/>
  </r>
  <r>
    <x v="0"/>
    <x v="0"/>
    <x v="0"/>
    <s v="29685706"/>
    <s v="IRLANDA VEGA YENNIFER"/>
    <x v="12"/>
    <x v="5"/>
    <x v="2"/>
    <s v="C813_00000000000109"/>
    <x v="40"/>
    <s v="CALLE 5 # 38D-35 CALI VALLE DEL CAUCA"/>
    <x v="2"/>
    <x v="3"/>
    <s v="HIPERMERCADO"/>
    <x v="4"/>
    <s v="VALLE DEL CAUCA"/>
    <x v="4"/>
    <s v="ALVAREZ LONDOÑO JOHNNY"/>
    <s v="ROMERO ARENAS DANNY MAURICIO"/>
    <x v="9"/>
    <x v="2"/>
    <n v="0"/>
    <n v="0.04"/>
    <d v="2025-11-13T00:00:00"/>
    <d v="2025-11-13T00:00:00"/>
    <n v="11"/>
    <s v="9-12 Months"/>
    <s v="B"/>
    <s v="B"/>
    <x v="1"/>
    <n v="3102710518"/>
    <s v="OK LINEA"/>
    <s v="SI"/>
    <d v="1985-10-23T00:00:00"/>
    <n v="40"/>
    <s v="FEMENINO"/>
  </r>
  <r>
    <x v="0"/>
    <x v="0"/>
    <x v="0"/>
    <s v="29685706"/>
    <s v="IRLANDA VEGA YENNIFER"/>
    <x v="12"/>
    <x v="5"/>
    <x v="2"/>
    <s v="C813_00000000000689"/>
    <x v="160"/>
    <s v="CRA 19 # 28-76 CENTRO COMERCIAL LA HERRADURA TULUA VALLE DEL CAUCA"/>
    <x v="2"/>
    <x v="3"/>
    <s v="HIPERMERCADO"/>
    <x v="41"/>
    <s v="VALLE DEL CAUCA"/>
    <x v="4"/>
    <s v="ALVAREZ LONDOÑO JOHNNY"/>
    <s v="ROMERO ARENAS DANNY MAURICIO"/>
    <x v="9"/>
    <x v="2"/>
    <n v="0"/>
    <n v="0.04"/>
    <d v="2025-11-13T00:00:00"/>
    <d v="2025-11-13T00:00:00"/>
    <n v="11"/>
    <s v="9-12 Months"/>
    <s v="B"/>
    <s v="B"/>
    <x v="1"/>
    <n v="3102710518"/>
    <s v="OK LINEA"/>
    <s v="SI"/>
    <d v="1985-10-23T00:00:00"/>
    <n v="40"/>
    <s v="FEMENINO"/>
  </r>
  <r>
    <x v="0"/>
    <x v="0"/>
    <x v="0"/>
    <s v="29685706"/>
    <s v="IRLANDA VEGA YENNIFER"/>
    <x v="12"/>
    <x v="5"/>
    <x v="2"/>
    <s v="C813_00000000000110"/>
    <x v="39"/>
    <s v="AVENIDA 3 F NORTE # 52N-46 CALI VALLE DEL CAUCA"/>
    <x v="2"/>
    <x v="3"/>
    <s v="HIPERMERCADO"/>
    <x v="4"/>
    <s v="VALLE DEL CAUCA"/>
    <x v="4"/>
    <s v="ALVAREZ LONDOÑO JOHNNY"/>
    <s v="ROMERO ARENAS DANNY MAURICIO"/>
    <x v="9"/>
    <x v="2"/>
    <n v="0"/>
    <n v="0.04"/>
    <d v="2025-11-13T00:00:00"/>
    <d v="2025-11-13T00:00:00"/>
    <n v="11"/>
    <s v="9-12 Months"/>
    <s v="B"/>
    <s v="B"/>
    <x v="1"/>
    <n v="3102710518"/>
    <s v="OK LINEA"/>
    <s v="SI"/>
    <d v="1985-10-23T00:00:00"/>
    <n v="40"/>
    <s v="FEMENINO"/>
  </r>
  <r>
    <x v="0"/>
    <x v="0"/>
    <x v="0"/>
    <s v="29685706"/>
    <s v="IRLANDA VEGA YENNIFER"/>
    <x v="12"/>
    <x v="5"/>
    <x v="2"/>
    <s v="C813_00000000000015"/>
    <x v="22"/>
    <s v="AVENIDA PASO ANCHO CALLE 13 # 100-00 CALI VALLE DEL CAUCA"/>
    <x v="2"/>
    <x v="3"/>
    <s v="HIPERMERCADO"/>
    <x v="4"/>
    <s v="VALLE DEL CAUCA"/>
    <x v="4"/>
    <s v="ALVAREZ LONDOÑO JOHNNY"/>
    <s v="ROMERO ARENAS DANNY MAURICIO"/>
    <x v="9"/>
    <x v="2"/>
    <n v="0"/>
    <n v="0.04"/>
    <d v="2025-11-13T00:00:00"/>
    <d v="2025-11-13T00:00:00"/>
    <n v="11"/>
    <s v="9-12 Months"/>
    <s v="B"/>
    <s v="C"/>
    <x v="1"/>
    <n v="3102710518"/>
    <s v="OK LINEA"/>
    <s v="SI"/>
    <d v="1985-10-23T00:00:00"/>
    <n v="40"/>
    <s v="FEMENINO"/>
  </r>
  <r>
    <x v="0"/>
    <x v="0"/>
    <x v="0"/>
    <s v="29685706"/>
    <s v="IRLANDA VEGA YENNIFER"/>
    <x v="12"/>
    <x v="5"/>
    <x v="2"/>
    <s v="C813_00000000000250"/>
    <x v="61"/>
    <s v="CALLE 2A #1A - 08, BUENAVENTURA"/>
    <x v="5"/>
    <x v="6"/>
    <s v="HIPERMERCADO"/>
    <x v="21"/>
    <s v="VALLE DEL CAUCA"/>
    <x v="4"/>
    <s v="ALVAREZ LONDOÑO JOHNNY"/>
    <s v="ROMERO ARENAS DANNY MAURICIO"/>
    <x v="9"/>
    <x v="4"/>
    <n v="0"/>
    <n v="0.04"/>
    <d v="2025-11-13T00:00:00"/>
    <d v="2025-11-13T00:00:00"/>
    <n v="11"/>
    <s v="9-12 Months"/>
    <s v="NO DATA"/>
    <s v="NO DATA"/>
    <x v="1"/>
    <n v="3102710518"/>
    <s v="OK LINEA"/>
    <s v="NO"/>
    <d v="1985-10-23T00:00:00"/>
    <n v="40"/>
    <s v="FEMENINO"/>
  </r>
  <r>
    <x v="0"/>
    <x v="0"/>
    <x v="0"/>
    <s v="29685706"/>
    <s v="IRLANDA VEGA YENNIFER"/>
    <x v="12"/>
    <x v="5"/>
    <x v="2"/>
    <s v="C813_00000000000881"/>
    <x v="62"/>
    <s v="CRA 46 # 1-25 BUENAVENTURA VALLE DEL CAUCA"/>
    <x v="5"/>
    <x v="6"/>
    <s v="HIPERMERCADO"/>
    <x v="21"/>
    <s v="VALLE DEL CAUCA"/>
    <x v="4"/>
    <s v="ALVAREZ LONDOÑO JOHNNY"/>
    <s v="ROMERO ARENAS DANNY MAURICIO"/>
    <x v="9"/>
    <x v="4"/>
    <n v="0"/>
    <n v="0.04"/>
    <d v="2025-11-13T00:00:00"/>
    <d v="2025-11-13T00:00:00"/>
    <n v="11"/>
    <s v="9-12 Months"/>
    <s v="C"/>
    <s v="C"/>
    <x v="1"/>
    <n v="3102710518"/>
    <s v="OK LINEA"/>
    <s v="SI"/>
    <d v="1985-10-23T00:00:00"/>
    <n v="40"/>
    <s v="FEMENINO"/>
  </r>
  <r>
    <x v="0"/>
    <x v="0"/>
    <x v="0"/>
    <s v="29685706"/>
    <s v="IRLANDA VEGA YENNIFER"/>
    <x v="12"/>
    <x v="5"/>
    <x v="2"/>
    <s v="C813_00000000006898"/>
    <x v="190"/>
    <s v="CRA. 98B #25-130, COMUNA 17, CALI, VALLE DEL CAUCA, COLOMBIA "/>
    <x v="2"/>
    <x v="3"/>
    <s v="HIPERMERCADO"/>
    <x v="4"/>
    <s v="VALLE DEL CAUCA"/>
    <x v="4"/>
    <s v="ALVAREZ LONDOÑO JOHNNY"/>
    <s v="ROMERO ARENAS DANNY MAURICIO"/>
    <x v="9"/>
    <x v="2"/>
    <n v="0"/>
    <n v="0.04"/>
    <d v="2025-11-13T00:00:00"/>
    <d v="2025-11-13T00:00:00"/>
    <n v="11"/>
    <s v="9-12 Months"/>
    <s v="D"/>
    <s v="C"/>
    <x v="1"/>
    <n v="3102710518"/>
    <s v="OK LINEA"/>
    <s v="NO"/>
    <d v="1985-10-23T00:00:00"/>
    <n v="40"/>
    <s v="FEMENINO"/>
  </r>
  <r>
    <x v="0"/>
    <x v="0"/>
    <x v="0"/>
    <s v="29685706"/>
    <s v="IRLANDA VEGA YENNIFER"/>
    <x v="12"/>
    <x v="5"/>
    <x v="2"/>
    <s v="C813_00000000001061"/>
    <x v="191"/>
    <s v="CALLE 70 # 28D - 20"/>
    <x v="2"/>
    <x v="3"/>
    <s v="HIPERMERCADO"/>
    <x v="4"/>
    <s v="VALLE DEL CAUCA"/>
    <x v="4"/>
    <s v="ALVAREZ LONDOÑO JOHNNY"/>
    <s v="ROMERO ARENAS DANNY MAURICIO"/>
    <x v="9"/>
    <x v="2"/>
    <n v="0"/>
    <n v="0.04"/>
    <d v="2025-11-13T00:00:00"/>
    <d v="2025-11-13T00:00:00"/>
    <n v="11"/>
    <s v="9-12 Months"/>
    <s v="B"/>
    <s v="B"/>
    <x v="1"/>
    <n v="3102710518"/>
    <s v="OK LINEA"/>
    <s v="SI"/>
    <d v="1985-10-23T00:00:00"/>
    <n v="40"/>
    <s v="FEMENINO"/>
  </r>
  <r>
    <x v="0"/>
    <x v="0"/>
    <x v="0"/>
    <s v="29685706"/>
    <s v="IRLANDA VEGA YENNIFER"/>
    <x v="12"/>
    <x v="5"/>
    <x v="2"/>
    <s v="C813_00000000003581"/>
    <x v="272"/>
    <s v="CRA 25A BIS # 123-09, CALI VALLE DEL CAUCA"/>
    <x v="8"/>
    <x v="34"/>
    <s v="TRADITIONAL"/>
    <x v="4"/>
    <s v="VALLE DEL CAUCA"/>
    <x v="4"/>
    <s v="ALVAREZ LONDOÑO JOHNNY"/>
    <s v="ROMERO ARENAS DANNY MAURICIO"/>
    <x v="9"/>
    <x v="6"/>
    <n v="0"/>
    <n v="0.04"/>
    <d v="2025-11-13T00:00:00"/>
    <d v="2025-11-13T00:00:00"/>
    <n v="11"/>
    <s v="9-12 Months"/>
    <s v="D"/>
    <s v="D"/>
    <x v="1"/>
    <n v="3102710518"/>
    <s v="OK LINEA"/>
    <s v="NO"/>
    <d v="1985-10-23T00:00:00"/>
    <n v="40"/>
    <s v="FEMENINO"/>
  </r>
  <r>
    <x v="0"/>
    <x v="0"/>
    <x v="0"/>
    <s v="29685706"/>
    <s v="IRLANDA VEGA YENNIFER"/>
    <x v="12"/>
    <x v="5"/>
    <x v="2"/>
    <s v="C813_00000000000590"/>
    <x v="270"/>
    <s v="CALLE 11 # 7-39 CALI VALLE DEL CAUCA"/>
    <x v="8"/>
    <x v="33"/>
    <s v="TRADITIONAL"/>
    <x v="4"/>
    <s v="VALLE DEL CAUCA"/>
    <x v="4"/>
    <s v="ALVAREZ LONDOÑO JOHNNY"/>
    <s v="ROMERO ARENAS DANNY MAURICIO"/>
    <x v="9"/>
    <x v="6"/>
    <n v="0"/>
    <n v="0.04"/>
    <d v="2025-11-13T00:00:00"/>
    <d v="2025-11-13T00:00:00"/>
    <n v="11"/>
    <s v="9-12 Months"/>
    <s v="D"/>
    <s v="D"/>
    <x v="1"/>
    <n v="3102710518"/>
    <s v="OK LINEA"/>
    <s v="NO"/>
    <d v="1985-10-23T00:00:00"/>
    <n v="40"/>
    <s v="FEMENINO"/>
  </r>
  <r>
    <x v="0"/>
    <x v="0"/>
    <x v="0"/>
    <s v="29685706"/>
    <s v="IRLANDA VEGA YENNIFER"/>
    <x v="12"/>
    <x v="5"/>
    <x v="2"/>
    <s v="C813_00000000000591"/>
    <x v="273"/>
    <s v="CALLE 10 # 7-63 CALI VALLE DEL CAUCA"/>
    <x v="8"/>
    <x v="33"/>
    <s v="TRADITIONAL"/>
    <x v="4"/>
    <s v="VALLE DEL CAUCA"/>
    <x v="4"/>
    <s v="ALVAREZ LONDOÑO JOHNNY"/>
    <s v="ROMERO ARENAS DANNY MAURICIO"/>
    <x v="9"/>
    <x v="6"/>
    <n v="0"/>
    <n v="0.04"/>
    <d v="2025-11-13T00:00:00"/>
    <d v="2025-11-13T00:00:00"/>
    <n v="11"/>
    <s v="9-12 Months"/>
    <s v="D"/>
    <s v="D"/>
    <x v="1"/>
    <n v="3102710518"/>
    <s v="OK LINEA"/>
    <s v="NO"/>
    <d v="1985-10-23T00:00:00"/>
    <n v="40"/>
    <s v="FEMENINO"/>
  </r>
  <r>
    <x v="0"/>
    <x v="0"/>
    <x v="0"/>
    <s v="29685706"/>
    <s v="IRLANDA VEGA YENNIFER"/>
    <x v="12"/>
    <x v="5"/>
    <x v="2"/>
    <s v="C813_00000000004091"/>
    <x v="274"/>
    <s v="CALLE 11 # 7-02, CALI, VALLE DEL CAUCA"/>
    <x v="8"/>
    <x v="35"/>
    <s v="TRADITIONAL"/>
    <x v="4"/>
    <s v="VALLE DEL CAUCA"/>
    <x v="4"/>
    <s v="ALVAREZ LONDOÑO JOHNNY"/>
    <s v="ROMERO ARENAS DANNY MAURICIO"/>
    <x v="9"/>
    <x v="6"/>
    <n v="0"/>
    <n v="0.04"/>
    <d v="2025-11-13T00:00:00"/>
    <d v="2025-11-13T00:00:00"/>
    <n v="11"/>
    <s v="9-12 Months"/>
    <s v="C"/>
    <s v="C"/>
    <x v="1"/>
    <n v="3102710518"/>
    <s v="OK LINEA"/>
    <s v="NO"/>
    <d v="1985-10-23T00:00:00"/>
    <n v="40"/>
    <s v="FEMENINO"/>
  </r>
  <r>
    <x v="0"/>
    <x v="0"/>
    <x v="0"/>
    <s v="29685706"/>
    <s v="IRLANDA VEGA YENNIFER"/>
    <x v="12"/>
    <x v="5"/>
    <x v="2"/>
    <s v="C813_00000000001110"/>
    <x v="248"/>
    <s v="CALLE 11 # 8-58 ALVARO GUTIERREZ PBX: 889-7070 CALI VALLE DEL CAUCA"/>
    <x v="8"/>
    <x v="24"/>
    <s v="TRADITIONAL"/>
    <x v="4"/>
    <s v="VALLE DEL CAUCA"/>
    <x v="4"/>
    <s v="ALVAREZ LONDOÑO JOHNNY"/>
    <s v="ROMERO ARENAS DANNY MAURICIO"/>
    <x v="9"/>
    <x v="6"/>
    <n v="0"/>
    <n v="0.04"/>
    <d v="2025-11-13T00:00:00"/>
    <d v="2025-11-13T00:00:00"/>
    <n v="11"/>
    <s v="9-12 Months"/>
    <s v="D"/>
    <s v="D"/>
    <x v="1"/>
    <n v="3102710518"/>
    <s v="OK LINEA"/>
    <s v="NO"/>
    <d v="1985-10-23T00:00:00"/>
    <n v="40"/>
    <s v="FEMENINO"/>
  </r>
  <r>
    <x v="0"/>
    <x v="0"/>
    <x v="0"/>
    <s v="29685706"/>
    <s v="IRLANDA VEGA YENNIFER"/>
    <x v="12"/>
    <x v="5"/>
    <x v="2"/>
    <s v="C813_00000000000433"/>
    <x v="253"/>
    <s v="CALLE 11 # 6-50 DIEGO TORO 889-9898 CALI VALLE DEL CAUCA"/>
    <x v="8"/>
    <x v="24"/>
    <s v="TRADITIONAL"/>
    <x v="4"/>
    <s v="VALLE DEL CAUCA"/>
    <x v="4"/>
    <s v="ALVAREZ LONDOÑO JOHNNY"/>
    <s v="ROMERO ARENAS DANNY MAURICIO"/>
    <x v="9"/>
    <x v="6"/>
    <n v="0"/>
    <n v="0.04"/>
    <d v="2025-11-13T00:00:00"/>
    <d v="2025-11-13T00:00:00"/>
    <n v="11"/>
    <s v="9-12 Months"/>
    <s v="D"/>
    <s v="D"/>
    <x v="1"/>
    <n v="3102710518"/>
    <s v="OK LINEA"/>
    <s v="NO"/>
    <d v="1985-10-23T00:00:00"/>
    <n v="40"/>
    <s v="FEMENINO"/>
  </r>
  <r>
    <x v="0"/>
    <x v="0"/>
    <x v="0"/>
    <s v="29685706"/>
    <s v="IRLANDA VEGA YENNIFER"/>
    <x v="12"/>
    <x v="5"/>
    <x v="2"/>
    <s v="C813_00000000001112"/>
    <x v="210"/>
    <s v="CALLE 11 # 8-73 ALFONSO SIERRA FAX: 553-0566 JAMUNDI VALLE DEL CAUCA"/>
    <x v="8"/>
    <x v="24"/>
    <s v="TRADITIONAL"/>
    <x v="47"/>
    <s v="VALLE DEL CAUCA"/>
    <x v="4"/>
    <s v="ALVAREZ LONDOÑO JOHNNY"/>
    <s v="ROMERO ARENAS DANNY MAURICIO"/>
    <x v="9"/>
    <x v="6"/>
    <n v="0"/>
    <n v="0.04"/>
    <d v="2025-11-13T00:00:00"/>
    <d v="2025-11-13T00:00:00"/>
    <n v="11"/>
    <s v="9-12 Months"/>
    <s v="NO DATA"/>
    <s v="NO DATA"/>
    <x v="1"/>
    <n v="3102710518"/>
    <s v="OK LINEA"/>
    <s v="NO"/>
    <d v="1985-10-23T00:00:00"/>
    <n v="40"/>
    <s v="FEMENINO"/>
  </r>
  <r>
    <x v="0"/>
    <x v="0"/>
    <x v="0"/>
    <s v="29685706"/>
    <s v="IRLANDA VEGA YENNIFER"/>
    <x v="12"/>
    <x v="5"/>
    <x v="2"/>
    <s v="C813_00000000001113"/>
    <x v="209"/>
    <s v="CALLE 29 # 26A-29"/>
    <x v="8"/>
    <x v="24"/>
    <s v="TRADITIONAL"/>
    <x v="46"/>
    <s v="VALLE DEL CAUCA"/>
    <x v="4"/>
    <s v="ALVAREZ LONDOÑO JOHNNY"/>
    <s v="ROMERO ARENAS DANNY MAURICIO"/>
    <x v="9"/>
    <x v="6"/>
    <n v="0"/>
    <n v="0.04"/>
    <d v="2025-11-13T00:00:00"/>
    <d v="2025-11-13T00:00:00"/>
    <n v="11"/>
    <s v="9-12 Months"/>
    <s v="D"/>
    <s v="D"/>
    <x v="1"/>
    <n v="3102710518"/>
    <s v="OK LINEA"/>
    <s v="NO"/>
    <d v="1985-10-23T00:00:00"/>
    <n v="40"/>
    <s v="FEMENINO"/>
  </r>
  <r>
    <x v="0"/>
    <x v="0"/>
    <x v="0"/>
    <s v="29685706"/>
    <s v="IRLANDA VEGA YENNIFER"/>
    <x v="12"/>
    <x v="5"/>
    <x v="2"/>
    <s v="C813_00000000001115"/>
    <x v="212"/>
    <s v="CRA 4 # 6-01 AURELIA MORALES  YUMBO VALLE DEL CAUCA"/>
    <x v="8"/>
    <x v="24"/>
    <s v="TRADITIONAL"/>
    <x v="49"/>
    <s v="VALLE DEL CAUCA"/>
    <x v="4"/>
    <s v="ALVAREZ LONDOÑO JOHNNY"/>
    <s v="ROMERO ARENAS DANNY MAURICIO"/>
    <x v="9"/>
    <x v="6"/>
    <n v="0"/>
    <n v="0.04"/>
    <d v="2025-11-13T00:00:00"/>
    <d v="2025-11-13T00:00:00"/>
    <n v="11"/>
    <s v="9-12 Months"/>
    <s v="D"/>
    <s v="D"/>
    <x v="1"/>
    <n v="3102710518"/>
    <s v="OK LINEA"/>
    <s v="NO"/>
    <d v="1985-10-23T00:00:00"/>
    <n v="40"/>
    <s v="FEMENINO"/>
  </r>
  <r>
    <x v="0"/>
    <x v="0"/>
    <x v="0"/>
    <s v="29685706"/>
    <s v="IRLANDA VEGA YENNIFER"/>
    <x v="12"/>
    <x v="5"/>
    <x v="2"/>
    <s v="C813_00000000001120"/>
    <x v="211"/>
    <s v="CARRERA 12 # 6 - 77"/>
    <x v="8"/>
    <x v="24"/>
    <s v="TRADITIONAL"/>
    <x v="48"/>
    <s v="CAUCA"/>
    <x v="4"/>
    <s v="ALVAREZ LONDOÑO JOHNNY"/>
    <s v="ROMERO ARENAS DANNY MAURICIO"/>
    <x v="9"/>
    <x v="6"/>
    <n v="0"/>
    <n v="0.04"/>
    <d v="2025-11-13T00:00:00"/>
    <d v="2025-11-13T00:00:00"/>
    <n v="11"/>
    <s v="9-12 Months"/>
    <s v="NO DATA"/>
    <s v="NO DATA"/>
    <x v="1"/>
    <n v="3102710518"/>
    <s v="OK LINEA"/>
    <s v="NO"/>
    <d v="1985-10-23T00:00:00"/>
    <n v="40"/>
    <s v="FEMENINO"/>
  </r>
  <r>
    <x v="0"/>
    <x v="0"/>
    <x v="0"/>
    <s v="29685706"/>
    <s v="IRLANDA VEGA YENNIFER"/>
    <x v="12"/>
    <x v="5"/>
    <x v="2"/>
    <s v="C813_00000000000439"/>
    <x v="143"/>
    <s v="CRA 12 # 6-45 STEWAR PEÑA PBX: 237-2526/ 228-0246 BUGALAGRANDE VALLE DEL CAUCA"/>
    <x v="8"/>
    <x v="24"/>
    <s v="TRADITIONAL"/>
    <x v="38"/>
    <s v="VALLE DEL CAUCA"/>
    <x v="4"/>
    <s v="ALVAREZ LONDOÑO JOHNNY"/>
    <s v="ROMERO ARENAS DANNY MAURICIO"/>
    <x v="9"/>
    <x v="6"/>
    <n v="0"/>
    <n v="0.04"/>
    <d v="2025-11-13T00:00:00"/>
    <d v="2025-11-13T00:00:00"/>
    <n v="11"/>
    <s v="9-12 Months"/>
    <s v="D"/>
    <s v="D"/>
    <x v="1"/>
    <n v="3102710518"/>
    <s v="OK LINEA"/>
    <s v="NO"/>
    <d v="1985-10-23T00:00:00"/>
    <n v="40"/>
    <s v="FEMENINO"/>
  </r>
  <r>
    <x v="0"/>
    <x v="0"/>
    <x v="0"/>
    <s v="29685706"/>
    <s v="IRLANDA VEGA YENNIFER"/>
    <x v="12"/>
    <x v="5"/>
    <x v="2"/>
    <s v="C813_00000000001107"/>
    <x v="275"/>
    <s v="CARRERA7A # 10-51 CALI VALLE DEL CAUCA"/>
    <x v="8"/>
    <x v="24"/>
    <s v="TRADITIONAL"/>
    <x v="4"/>
    <s v="VALLE DEL CAUCA"/>
    <x v="4"/>
    <s v="ALVAREZ LONDOÑO JOHNNY"/>
    <s v="ROMERO ARENAS DANNY MAURICIO"/>
    <x v="9"/>
    <x v="6"/>
    <n v="0"/>
    <n v="0.04"/>
    <d v="2025-11-13T00:00:00"/>
    <d v="2025-11-13T00:00:00"/>
    <n v="11"/>
    <s v="9-12 Months"/>
    <s v="A"/>
    <s v="A"/>
    <x v="1"/>
    <n v="3102710518"/>
    <s v="OK LINEA"/>
    <s v="NO"/>
    <d v="1985-10-23T00:00:00"/>
    <n v="40"/>
    <s v="FEMENINO"/>
  </r>
  <r>
    <x v="0"/>
    <x v="0"/>
    <x v="0"/>
    <s v="29685706"/>
    <s v="IRLANDA VEGA YENNIFER"/>
    <x v="12"/>
    <x v="5"/>
    <x v="2"/>
    <s v="C813_00000000000445"/>
    <x v="159"/>
    <s v="CRA 24 # 25-60 JOSE LUIS ARANGO PBX: 226-2909 TULUA VALLE DEL CAUCA"/>
    <x v="8"/>
    <x v="24"/>
    <s v="TRADITIONAL"/>
    <x v="41"/>
    <s v="VALLE DEL CAUCA"/>
    <x v="4"/>
    <s v="ALVAREZ LONDOÑO JOHNNY"/>
    <s v="ROMERO ARENAS DANNY MAURICIO"/>
    <x v="9"/>
    <x v="6"/>
    <n v="0"/>
    <n v="0.04"/>
    <d v="2025-11-13T00:00:00"/>
    <d v="2025-11-13T00:00:00"/>
    <n v="11"/>
    <s v="9-12 Months"/>
    <s v="D"/>
    <s v="D"/>
    <x v="1"/>
    <n v="3102710518"/>
    <s v="OK LINEA"/>
    <s v="NO"/>
    <d v="1985-10-23T00:00:00"/>
    <n v="40"/>
    <s v="FEMENINO"/>
  </r>
  <r>
    <x v="0"/>
    <x v="0"/>
    <x v="0"/>
    <s v="1022408879"/>
    <s v="CLAVIJO VEGA JOHN ALEXANDER"/>
    <x v="12"/>
    <x v="5"/>
    <x v="2"/>
    <s v="C813_00000000000283"/>
    <x v="118"/>
    <s v="CARRERA 30 N ° 10-25 BOGOTA"/>
    <x v="1"/>
    <x v="2"/>
    <s v="HIPERMERCADO"/>
    <x v="0"/>
    <s v="CUNDINAMARCA"/>
    <x v="0"/>
    <s v="PEÑA GARCIA JOINER ALEXIS"/>
    <s v="PASTUSO ACHICUE CLAUDIA PATRICIA"/>
    <x v="6"/>
    <x v="1"/>
    <n v="1"/>
    <n v="0.125"/>
    <d v="2025-01-02T00:00:00"/>
    <d v="2018-09-24T00:00:00"/>
    <n v="96"/>
    <s v="+24 Mounths"/>
    <s v="B"/>
    <s v="B"/>
    <x v="0"/>
    <n v="3102719008"/>
    <s v="OK LINEA"/>
    <s v="SI"/>
    <d v="1995-10-02T00:00:00"/>
    <n v="31"/>
    <s v="MASCULINO"/>
  </r>
  <r>
    <x v="0"/>
    <x v="0"/>
    <x v="0"/>
    <s v="1022408879"/>
    <s v="CLAVIJO VEGA JOHN ALEXANDER"/>
    <x v="12"/>
    <x v="5"/>
    <x v="2"/>
    <s v="C813_00000000007428"/>
    <x v="125"/>
    <s v="DIAGONAL 3 #14A-16 MOSQUERA, CUNDINAMARCA"/>
    <x v="1"/>
    <x v="2"/>
    <s v="HIPERMERCADO"/>
    <x v="32"/>
    <s v="CUNDINAMARCA"/>
    <x v="0"/>
    <s v="PEÑA GARCIA JOINER ALEXIS"/>
    <s v="PASTUSO ACHICUE CLAUDIA PATRICIA"/>
    <x v="6"/>
    <x v="1"/>
    <n v="0"/>
    <n v="0.125"/>
    <d v="2025-01-02T00:00:00"/>
    <d v="2018-09-24T00:00:00"/>
    <n v="96"/>
    <s v="+24 Mounths"/>
    <s v="B"/>
    <s v="B"/>
    <x v="0"/>
    <n v="3102719008"/>
    <s v="OK LINEA"/>
    <s v="SI"/>
    <d v="1995-10-02T00:00:00"/>
    <n v="31"/>
    <s v="MASCULINO"/>
  </r>
  <r>
    <x v="0"/>
    <x v="0"/>
    <x v="0"/>
    <s v="1022408879"/>
    <s v="CLAVIJO VEGA JOHN ALEXANDER"/>
    <x v="12"/>
    <x v="5"/>
    <x v="2"/>
    <s v="C813_00000000000284"/>
    <x v="8"/>
    <s v="CALLE 45 SUR #51-90 BOGOTA"/>
    <x v="1"/>
    <x v="2"/>
    <s v="HIPERMERCADO"/>
    <x v="0"/>
    <s v="CUNDINAMARCA"/>
    <x v="0"/>
    <s v="PEÑA GARCIA JOINER ALEXIS"/>
    <s v="PASTUSO ACHICUE CLAUDIA PATRICIA"/>
    <x v="6"/>
    <x v="1"/>
    <n v="0"/>
    <n v="0.125"/>
    <d v="2025-01-02T00:00:00"/>
    <d v="2018-09-24T00:00:00"/>
    <n v="96"/>
    <s v="+24 Mounths"/>
    <s v="B"/>
    <s v="B"/>
    <x v="0"/>
    <n v="3102719008"/>
    <s v="OK LINEA"/>
    <s v="SI"/>
    <d v="1995-10-02T00:00:00"/>
    <n v="31"/>
    <s v="MASCULINO"/>
  </r>
  <r>
    <x v="0"/>
    <x v="0"/>
    <x v="0"/>
    <s v="1022408879"/>
    <s v="CLAVIJO VEGA JOHN ALEXANDER"/>
    <x v="12"/>
    <x v="5"/>
    <x v="2"/>
    <s v="C813_00000000000936"/>
    <x v="14"/>
    <s v="AV CRA 27 # 38A-83 SUR LOCALES 13 14 15 16 Y 17 BOGOTA"/>
    <x v="1"/>
    <x v="1"/>
    <s v="HIPERMERCADO"/>
    <x v="0"/>
    <s v="CUNDINAMARCA"/>
    <x v="0"/>
    <s v="PEÑA GARCIA JOINER ALEXIS"/>
    <s v="PASTUSO ACHICUE CLAUDIA PATRICIA"/>
    <x v="6"/>
    <x v="1"/>
    <n v="0"/>
    <n v="0.125"/>
    <d v="2025-01-02T00:00:00"/>
    <d v="2018-09-24T00:00:00"/>
    <n v="96"/>
    <s v="+24 Mounths"/>
    <s v="D"/>
    <s v="B"/>
    <x v="0"/>
    <n v="3102719008"/>
    <s v="OK LINEA"/>
    <s v="SI"/>
    <d v="1995-10-02T00:00:00"/>
    <n v="31"/>
    <s v="MASCULINO"/>
  </r>
  <r>
    <x v="0"/>
    <x v="0"/>
    <x v="0"/>
    <s v="1022408879"/>
    <s v="CLAVIJO VEGA JOHN ALEXANDER"/>
    <x v="12"/>
    <x v="5"/>
    <x v="2"/>
    <s v="C813_00000000006659"/>
    <x v="115"/>
    <s v="CARRERA 24 # 2A-91 FUSAGASUGA CUNDINAMARCA"/>
    <x v="1"/>
    <x v="1"/>
    <s v="HIPERMERCADO"/>
    <x v="30"/>
    <s v="CUNDINAMARCA"/>
    <x v="0"/>
    <s v="PEÑA GARCIA JOINER ALEXIS"/>
    <s v="PASTUSO ACHICUE CLAUDIA PATRICIA"/>
    <x v="6"/>
    <x v="1"/>
    <n v="0"/>
    <n v="0.125"/>
    <d v="2025-01-02T00:00:00"/>
    <d v="2018-09-24T00:00:00"/>
    <n v="96"/>
    <s v="+24 Mounths"/>
    <s v="D"/>
    <s v="B"/>
    <x v="0"/>
    <n v="3102719008"/>
    <s v="OK LINEA"/>
    <s v="SI"/>
    <d v="1995-10-02T00:00:00"/>
    <n v="31"/>
    <s v="MASCULINO"/>
  </r>
  <r>
    <x v="0"/>
    <x v="0"/>
    <x v="0"/>
    <s v="1022408879"/>
    <s v="CLAVIJO VEGA JOHN ALEXANDER"/>
    <x v="12"/>
    <x v="5"/>
    <x v="2"/>
    <s v="C813_00000000004677"/>
    <x v="171"/>
    <s v="CRA 3RA # 15ª-57 C.C. ECO PLAZA LOCAL 255-256 MOSQUERA CUNDINAMARCA"/>
    <x v="1"/>
    <x v="1"/>
    <s v="HIPERMERCADO"/>
    <x v="32"/>
    <s v="CUNDINAMARCA"/>
    <x v="0"/>
    <s v="PEÑA GARCIA JOINER ALEXIS"/>
    <s v="PASTUSO ACHICUE CLAUDIA PATRICIA"/>
    <x v="6"/>
    <x v="1"/>
    <n v="0"/>
    <n v="0.125"/>
    <d v="2025-01-02T00:00:00"/>
    <d v="2018-09-24T00:00:00"/>
    <n v="96"/>
    <s v="+24 Mounths"/>
    <s v="D"/>
    <s v="B"/>
    <x v="0"/>
    <n v="3102719008"/>
    <s v="OK LINEA"/>
    <s v="SI"/>
    <d v="1995-10-02T00:00:00"/>
    <n v="31"/>
    <s v="MASCULINO"/>
  </r>
  <r>
    <x v="0"/>
    <x v="0"/>
    <x v="0"/>
    <s v="1022408879"/>
    <s v="CLAVIJO VEGA JOHN ALEXANDER"/>
    <x v="12"/>
    <x v="5"/>
    <x v="2"/>
    <s v="C813_00000000000923"/>
    <x v="15"/>
    <s v="TV 71D # 26 - 94 SUR / CC PLAZA DE LAS AMÉRICAS L1902 - B"/>
    <x v="1"/>
    <x v="1"/>
    <s v="HIPERMERCADO"/>
    <x v="0"/>
    <s v="CUNDINAMARCA"/>
    <x v="0"/>
    <s v="PEÑA GARCIA JOINER ALEXIS"/>
    <s v="PASTUSO ACHICUE CLAUDIA PATRICIA"/>
    <x v="6"/>
    <x v="1"/>
    <n v="0"/>
    <n v="0.125"/>
    <d v="2025-01-02T00:00:00"/>
    <d v="2018-09-24T00:00:00"/>
    <n v="96"/>
    <s v="+24 Mounths"/>
    <s v="D"/>
    <s v="B"/>
    <x v="0"/>
    <n v="3102719008"/>
    <s v="OK LINEA"/>
    <s v="SI"/>
    <d v="1995-10-02T00:00:00"/>
    <n v="31"/>
    <s v="MASCULINO"/>
  </r>
  <r>
    <x v="0"/>
    <x v="0"/>
    <x v="0"/>
    <s v="1022408879"/>
    <s v="CLAVIJO VEGA JOHN ALEXANDER"/>
    <x v="12"/>
    <x v="5"/>
    <x v="2"/>
    <s v="C813_00000000005551"/>
    <x v="98"/>
    <s v="CARRERA 7N # 30B-139 SOACHA CUNDINAMARCA"/>
    <x v="1"/>
    <x v="1"/>
    <s v="HIPERMERCADO"/>
    <x v="10"/>
    <s v="CUNDINAMARCA"/>
    <x v="0"/>
    <s v="PEÑA GARCIA JOINER ALEXIS"/>
    <s v="PASTUSO ACHICUE CLAUDIA PATRICIA"/>
    <x v="6"/>
    <x v="1"/>
    <n v="0"/>
    <n v="0.125"/>
    <d v="2025-01-02T00:00:00"/>
    <d v="2018-09-24T00:00:00"/>
    <n v="96"/>
    <s v="+24 Mounths"/>
    <s v="B"/>
    <s v="B"/>
    <x v="0"/>
    <n v="3102719008"/>
    <s v="OK LINEA"/>
    <s v="SI"/>
    <d v="1995-10-02T00:00:00"/>
    <n v="31"/>
    <s v="MASCULINO"/>
  </r>
  <r>
    <x v="0"/>
    <x v="0"/>
    <x v="0"/>
    <s v="91498870"/>
    <s v="GOMEZ OSCAR"/>
    <x v="12"/>
    <x v="5"/>
    <x v="2"/>
    <s v="C813_00000000003264"/>
    <x v="140"/>
    <s v="AVENIDA 5 # 8-16 CUCUTA"/>
    <x v="7"/>
    <x v="23"/>
    <s v="TRADITIONAL"/>
    <x v="11"/>
    <s v="NORTE DE SANTANDER"/>
    <x v="1"/>
    <s v="PRENT SAMPAYO ANDERSON GUILLERMO"/>
    <s v="GRANADOS NAVARRO YEFERSON ORLANDO"/>
    <x v="2"/>
    <x v="6"/>
    <n v="1"/>
    <n v="2.6315789473684209E-2"/>
    <d v="2026-04-16T00:00:00"/>
    <d v="2026-04-16T00:00:00"/>
    <n v="6"/>
    <s v="6-9 Months"/>
    <s v="D"/>
    <s v="D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2374"/>
    <x v="32"/>
    <s v="CALLE 8 # 5-48 CUCUTA NORTE DE SANTANDER"/>
    <x v="7"/>
    <x v="9"/>
    <s v="TRADITIONAL"/>
    <x v="11"/>
    <s v="NORTE DE SANTANDER"/>
    <x v="1"/>
    <s v="PRENT SAMPAYO ANDERSON GUILLERMO"/>
    <s v="GRANADOS NAVARRO YEFERSON ORLANDO"/>
    <x v="2"/>
    <x v="6"/>
    <n v="0"/>
    <n v="2.6315789473684209E-2"/>
    <d v="2026-04-16T00:00:00"/>
    <d v="2026-04-16T00:00:00"/>
    <n v="6"/>
    <s v="6-9 Months"/>
    <s v="C"/>
    <s v="C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3251"/>
    <x v="42"/>
    <s v="CALLE 36 # 18-38 BUCARAMANGA SANTANDER"/>
    <x v="7"/>
    <x v="12"/>
    <s v="TRADITIONAL"/>
    <x v="1"/>
    <s v="SANTANDER"/>
    <x v="1"/>
    <s v="LOPEZ PALACIO PABLO EMILIO"/>
    <s v="GRANADOS NAVARRO YEFERSON ORLANDO"/>
    <x v="2"/>
    <x v="6"/>
    <n v="0"/>
    <n v="2.6315789473684209E-2"/>
    <d v="2026-04-16T00:00:00"/>
    <d v="2026-04-16T00:00:00"/>
    <n v="6"/>
    <s v="6-9 Months"/>
    <s v="D"/>
    <s v="D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0395"/>
    <x v="231"/>
    <s v="CALLE 36 # 23-59 BUCARAMANGA SANTANDER"/>
    <x v="7"/>
    <x v="12"/>
    <s v="TRADITIONAL"/>
    <x v="1"/>
    <s v="SANTANDER"/>
    <x v="1"/>
    <s v="LOPEZ PALACIO PABLO EMILIO"/>
    <s v="GRANADOS NAVARRO YEFERSON ORLANDO"/>
    <x v="2"/>
    <x v="6"/>
    <n v="0"/>
    <n v="2.6315789473684209E-2"/>
    <d v="2026-04-16T00:00:00"/>
    <d v="2026-04-16T00:00:00"/>
    <n v="6"/>
    <s v="6-9 Months"/>
    <s v="C"/>
    <s v="C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4747"/>
    <x v="232"/>
    <s v="CALLE 36 # 23-59 BUCARAMANGA SANTANDER"/>
    <x v="7"/>
    <x v="12"/>
    <s v="TRADITIONAL"/>
    <x v="1"/>
    <s v="SANTANDER"/>
    <x v="1"/>
    <s v="LOPEZ PALACIO PABLO EMILIO"/>
    <s v="GRANADOS NAVARRO YEFERSON ORLANDO"/>
    <x v="2"/>
    <x v="6"/>
    <n v="0"/>
    <n v="2.6315789473684209E-2"/>
    <d v="2026-04-16T00:00:00"/>
    <d v="2026-04-16T00:00:00"/>
    <n v="6"/>
    <s v="6-9 Months"/>
    <s v="C"/>
    <s v="C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3252"/>
    <x v="43"/>
    <s v="CL 41 #15-29, BUCARAMANGA, SANTANDER"/>
    <x v="7"/>
    <x v="12"/>
    <s v="TRADITIONAL"/>
    <x v="1"/>
    <s v="SANTANDER"/>
    <x v="1"/>
    <s v="LOPEZ PALACIO PABLO EMILIO"/>
    <s v="GRANADOS NAVARRO YEFERSON ORLANDO"/>
    <x v="2"/>
    <x v="6"/>
    <n v="0"/>
    <n v="2.6315789473684209E-2"/>
    <d v="2026-04-16T00:00:00"/>
    <d v="2026-04-16T00:00:00"/>
    <n v="6"/>
    <s v="6-9 Months"/>
    <s v="D"/>
    <s v="D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0346"/>
    <x v="26"/>
    <s v="AV 9A # 20N-55 LT2 (AVN LIBERTADORES CANAL BOGOTA) CUCUTA NORTE DE SANTANDER"/>
    <x v="4"/>
    <x v="5"/>
    <s v="HIPERMERCADO"/>
    <x v="11"/>
    <s v="NORTE DE SANTANDER"/>
    <x v="1"/>
    <s v="PRENT SAMPAYO ANDERSON GUILLERMO"/>
    <s v="GRANADOS NAVARRO YEFERSON ORLANDO"/>
    <x v="2"/>
    <x v="3"/>
    <n v="0"/>
    <n v="2.6315789473684209E-2"/>
    <d v="2026-04-16T00:00:00"/>
    <d v="2026-04-16T00:00:00"/>
    <n v="6"/>
    <s v="6-9 Months"/>
    <s v="B"/>
    <s v="D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0736"/>
    <x v="27"/>
    <s v="CALLE 10 # 2E-90 CC VENTURA PLAZA CUCUTA NORTE DE SANTANDER"/>
    <x v="4"/>
    <x v="5"/>
    <s v="HIPERMERCADO"/>
    <x v="11"/>
    <s v="NORTE DE SANTANDER"/>
    <x v="1"/>
    <s v="PRENT SAMPAYO ANDERSON GUILLERMO"/>
    <s v="GRANADOS NAVARRO YEFERSON ORLANDO"/>
    <x v="2"/>
    <x v="3"/>
    <n v="0"/>
    <n v="2.6315789473684209E-2"/>
    <d v="2026-04-16T00:00:00"/>
    <d v="2026-04-16T00:00:00"/>
    <n v="6"/>
    <s v="6-9 Months"/>
    <s v="B"/>
    <s v="D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3241"/>
    <x v="44"/>
    <s v="CALLE 33 # 17-32 CENTRO BUCARAMANGA SANTANDER"/>
    <x v="7"/>
    <x v="12"/>
    <s v="TRADITIONAL"/>
    <x v="1"/>
    <s v="SANTANDER"/>
    <x v="1"/>
    <s v="LOPEZ PALACIO PABLO EMILIO"/>
    <s v="GRANADOS NAVARRO YEFERSON ORLANDO"/>
    <x v="2"/>
    <x v="6"/>
    <n v="0"/>
    <n v="2.6315789473684209E-2"/>
    <d v="2026-04-16T00:00:00"/>
    <d v="2026-04-16T00:00:00"/>
    <n v="6"/>
    <s v="6-9 Months"/>
    <s v="D"/>
    <s v="D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6815"/>
    <x v="219"/>
    <s v="CARRERA 27 # 36-07"/>
    <x v="7"/>
    <x v="23"/>
    <s v="TRADITIONAL"/>
    <x v="1"/>
    <s v="SANTANDER"/>
    <x v="1"/>
    <s v="LOPEZ PALACIO PABLO EMILIO"/>
    <s v="GRANADOS NAVARRO YEFERSON ORLANDO"/>
    <x v="2"/>
    <x v="6"/>
    <n v="0"/>
    <n v="2.6315789473684209E-2"/>
    <d v="2026-04-16T00:00:00"/>
    <d v="2026-04-16T00:00:00"/>
    <n v="6"/>
    <s v="6-9 Months"/>
    <s v="NO DATA"/>
    <s v="NO DATA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4531"/>
    <x v="215"/>
    <s v="CRA 16 # 19-29 ARAUCA ARAUCA"/>
    <x v="7"/>
    <x v="27"/>
    <s v="TRADITIONAL"/>
    <x v="51"/>
    <s v="ARAUCA"/>
    <x v="1"/>
    <s v="PRENT SAMPAYO ANDERSON GUILLERMO"/>
    <s v="GRANADOS NAVARRO YEFERSON ORLANDO"/>
    <x v="2"/>
    <x v="6"/>
    <n v="0"/>
    <n v="2.6315789473684209E-2"/>
    <d v="2026-04-16T00:00:00"/>
    <d v="2026-04-16T00:00:00"/>
    <n v="6"/>
    <s v="6-9 Months"/>
    <s v="D"/>
    <s v="D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4072"/>
    <x v="54"/>
    <s v="CRA 15 #37-55"/>
    <x v="7"/>
    <x v="13"/>
    <s v="TRADITIONAL"/>
    <x v="1"/>
    <s v="SANTANDER"/>
    <x v="1"/>
    <s v="LOPEZ PALACIO PABLO EMILIO"/>
    <s v="GRANADOS NAVARRO YEFERSON ORLANDO"/>
    <x v="2"/>
    <x v="6"/>
    <n v="0"/>
    <n v="2.6315789473684209E-2"/>
    <d v="2026-04-16T00:00:00"/>
    <d v="2026-04-16T00:00:00"/>
    <n v="6"/>
    <s v="6-9 Months"/>
    <s v="D"/>
    <s v="D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3205"/>
    <x v="55"/>
    <s v="CALLE 36 # 21-50 BUCARAMANGA SANTANDER"/>
    <x v="7"/>
    <x v="13"/>
    <s v="TRADITIONAL"/>
    <x v="1"/>
    <s v="SANTANDER"/>
    <x v="1"/>
    <s v="LOPEZ PALACIO PABLO EMILIO"/>
    <s v="GRANADOS NAVARRO YEFERSON ORLANDO"/>
    <x v="2"/>
    <x v="6"/>
    <n v="0"/>
    <n v="2.6315789473684209E-2"/>
    <d v="2026-04-16T00:00:00"/>
    <d v="2026-04-16T00:00:00"/>
    <n v="6"/>
    <s v="6-9 Months"/>
    <s v="D"/>
    <s v="D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3203"/>
    <x v="56"/>
    <s v="CALLE 36 # 15-66 BUCARAMANGA SANTANDER"/>
    <x v="7"/>
    <x v="13"/>
    <s v="TRADITIONAL"/>
    <x v="1"/>
    <s v="SANTANDER"/>
    <x v="1"/>
    <s v="LOPEZ PALACIO PABLO EMILIO"/>
    <s v="GRANADOS NAVARRO YEFERSON ORLANDO"/>
    <x v="2"/>
    <x v="6"/>
    <n v="0"/>
    <n v="2.6315789473684209E-2"/>
    <d v="2026-04-16T00:00:00"/>
    <d v="2026-04-16T00:00:00"/>
    <n v="6"/>
    <s v="6-9 Months"/>
    <s v="D"/>
    <s v="D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7275"/>
    <x v="220"/>
    <s v="CARRERA 17 # 31 - 67 "/>
    <x v="7"/>
    <x v="28"/>
    <s v="TRADITIONAL"/>
    <x v="1"/>
    <s v="SANTANDER"/>
    <x v="1"/>
    <s v="LOPEZ PALACIO PABLO EMILIO"/>
    <s v="GRANADOS NAVARRO YEFERSON ORLANDO"/>
    <x v="2"/>
    <x v="6"/>
    <n v="0"/>
    <n v="2.6315789473684209E-2"/>
    <d v="2026-04-16T00:00:00"/>
    <d v="2026-04-16T00:00:00"/>
    <n v="6"/>
    <s v="6-9 Months"/>
    <s v="NO DATA"/>
    <s v="NO DATA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4750"/>
    <x v="235"/>
    <s v="CALLE 36 # 22-50 BUCARAMANGA SANTANDER"/>
    <x v="7"/>
    <x v="29"/>
    <s v="TRADITIONAL"/>
    <x v="1"/>
    <s v="SANTANDER"/>
    <x v="1"/>
    <s v="LOPEZ PALACIO PABLO EMILIO"/>
    <s v="GRANADOS NAVARRO YEFERSON ORLANDO"/>
    <x v="2"/>
    <x v="6"/>
    <n v="0"/>
    <n v="2.6315789473684209E-2"/>
    <d v="2026-04-16T00:00:00"/>
    <d v="2026-04-16T00:00:00"/>
    <n v="6"/>
    <s v="6-9 Months"/>
    <s v="D"/>
    <s v="D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3209"/>
    <x v="236"/>
    <s v="CALLE 9 # 7-29"/>
    <x v="7"/>
    <x v="29"/>
    <s v="TRADITIONAL"/>
    <x v="54"/>
    <s v="SANTANDER"/>
    <x v="1"/>
    <s v="PRENT SAMPAYO ANDERSON GUILLERMO"/>
    <s v="GRANADOS NAVARRO YEFERSON ORLANDO"/>
    <x v="2"/>
    <x v="6"/>
    <n v="0"/>
    <n v="2.6315789473684209E-2"/>
    <d v="2026-04-16T00:00:00"/>
    <d v="2026-04-16T00:00:00"/>
    <n v="6"/>
    <s v="6-9 Months"/>
    <s v="D"/>
    <s v="D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3210"/>
    <x v="237"/>
    <s v="CARRERA 6 # 10-97"/>
    <x v="7"/>
    <x v="29"/>
    <s v="TRADITIONAL"/>
    <x v="54"/>
    <s v="SANTANDER"/>
    <x v="1"/>
    <s v="PRENT SAMPAYO ANDERSON GUILLERMO"/>
    <s v="GRANADOS NAVARRO YEFERSON ORLANDO"/>
    <x v="2"/>
    <x v="6"/>
    <n v="0"/>
    <n v="2.6315789473684209E-2"/>
    <d v="2026-04-16T00:00:00"/>
    <d v="2026-04-16T00:00:00"/>
    <n v="6"/>
    <s v="6-9 Months"/>
    <s v="D"/>
    <s v="D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4747"/>
    <x v="232"/>
    <s v="CALLE 36 # 23-59 BUCARAMANGA SANTANDER"/>
    <x v="7"/>
    <x v="12"/>
    <s v="TRADITIONAL"/>
    <x v="1"/>
    <s v="SANTANDER"/>
    <x v="1"/>
    <s v="LOPEZ PALACIO PABLO EMILIO"/>
    <s v="GRANADOS NAVARRO YEFERSON ORLANDO"/>
    <x v="2"/>
    <x v="6"/>
    <n v="0"/>
    <n v="2.6315789473684209E-2"/>
    <d v="2026-04-16T00:00:00"/>
    <d v="2026-04-16T00:00:00"/>
    <n v="6"/>
    <s v="6-9 Months"/>
    <s v="C"/>
    <s v="C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6417"/>
    <x v="169"/>
    <s v="AVENIDA ANILLO VIAL ORIENTAL # 13-70 CUCUTA NORTE DE SANTANDER"/>
    <x v="1"/>
    <x v="10"/>
    <s v="HIPERMERCADO"/>
    <x v="11"/>
    <s v="NORTE DE SANTANDER"/>
    <x v="1"/>
    <s v="PRENT SAMPAYO ANDERSON GUILLERMO"/>
    <s v="GRANADOS NAVARRO YEFERSON ORLANDO"/>
    <x v="2"/>
    <x v="1"/>
    <n v="0"/>
    <n v="2.6315789473684209E-2"/>
    <d v="2026-04-16T00:00:00"/>
    <d v="2026-04-16T00:00:00"/>
    <n v="6"/>
    <s v="6-9 Months"/>
    <s v="D"/>
    <s v="B"/>
    <x v="1"/>
    <s v="SIN ASIGNAR"/>
    <s v="SIN ASIGNAR"/>
    <s v="SI"/>
    <d v="1977-08-16T00:00:00"/>
    <n v="49"/>
    <s v="MASCULINO"/>
  </r>
  <r>
    <x v="0"/>
    <x v="0"/>
    <x v="0"/>
    <s v="91498870"/>
    <s v="GOMEZ OSCAR"/>
    <x v="12"/>
    <x v="5"/>
    <x v="2"/>
    <s v="C813_00000000007030"/>
    <x v="31"/>
    <s v="CALLE 8 #5-46"/>
    <x v="7"/>
    <x v="8"/>
    <s v="TRADITIONAL"/>
    <x v="11"/>
    <s v="NORTE DE SANTANDER"/>
    <x v="1"/>
    <s v="PRENT SAMPAYO ANDERSON GUILLERMO"/>
    <s v="GRANADOS NAVARRO YEFERSON ORLANDO"/>
    <x v="2"/>
    <x v="6"/>
    <n v="0"/>
    <n v="2.6315789473684209E-2"/>
    <d v="2026-04-16T00:00:00"/>
    <d v="2026-04-16T00:00:00"/>
    <n v="6"/>
    <s v="6-9 Months"/>
    <s v="NO DATA"/>
    <s v="NO DATA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5037"/>
    <x v="139"/>
    <s v="AVENIDA 5 # 8-37 CUCUTA"/>
    <x v="7"/>
    <x v="23"/>
    <s v="TRADITIONAL"/>
    <x v="11"/>
    <s v="NORTE DE SANTANDER"/>
    <x v="1"/>
    <s v="PRENT SAMPAYO ANDERSON GUILLERMO"/>
    <s v="GRANADOS NAVARRO YEFERSON ORLANDO"/>
    <x v="2"/>
    <x v="6"/>
    <n v="0"/>
    <n v="2.6315789473684209E-2"/>
    <d v="2026-04-16T00:00:00"/>
    <d v="2026-04-16T00:00:00"/>
    <n v="6"/>
    <s v="6-9 Months"/>
    <s v="D"/>
    <s v="D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6815"/>
    <x v="219"/>
    <s v="CARRERA 27 # 36-07"/>
    <x v="7"/>
    <x v="23"/>
    <s v="TRADITIONAL"/>
    <x v="1"/>
    <s v="SANTANDER"/>
    <x v="1"/>
    <s v="LOPEZ PALACIO PABLO EMILIO"/>
    <s v="GRANADOS NAVARRO YEFERSON ORLANDO"/>
    <x v="2"/>
    <x v="6"/>
    <n v="0"/>
    <n v="2.6315789473684209E-2"/>
    <d v="2026-04-16T00:00:00"/>
    <d v="2026-04-16T00:00:00"/>
    <n v="6"/>
    <s v="6-9 Months"/>
    <s v="NO DATA"/>
    <s v="NO DATA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4531"/>
    <x v="215"/>
    <s v="CRA 16 # 19-29 ARAUCA ARAUCA"/>
    <x v="7"/>
    <x v="27"/>
    <s v="TRADITIONAL"/>
    <x v="51"/>
    <s v="ARAUCA"/>
    <x v="1"/>
    <s v="PRENT SAMPAYO ANDERSON GUILLERMO"/>
    <s v="GRANADOS NAVARRO YEFERSON ORLANDO"/>
    <x v="2"/>
    <x v="6"/>
    <n v="0"/>
    <n v="2.6315789473684209E-2"/>
    <d v="2026-04-16T00:00:00"/>
    <d v="2026-04-16T00:00:00"/>
    <n v="6"/>
    <s v="6-9 Months"/>
    <s v="D"/>
    <s v="D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7275"/>
    <x v="220"/>
    <s v="CARRERA 17 # 31 - 67 "/>
    <x v="7"/>
    <x v="28"/>
    <s v="TRADITIONAL"/>
    <x v="1"/>
    <s v="SANTANDER"/>
    <x v="1"/>
    <s v="LOPEZ PALACIO PABLO EMILIO"/>
    <s v="GRANADOS NAVARRO YEFERSON ORLANDO"/>
    <x v="2"/>
    <x v="6"/>
    <n v="0"/>
    <n v="2.6315789473684209E-2"/>
    <d v="2026-04-16T00:00:00"/>
    <d v="2026-04-16T00:00:00"/>
    <n v="6"/>
    <s v="6-9 Months"/>
    <s v="NO DATA"/>
    <s v="NO DATA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4750"/>
    <x v="235"/>
    <s v="CALLE 36 # 22-50 BUCARAMANGA SANTANDER"/>
    <x v="7"/>
    <x v="29"/>
    <s v="TRADITIONAL"/>
    <x v="1"/>
    <s v="SANTANDER"/>
    <x v="1"/>
    <s v="LOPEZ PALACIO PABLO EMILIO"/>
    <s v="GRANADOS NAVARRO YEFERSON ORLANDO"/>
    <x v="2"/>
    <x v="6"/>
    <n v="0"/>
    <n v="2.6315789473684209E-2"/>
    <d v="2026-04-16T00:00:00"/>
    <d v="2026-04-16T00:00:00"/>
    <n v="6"/>
    <s v="6-9 Months"/>
    <s v="D"/>
    <s v="D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1237"/>
    <x v="134"/>
    <s v="DIAG 56 # 18A-88 BARRANCABERMEJA SANTANDER"/>
    <x v="1"/>
    <x v="10"/>
    <s v="HIPERMERCADO"/>
    <x v="36"/>
    <s v="SANTANDER"/>
    <x v="1"/>
    <s v="LOPEZ PALACIO PABLO EMILIO"/>
    <s v="GRANADOS NAVARRO YEFERSON ORLANDO"/>
    <x v="2"/>
    <x v="1"/>
    <n v="0"/>
    <n v="2.6315789473684209E-2"/>
    <d v="2026-04-16T00:00:00"/>
    <d v="2026-04-16T00:00:00"/>
    <n v="6"/>
    <s v="6-9 Months"/>
    <s v="C"/>
    <s v="B"/>
    <x v="1"/>
    <s v="SIN ASIGNAR"/>
    <s v="SIN ASIGNAR"/>
    <s v="SI"/>
    <d v="1977-08-16T00:00:00"/>
    <n v="49"/>
    <s v="MASCULINO"/>
  </r>
  <r>
    <x v="0"/>
    <x v="0"/>
    <x v="0"/>
    <s v="91498870"/>
    <s v="GOMEZ OSCAR"/>
    <x v="12"/>
    <x v="5"/>
    <x v="2"/>
    <s v="C813_00000000000726"/>
    <x v="132"/>
    <s v="CRA 16 CON CALLE 103 CC COMERCIAL UNICO LOCAL 231 BARRIO FONTANAR"/>
    <x v="1"/>
    <x v="10"/>
    <s v="HIPERMERCADO"/>
    <x v="1"/>
    <s v="SANTANDER"/>
    <x v="1"/>
    <s v="LOPEZ PALACIO PABLO EMILIO"/>
    <s v="GRANADOS NAVARRO YEFERSON ORLANDO"/>
    <x v="2"/>
    <x v="1"/>
    <n v="0"/>
    <n v="2.6315789473684209E-2"/>
    <d v="2026-04-16T00:00:00"/>
    <d v="2026-04-16T00:00:00"/>
    <n v="6"/>
    <s v="6-9 Months"/>
    <s v="D"/>
    <s v="D"/>
    <x v="1"/>
    <s v="SIN ASIGNAR"/>
    <s v="SIN ASIGNAR"/>
    <s v="SI"/>
    <d v="1977-08-16T00:00:00"/>
    <n v="49"/>
    <s v="MASCULINO"/>
  </r>
  <r>
    <x v="0"/>
    <x v="0"/>
    <x v="0"/>
    <s v="91498870"/>
    <s v="GOMEZ OSCAR"/>
    <x v="12"/>
    <x v="5"/>
    <x v="2"/>
    <s v="C813_00000000005101"/>
    <x v="246"/>
    <s v="CALLE 15 # 3AN - 40 CENTRO COMERCIAL DE LA CUESTA LOCAL 154 PRIMER PISO, PIEDECUESTA, SANTANDER"/>
    <x v="1"/>
    <x v="10"/>
    <s v="HIPERMERCADO"/>
    <x v="1"/>
    <s v="SANTANDER"/>
    <x v="1"/>
    <s v="LOPEZ PALACIO PABLO EMILIO"/>
    <s v="GRANADOS NAVARRO YEFERSON ORLANDO"/>
    <x v="2"/>
    <x v="1"/>
    <n v="0"/>
    <n v="2.6315789473684209E-2"/>
    <d v="2026-04-16T00:00:00"/>
    <d v="2026-04-16T00:00:00"/>
    <n v="6"/>
    <s v="6-9 Months"/>
    <s v="D"/>
    <s v="B"/>
    <x v="1"/>
    <s v="SIN ASIGNAR"/>
    <s v="SIN ASIGNAR"/>
    <s v="SI"/>
    <d v="1977-08-16T00:00:00"/>
    <n v="49"/>
    <s v="MASCULINO"/>
  </r>
  <r>
    <x v="0"/>
    <x v="0"/>
    <x v="0"/>
    <s v="91498870"/>
    <s v="GOMEZ OSCAR"/>
    <x v="12"/>
    <x v="5"/>
    <x v="2"/>
    <s v="C813_00000000001059"/>
    <x v="187"/>
    <s v="CRA 27 # 35-37 BUCARAMANGA SANTANDER"/>
    <x v="1"/>
    <x v="10"/>
    <s v="HIPERMERCADO"/>
    <x v="1"/>
    <s v="SANTANDER"/>
    <x v="1"/>
    <s v="LOPEZ PALACIO PABLO EMILIO"/>
    <s v="GRANADOS NAVARRO YEFERSON ORLANDO"/>
    <x v="2"/>
    <x v="1"/>
    <n v="0"/>
    <n v="2.6315789473684209E-2"/>
    <d v="2026-04-16T00:00:00"/>
    <d v="2026-04-16T00:00:00"/>
    <n v="6"/>
    <s v="6-9 Months"/>
    <s v="D"/>
    <s v="B"/>
    <x v="1"/>
    <s v="SIN ASIGNAR"/>
    <s v="SIN ASIGNAR"/>
    <s v="SI"/>
    <d v="1977-08-16T00:00:00"/>
    <n v="49"/>
    <s v="MASCULINO"/>
  </r>
  <r>
    <x v="0"/>
    <x v="0"/>
    <x v="0"/>
    <s v="91498870"/>
    <s v="GOMEZ OSCAR"/>
    <x v="12"/>
    <x v="5"/>
    <x v="2"/>
    <s v="C813_00000000006329"/>
    <x v="3"/>
    <s v="ANILLO VIAL KM 2 5 VIA FLORIDABLANCA GIRON FLORIDABLANCA SANTANDER"/>
    <x v="1"/>
    <x v="2"/>
    <s v="HIPERMERCADO"/>
    <x v="15"/>
    <s v="SANTANDER"/>
    <x v="1"/>
    <s v="PRENT SAMPAYO ANDERSON GUILLERMO"/>
    <s v="GRANADOS NAVARRO YEFERSON ORLANDO"/>
    <x v="2"/>
    <x v="1"/>
    <n v="0"/>
    <n v="2.6315789473684209E-2"/>
    <d v="2026-04-16T00:00:00"/>
    <d v="2026-04-16T00:00:00"/>
    <n v="6"/>
    <s v="6-9 Months"/>
    <s v="B"/>
    <s v="B"/>
    <x v="1"/>
    <s v="SIN ASIGNAR"/>
    <s v="SIN ASIGNAR"/>
    <s v="SI"/>
    <d v="1977-08-16T00:00:00"/>
    <n v="49"/>
    <s v="MASCULINO"/>
  </r>
  <r>
    <x v="0"/>
    <x v="0"/>
    <x v="0"/>
    <s v="91498870"/>
    <s v="GOMEZ OSCAR"/>
    <x v="12"/>
    <x v="5"/>
    <x v="2"/>
    <s v="C813_00000000004472"/>
    <x v="168"/>
    <s v="CALLE 10 #12 - 184, SAN GIL, NORTE DE SANTANDER"/>
    <x v="4"/>
    <x v="5"/>
    <s v="HIPERMERCADO"/>
    <x v="42"/>
    <s v="SANTANDER"/>
    <x v="1"/>
    <s v="PRENT SAMPAYO ANDERSON GUILLERMO"/>
    <s v="GRANADOS NAVARRO YEFERSON ORLANDO"/>
    <x v="2"/>
    <x v="3"/>
    <n v="0"/>
    <n v="2.6315789473684209E-2"/>
    <d v="2026-04-16T00:00:00"/>
    <d v="2026-04-16T00:00:00"/>
    <n v="6"/>
    <s v="6-9 Months"/>
    <s v="A"/>
    <s v="D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0784"/>
    <x v="261"/>
    <s v="CALLE 50 # 10-75 BARRANCABERMEJA SANTANDER"/>
    <x v="2"/>
    <x v="3"/>
    <s v="HIPERMERCADO"/>
    <x v="36"/>
    <s v="SANTANDER"/>
    <x v="1"/>
    <s v="LOPEZ PALACIO PABLO EMILIO"/>
    <s v="GRANADOS NAVARRO YEFERSON ORLANDO"/>
    <x v="2"/>
    <x v="2"/>
    <n v="0"/>
    <n v="2.6315789473684209E-2"/>
    <d v="2026-04-16T00:00:00"/>
    <d v="2026-04-16T00:00:00"/>
    <n v="6"/>
    <s v="6-9 Months"/>
    <s v="B"/>
    <s v="C"/>
    <x v="1"/>
    <s v="SIN ASIGNAR"/>
    <s v="SIN ASIGNAR"/>
    <s v="SI"/>
    <d v="1977-08-16T00:00:00"/>
    <n v="49"/>
    <s v="MASCULINO"/>
  </r>
  <r>
    <x v="0"/>
    <x v="0"/>
    <x v="0"/>
    <s v="91498870"/>
    <s v="GOMEZ OSCAR"/>
    <x v="12"/>
    <x v="5"/>
    <x v="2"/>
    <s v="C813_00000000000710"/>
    <x v="28"/>
    <s v="AVENIDA DEMETRIO MENDOZA  DIAGONAL SANTANDER, CUCUTA, NORTE DE SANTANDER"/>
    <x v="2"/>
    <x v="3"/>
    <s v="HIPERMERCADO"/>
    <x v="11"/>
    <s v="NORTE DE SANTANDER"/>
    <x v="1"/>
    <s v="PRENT SAMPAYO ANDERSON GUILLERMO"/>
    <s v="GRANADOS NAVARRO YEFERSON ORLANDO"/>
    <x v="2"/>
    <x v="2"/>
    <n v="0"/>
    <n v="2.6315789473684209E-2"/>
    <d v="2026-04-16T00:00:00"/>
    <d v="2026-04-16T00:00:00"/>
    <n v="6"/>
    <s v="6-9 Months"/>
    <s v="B"/>
    <s v="B"/>
    <x v="1"/>
    <s v="SIN ASIGNAR"/>
    <s v="SIN ASIGNAR"/>
    <s v="SI"/>
    <d v="1977-08-16T00:00:00"/>
    <n v="49"/>
    <s v="MASCULINO"/>
  </r>
  <r>
    <x v="0"/>
    <x v="0"/>
    <x v="0"/>
    <s v="91498870"/>
    <s v="GOMEZ OSCAR"/>
    <x v="12"/>
    <x v="5"/>
    <x v="2"/>
    <s v="C813_00000000000115"/>
    <x v="25"/>
    <s v="CARRERA 17 # 45-77 BUCARAMANGA SANTANDER"/>
    <x v="2"/>
    <x v="3"/>
    <s v="HIPERMERCADO"/>
    <x v="1"/>
    <s v="SANTANDER"/>
    <x v="1"/>
    <s v="LOPEZ PALACIO PABLO EMILIO"/>
    <s v="GRANADOS NAVARRO YEFERSON ORLANDO"/>
    <x v="2"/>
    <x v="2"/>
    <n v="0"/>
    <n v="2.6315789473684209E-2"/>
    <d v="2026-04-16T00:00:00"/>
    <d v="2026-04-16T00:00:00"/>
    <n v="6"/>
    <s v="6-9 Months"/>
    <s v="A"/>
    <s v="A"/>
    <x v="1"/>
    <s v="SIN ASIGNAR"/>
    <s v="SIN ASIGNAR"/>
    <s v="SI"/>
    <d v="1977-08-16T00:00:00"/>
    <n v="49"/>
    <s v="MASCULINO"/>
  </r>
  <r>
    <x v="0"/>
    <x v="0"/>
    <x v="0"/>
    <s v="91498870"/>
    <s v="GOMEZ OSCAR"/>
    <x v="12"/>
    <x v="5"/>
    <x v="2"/>
    <s v="C813_00000000000933"/>
    <x v="260"/>
    <s v="CALLE 11 # 10-55"/>
    <x v="2"/>
    <x v="3"/>
    <s v="HIPERMERCADO"/>
    <x v="57"/>
    <s v="NORTE DE SANTANDER"/>
    <x v="1"/>
    <s v="PRENT SAMPAYO ANDERSON GUILLERMO"/>
    <s v="GRANADOS NAVARRO YEFERSON ORLANDO"/>
    <x v="2"/>
    <x v="2"/>
    <n v="0"/>
    <n v="2.6315789473684209E-2"/>
    <d v="2026-04-16T00:00:00"/>
    <d v="2026-04-16T00:00:00"/>
    <n v="6"/>
    <s v="6-9 Months"/>
    <s v="C"/>
    <s v="C"/>
    <x v="1"/>
    <s v="SIN ASIGNAR"/>
    <s v="SIN ASIGNAR"/>
    <s v="SI"/>
    <d v="1977-08-16T00:00:00"/>
    <n v="49"/>
    <s v="MASCULINO"/>
  </r>
  <r>
    <x v="0"/>
    <x v="0"/>
    <x v="0"/>
    <s v="91498870"/>
    <s v="GOMEZ OSCAR"/>
    <x v="12"/>
    <x v="5"/>
    <x v="2"/>
    <s v="C813_00000000001132"/>
    <x v="244"/>
    <s v="CRA 23 # 29-145 LOCAL 101 BUCARAMANGA SANTANDER"/>
    <x v="6"/>
    <x v="7"/>
    <s v="HIPERMERCADO"/>
    <x v="1"/>
    <s v="SANTANDER"/>
    <x v="1"/>
    <s v="LOPEZ PALACIO PABLO EMILIO"/>
    <s v="GRANADOS NAVARRO YEFERSON ORLANDO"/>
    <x v="2"/>
    <x v="5"/>
    <n v="0"/>
    <n v="2.6315789473684209E-2"/>
    <d v="2026-04-16T00:00:00"/>
    <d v="2026-04-16T00:00:00"/>
    <n v="6"/>
    <s v="6-9 Months"/>
    <s v="B"/>
    <s v="C"/>
    <x v="1"/>
    <s v="SIN ASIGNAR"/>
    <s v="SIN ASIGNAR"/>
    <s v="NO"/>
    <d v="1977-08-16T00:00:00"/>
    <n v="49"/>
    <s v="MASCULINO"/>
  </r>
  <r>
    <x v="0"/>
    <x v="0"/>
    <x v="0"/>
    <s v="91498870"/>
    <s v="GOMEZ OSCAR"/>
    <x v="12"/>
    <x v="5"/>
    <x v="2"/>
    <s v="C813_00000000001057"/>
    <x v="113"/>
    <s v="TV 93 # 34-99 BUCARAMANGA SANTANDER"/>
    <x v="1"/>
    <x v="1"/>
    <s v="HIPERMERCADO"/>
    <x v="1"/>
    <s v="SANTANDER"/>
    <x v="1"/>
    <s v="LOPEZ PALACIO PABLO EMILIO"/>
    <s v="GRANADOS NAVARRO YEFERSON ORLANDO"/>
    <x v="2"/>
    <x v="1"/>
    <n v="0"/>
    <n v="2.6315789473684209E-2"/>
    <d v="2026-04-16T00:00:00"/>
    <d v="2026-04-16T00:00:00"/>
    <n v="6"/>
    <s v="6-9 Months"/>
    <s v="D"/>
    <s v="D"/>
    <x v="1"/>
    <s v="SIN ASIGNAR"/>
    <s v="SIN ASIGNAR"/>
    <s v="SI"/>
    <d v="1977-08-16T00:00:00"/>
    <n v="49"/>
    <s v="MASCULINO"/>
  </r>
  <r>
    <x v="0"/>
    <x v="0"/>
    <x v="0"/>
    <s v="1053348209"/>
    <s v="ALFONSO MARTINEZ VICTOR EMMANUEL"/>
    <x v="12"/>
    <x v="5"/>
    <x v="2"/>
    <s v="EN CREACION_36"/>
    <x v="84"/>
    <s v="NO APLICA"/>
    <x v="3"/>
    <x v="4"/>
    <s v="TRADITIONAL"/>
    <x v="0"/>
    <s v="CUNDINAMARCA"/>
    <x v="0"/>
    <s v="GAVIRIA FERRO DIEGO MAURICIO"/>
    <s v="PASTUSO ACHICUE CLAUDIA PATRICIA"/>
    <x v="10"/>
    <x v="3"/>
    <n v="1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C813_00000000006341"/>
    <x v="24"/>
    <s v="CRA 1 # 38-53 CC VENTURA TERREROS, LOCAL 113"/>
    <x v="3"/>
    <x v="4"/>
    <s v="TRADITIONAL"/>
    <x v="1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C813_00000000003351"/>
    <x v="79"/>
    <s v="CLL 185 # 45 - 03 LC N1-022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C813_00000000005050"/>
    <x v="222"/>
    <s v="AV CARRERA 45 (AUTO NORTE) NO. 166-68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C813_00000000006396"/>
    <x v="100"/>
    <s v="CARRERA 51 N° 59 C SUR 93 LC 1-23 Y 1-24 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SED_0029"/>
    <x v="145"/>
    <s v="CARRERA 23 166-86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C813_00000000001140"/>
    <x v="167"/>
    <s v="CC PLAZA DE LAS AMÉRICAS CRA 71D NO. 6-94 SUR, LOCAL 1639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C813_00000000006342"/>
    <x v="193"/>
    <s v="AV BOYACÁ # 80-94-CC TITÁN PLAZA, LOCAL 362-363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CLARO_026"/>
    <x v="202"/>
    <s v="CALLE 57D SUR 78H 14, LOCAL 115 Y 115B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SED_0033"/>
    <x v="223"/>
    <s v=" CRA 7 N° 22-20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SED_0057"/>
    <x v="204"/>
    <s v="CR 54 # 5 C - 66 BOGOTA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C813_00000000005012"/>
    <x v="164"/>
    <s v="CARRERA 100 # 19-57 BOGOTA - CUNDINAMARCA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C813_00000000005705"/>
    <x v="150"/>
    <s v="CARRERA 3 # 15A-57"/>
    <x v="3"/>
    <x v="4"/>
    <s v="TRADITIONAL"/>
    <x v="32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SED_0015"/>
    <x v="85"/>
    <s v="CR 42 BIS #17A-53 OFI 502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C813_00000000000641"/>
    <x v="156"/>
    <s v="AV CARRERA 68 # 39 I - 37 SUR  BOGOTA - CUNDINAMARCA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EN CREACION_16"/>
    <x v="186"/>
    <s v="EN VALIDACION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SED_0030"/>
    <x v="203"/>
    <s v="​CR 58B # 130A - 13 CIUDAD JARDIN NORTE PISO 2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C813_00000000000596"/>
    <x v="224"/>
    <s v="CALLE 71B # 100-11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C813_00000000003336"/>
    <x v="166"/>
    <s v="AVENIDA CARRERA 27 # 38 A - 27 SUR  BOGOTA - CUNDINAMARCA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C813_00000000006340"/>
    <x v="99"/>
    <s v="CALLE 65 SUR # 78 H-51 BOGOTA - CUNDINAMARCA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C813_00000000000619"/>
    <x v="165"/>
    <s v="AVENIDA CARRERA 80 # 44-19 SUR BOGOTA - CUNDINAMARCA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C813_00000000006155"/>
    <x v="192"/>
    <s v="CRA 68 A # 24 B-10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C813_00000000003349"/>
    <x v="78"/>
    <s v="CARRERA 104 # 148 - 07  BOGOTA - CUNDINAMARCA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C813_00000000000632"/>
    <x v="157"/>
    <s v="AV CARACAS # 10-09 BOGOTA - CUNDINAMARCA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B"/>
    <s v="B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C813_00000000000753"/>
    <x v="23"/>
    <s v="CARRERA 7 # 32-35 SOACHA - CUNDINAMARCA"/>
    <x v="3"/>
    <x v="4"/>
    <s v="TRADITIONAL"/>
    <x v="1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B"/>
    <s v="B"/>
    <x v="0"/>
    <n v="3102620243"/>
    <s v="OK LINEA"/>
    <s v="NO"/>
    <d v="1997-09-21T00:00:00"/>
    <n v="29"/>
    <s v="MASCULINO"/>
  </r>
  <r>
    <x v="0"/>
    <x v="0"/>
    <x v="0"/>
    <s v="1069719793"/>
    <s v="GOMEZ SANDOVAL JOSE GUSTAVO"/>
    <x v="12"/>
    <x v="5"/>
    <x v="2"/>
    <s v="C813_00000000000001"/>
    <x v="30"/>
    <s v="CALLE 38 A SUR # 34D-51 MUELLE FALABELLA BOGOTA"/>
    <x v="6"/>
    <x v="7"/>
    <s v="HIPERMERCADO"/>
    <x v="0"/>
    <s v="CUNDINAMARCA"/>
    <x v="0"/>
    <s v="PEÑA GARCIA JOINER ALEXIS"/>
    <s v="PASTUSO ACHICUE CLAUDIA PATRICIA"/>
    <x v="12"/>
    <x v="5"/>
    <n v="1"/>
    <n v="5.2631578947368418E-2"/>
    <d v="2026-04-27T00:00:00"/>
    <d v="2026-04-27T00:00:00"/>
    <n v="5"/>
    <s v="3-6 Months"/>
    <s v="B"/>
    <s v="B"/>
    <x v="1"/>
    <n v="3102712507"/>
    <s v="OK LINEA"/>
    <s v="SI"/>
    <d v="1987-07-21T00:00:00"/>
    <n v="39"/>
    <s v="FEMENINO"/>
  </r>
  <r>
    <x v="0"/>
    <x v="0"/>
    <x v="0"/>
    <s v="1069719793"/>
    <s v="GOMEZ SANDOVAL JOSE GUSTAVO"/>
    <x v="12"/>
    <x v="5"/>
    <x v="2"/>
    <s v="C813_00000000005391"/>
    <x v="264"/>
    <s v="AV. BOYACA # 145-2 BOGOTA"/>
    <x v="6"/>
    <x v="7"/>
    <s v="HIPERMERCADO"/>
    <x v="0"/>
    <s v="CUNDINAMARCA"/>
    <x v="0"/>
    <s v="PEÑA GARCIA JOINER ALEXIS"/>
    <s v="PASTUSO ACHICUE CLAUDIA PATRICIA"/>
    <x v="12"/>
    <x v="5"/>
    <n v="0"/>
    <n v="5.2631578947368418E-2"/>
    <d v="2026-04-27T00:00:00"/>
    <d v="2026-04-27T00:00:00"/>
    <n v="5"/>
    <s v="3-6 Months"/>
    <s v="A"/>
    <s v="C"/>
    <x v="1"/>
    <n v="3102712507"/>
    <s v="OK LINEA"/>
    <s v="SI"/>
    <d v="1987-07-21T00:00:00"/>
    <n v="39"/>
    <s v="FEMENINO"/>
  </r>
  <r>
    <x v="0"/>
    <x v="0"/>
    <x v="0"/>
    <s v="1069719793"/>
    <s v="GOMEZ SANDOVAL JOSE GUSTAVO"/>
    <x v="12"/>
    <x v="5"/>
    <x v="2"/>
    <s v="C813_00000000004452"/>
    <x v="218"/>
    <s v="KM 2.5 VIA CHIA-CAJICA COSTADO ORIENTAL LOCAL ANCALLEA # 4 CHIA CUNDINAMARCA"/>
    <x v="6"/>
    <x v="7"/>
    <s v="HIPERMERCADO"/>
    <x v="7"/>
    <s v="CUNDINAMARCA"/>
    <x v="0"/>
    <s v="PEÑA GARCIA JOINER ALEXIS"/>
    <s v="PASTUSO ACHICUE CLAUDIA PATRICIA"/>
    <x v="12"/>
    <x v="5"/>
    <n v="0"/>
    <n v="5.2631578947368418E-2"/>
    <d v="2026-04-27T00:00:00"/>
    <d v="2026-04-27T00:00:00"/>
    <n v="5"/>
    <s v="3-6 Months"/>
    <s v="B"/>
    <s v="A"/>
    <x v="1"/>
    <n v="3102712507"/>
    <s v="OK LINEA"/>
    <s v="SI"/>
    <d v="1987-07-21T00:00:00"/>
    <n v="39"/>
    <s v="FEMENINO"/>
  </r>
  <r>
    <x v="0"/>
    <x v="0"/>
    <x v="0"/>
    <s v="1214469307"/>
    <s v="NAVA VIDIANNY"/>
    <x v="1"/>
    <x v="1"/>
    <x v="2"/>
    <s v="C813_00000000000005"/>
    <x v="276"/>
    <s v="CALLE 183 # 45-03 MUELLE FALABELLA BOGOTA"/>
    <x v="6"/>
    <x v="7"/>
    <s v="HIPERMERCADO"/>
    <x v="0"/>
    <s v="CUNDINAMARCA"/>
    <x v="0"/>
    <s v="PEÑA GARCIA JOINER ALEXIS"/>
    <s v="PASTUSO ACHICUE CLAUDIA PATRICIA"/>
    <x v="12"/>
    <x v="5"/>
    <n v="0"/>
    <n v="0.5"/>
    <d v="2025-10-20T00:00:00"/>
    <d v="2025-10-20T00:00:00"/>
    <n v="11"/>
    <s v="9-12 Months"/>
    <s v="D"/>
    <s v="D"/>
    <x v="1"/>
    <n v="3102683817"/>
    <s v="OK LINEA"/>
    <s v="NO"/>
    <d v="2003-12-29T00:00:00"/>
    <n v="22"/>
    <s v="FEMENINO"/>
  </r>
  <r>
    <x v="0"/>
    <x v="0"/>
    <x v="0"/>
    <s v="1069719793"/>
    <s v="GOMEZ SANDOVAL JOSE GUSTAVO"/>
    <x v="12"/>
    <x v="5"/>
    <x v="2"/>
    <s v="C813_00000000000002"/>
    <x v="70"/>
    <s v="CALLE 53 #  25 - 30 BOGOTA CUNDINAMARCA"/>
    <x v="6"/>
    <x v="7"/>
    <s v="HIPERMERCADO"/>
    <x v="0"/>
    <s v="CUNDINAMARCA"/>
    <x v="0"/>
    <s v="PEÑA GARCIA JOINER ALEXIS"/>
    <s v="PASTUSO ACHICUE CLAUDIA PATRICIA"/>
    <x v="12"/>
    <x v="5"/>
    <n v="0"/>
    <n v="5.2631578947368418E-2"/>
    <d v="2026-04-27T00:00:00"/>
    <d v="2026-04-27T00:00:00"/>
    <n v="5"/>
    <s v="3-6 Months"/>
    <s v="C"/>
    <s v="C"/>
    <x v="1"/>
    <n v="3102712507"/>
    <s v="OK LINEA"/>
    <s v="NO"/>
    <d v="1987-07-21T00:00:00"/>
    <n v="39"/>
    <s v="FEMENINO"/>
  </r>
  <r>
    <x v="0"/>
    <x v="0"/>
    <x v="0"/>
    <s v="1069719793"/>
    <s v="GOMEZ SANDOVAL JOSE GUSTAVO"/>
    <x v="12"/>
    <x v="5"/>
    <x v="2"/>
    <s v="C813_00000000000005"/>
    <x v="276"/>
    <s v="CALLE 183 # 45-03 MUELLE FALABELLA BOGOTA"/>
    <x v="6"/>
    <x v="7"/>
    <s v="HIPERMERCADO"/>
    <x v="0"/>
    <s v="CUNDINAMARCA"/>
    <x v="0"/>
    <s v="PEÑA GARCIA JOINER ALEXIS"/>
    <s v="PASTUSO ACHICUE CLAUDIA PATRICIA"/>
    <x v="12"/>
    <x v="5"/>
    <n v="0"/>
    <n v="5.2631578947368418E-2"/>
    <d v="2026-04-27T00:00:00"/>
    <d v="2026-04-27T00:00:00"/>
    <n v="5"/>
    <s v="3-6 Months"/>
    <s v="D"/>
    <s v="D"/>
    <x v="1"/>
    <n v="3102712507"/>
    <s v="OK LINEA"/>
    <s v="NO"/>
    <d v="1987-07-21T00:00:00"/>
    <n v="39"/>
    <s v="FEMENINO"/>
  </r>
  <r>
    <x v="0"/>
    <x v="0"/>
    <x v="0"/>
    <s v="1069719793"/>
    <s v="GOMEZ SANDOVAL JOSE GUSTAVO"/>
    <x v="12"/>
    <x v="5"/>
    <x v="2"/>
    <s v="C813_00000000000943"/>
    <x v="158"/>
    <s v="CARRERA 72 # 80 - 94 PISO 3"/>
    <x v="6"/>
    <x v="7"/>
    <s v="HIPERMERCADO"/>
    <x v="0"/>
    <s v="CUNDINAMARCA"/>
    <x v="0"/>
    <s v="PEÑA GARCIA JOINER ALEXIS"/>
    <s v="PASTUSO ACHICUE CLAUDIA PATRICIA"/>
    <x v="12"/>
    <x v="5"/>
    <n v="0"/>
    <n v="5.2631578947368418E-2"/>
    <d v="2026-04-27T00:00:00"/>
    <d v="2026-04-27T00:00:00"/>
    <n v="5"/>
    <s v="3-6 Months"/>
    <s v="A"/>
    <s v="C"/>
    <x v="1"/>
    <n v="3102712507"/>
    <s v="OK LINEA"/>
    <s v="SI"/>
    <d v="1987-07-21T00:00:00"/>
    <n v="39"/>
    <s v="FEMENINO"/>
  </r>
  <r>
    <x v="0"/>
    <x v="0"/>
    <x v="0"/>
    <s v="1069719793"/>
    <s v="GOMEZ SANDOVAL JOSE GUSTAVO"/>
    <x v="12"/>
    <x v="5"/>
    <x v="2"/>
    <s v="C813_00000000000006"/>
    <x v="265"/>
    <s v="AV 15 # 123-30 MUELLE 8 FALABELLA BOGOTA"/>
    <x v="6"/>
    <x v="7"/>
    <s v="HIPERMERCADO"/>
    <x v="0"/>
    <s v="CUNDINAMARCA"/>
    <x v="0"/>
    <s v="PEÑA GARCIA JOINER ALEXIS"/>
    <s v="PASTUSO ACHICUE CLAUDIA PATRICIA"/>
    <x v="12"/>
    <x v="5"/>
    <n v="0"/>
    <n v="5.2631578947368418E-2"/>
    <d v="2026-04-27T00:00:00"/>
    <d v="2026-04-27T00:00:00"/>
    <n v="5"/>
    <s v="3-6 Months"/>
    <s v="C"/>
    <s v="C"/>
    <x v="1"/>
    <n v="3102712507"/>
    <s v="OK LINEA"/>
    <s v="SI"/>
    <d v="1987-07-21T00:00:00"/>
    <n v="39"/>
    <s v="FEMENINO"/>
  </r>
  <r>
    <x v="0"/>
    <x v="0"/>
    <x v="0"/>
    <s v="1053348209"/>
    <s v="ALFONSO MARTINEZ VICTOR EMMANUEL"/>
    <x v="12"/>
    <x v="5"/>
    <x v="2"/>
    <s v="SED_0022"/>
    <x v="163"/>
    <s v="CR 7 # 17 - 51 PISO 11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SED_0019"/>
    <x v="133"/>
    <s v="CARRERA 15 10051, USAQUÉN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SED_0047"/>
    <x v="277"/>
    <s v="CRA 16A # 78-11, OFICINA 302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NO DATA"/>
    <s v="NO DATA"/>
    <x v="0"/>
    <n v="3102620243"/>
    <s v="OK LINEA"/>
    <s v="NO"/>
    <d v="1997-09-21T00:00:00"/>
    <n v="29"/>
    <s v="MASCULINO"/>
  </r>
  <r>
    <x v="0"/>
    <x v="0"/>
    <x v="0"/>
    <s v="1053348209"/>
    <s v="ALFONSO MARTINEZ VICTOR EMMANUEL"/>
    <x v="12"/>
    <x v="5"/>
    <x v="2"/>
    <s v="EN CREACION_25"/>
    <x v="185"/>
    <s v="EN VALIDACION"/>
    <x v="3"/>
    <x v="4"/>
    <s v="TRADITIONAL"/>
    <x v="0"/>
    <s v="CUNDINAMARCA"/>
    <x v="0"/>
    <s v="GAVIRIA FERRO DIEGO MAURICIO"/>
    <s v="PASTUSO ACHICUE CLAUDIA PATRICIA"/>
    <x v="10"/>
    <x v="3"/>
    <n v="0"/>
    <n v="3.4482758620689655E-2"/>
    <d v="2025-08-18T00:00:00"/>
    <d v="2020-02-06T00:00:00"/>
    <n v="80"/>
    <s v="+24 Mounths"/>
    <s v="B"/>
    <s v="B"/>
    <x v="0"/>
    <n v="3102620243"/>
    <s v="OK LINEA"/>
    <s v="NO"/>
    <d v="1997-09-21T00:00:00"/>
    <n v="29"/>
    <s v="MASCULINO"/>
  </r>
  <r>
    <x v="0"/>
    <x v="0"/>
    <x v="0"/>
    <s v="1069719793"/>
    <s v="GOMEZ SANDOVAL JOSE GUSTAVO"/>
    <x v="12"/>
    <x v="5"/>
    <x v="2"/>
    <s v="C813_00000000006477"/>
    <x v="228"/>
    <s v="CARRERA 13 # 14-74"/>
    <x v="7"/>
    <x v="12"/>
    <s v="TRADITIONAL"/>
    <x v="0"/>
    <s v="CUNDINAMARCA"/>
    <x v="0"/>
    <s v="PEÑA GARCIA JOINER ALEXIS"/>
    <s v="PASTUSO ACHICUE CLAUDIA PATRICIA"/>
    <x v="12"/>
    <x v="6"/>
    <n v="0"/>
    <n v="5.2631578947368418E-2"/>
    <d v="2026-04-27T00:00:00"/>
    <d v="2026-04-27T00:00:00"/>
    <n v="5"/>
    <s v="3-6 Months"/>
    <s v="NO DATA"/>
    <s v="NO DATA"/>
    <x v="1"/>
    <n v="3102712507"/>
    <s v="OK LINEA"/>
    <s v="NO"/>
    <d v="1987-07-21T00:00:00"/>
    <n v="39"/>
    <s v="FEMENINO"/>
  </r>
  <r>
    <x v="0"/>
    <x v="0"/>
    <x v="0"/>
    <s v="1069719793"/>
    <s v="GOMEZ SANDOVAL JOSE GUSTAVO"/>
    <x v="12"/>
    <x v="5"/>
    <x v="2"/>
    <s v="ALCA_0001"/>
    <x v="72"/>
    <s v="CALLE 14# 13-58"/>
    <x v="7"/>
    <x v="12"/>
    <s v="TRADITIONAL"/>
    <x v="0"/>
    <s v="CUNDINAMARCA"/>
    <x v="0"/>
    <s v="PEÑA GARCIA JOINER ALEXIS"/>
    <s v="PASTUSO ACHICUE CLAUDIA PATRICIA"/>
    <x v="12"/>
    <x v="6"/>
    <n v="0"/>
    <n v="5.2631578947368418E-2"/>
    <d v="2026-04-27T00:00:00"/>
    <d v="2026-04-27T00:00:00"/>
    <n v="5"/>
    <s v="3-6 Months"/>
    <s v="NO DATA"/>
    <s v="NO DATA"/>
    <x v="1"/>
    <n v="3102712507"/>
    <s v="OK LINEA"/>
    <s v="NO"/>
    <d v="1987-07-21T00:00:00"/>
    <n v="39"/>
    <s v="FEMENINO"/>
  </r>
  <r>
    <x v="0"/>
    <x v="0"/>
    <x v="0"/>
    <s v="1069719793"/>
    <s v="GOMEZ SANDOVAL JOSE GUSTAVO"/>
    <x v="12"/>
    <x v="5"/>
    <x v="2"/>
    <s v="ALCA_0004"/>
    <x v="229"/>
    <s v="CRA 13 # 15-22"/>
    <x v="7"/>
    <x v="12"/>
    <s v="TRADITIONAL"/>
    <x v="0"/>
    <s v="CUNDINAMARCA"/>
    <x v="0"/>
    <s v="PEÑA GARCIA JOINER ALEXIS"/>
    <s v="PASTUSO ACHICUE CLAUDIA PATRICIA"/>
    <x v="12"/>
    <x v="6"/>
    <n v="0"/>
    <n v="5.2631578947368418E-2"/>
    <d v="2026-04-27T00:00:00"/>
    <d v="2026-04-27T00:00:00"/>
    <n v="5"/>
    <s v="3-6 Months"/>
    <s v="NO DATA"/>
    <s v="NO DATA"/>
    <x v="1"/>
    <n v="3102712507"/>
    <s v="OK LINEA"/>
    <s v="NO"/>
    <d v="1987-07-21T00:00:00"/>
    <n v="39"/>
    <s v="FEMENINO"/>
  </r>
  <r>
    <x v="0"/>
    <x v="0"/>
    <x v="0"/>
    <s v="1069719793"/>
    <s v="GOMEZ SANDOVAL JOSE GUSTAVO"/>
    <x v="12"/>
    <x v="5"/>
    <x v="2"/>
    <s v="ALCA_0005"/>
    <x v="230"/>
    <s v="CRA 13 # 16-98"/>
    <x v="7"/>
    <x v="12"/>
    <s v="TRADITIONAL"/>
    <x v="0"/>
    <s v="CUNDINAMARCA"/>
    <x v="0"/>
    <s v="PEÑA GARCIA JOINER ALEXIS"/>
    <s v="PASTUSO ACHICUE CLAUDIA PATRICIA"/>
    <x v="12"/>
    <x v="6"/>
    <n v="0"/>
    <n v="5.2631578947368418E-2"/>
    <d v="2026-04-27T00:00:00"/>
    <d v="2026-04-27T00:00:00"/>
    <n v="5"/>
    <s v="3-6 Months"/>
    <s v="NO DATA"/>
    <s v="NO DATA"/>
    <x v="1"/>
    <n v="3102712507"/>
    <s v="OK LINEA"/>
    <s v="NO"/>
    <d v="1987-07-21T00:00:00"/>
    <n v="39"/>
    <s v="FEMENINO"/>
  </r>
  <r>
    <x v="0"/>
    <x v="0"/>
    <x v="0"/>
    <s v="1030553121"/>
    <s v="CARREÑO GOMEZ DIANA MARCELA"/>
    <x v="12"/>
    <x v="5"/>
    <x v="2"/>
    <s v="C813_00000000000339"/>
    <x v="66"/>
    <s v="CALLE 8 # 21-156 ZIPAQUIRA CUNDINAMARCA"/>
    <x v="4"/>
    <x v="5"/>
    <s v="HIPERMERCADO"/>
    <x v="22"/>
    <s v="CUNDINAMARCA"/>
    <x v="0"/>
    <s v="GAVIRIA FERRO DIEGO MAURICIO"/>
    <s v="PASTUSO ACHICUE CLAUDIA PATRICIA"/>
    <x v="16"/>
    <x v="3"/>
    <n v="1"/>
    <n v="0.1"/>
    <d v="2025-02-24T00:00:00"/>
    <d v="2025-02-24T00:00:00"/>
    <n v="19"/>
    <s v="12-24 Months"/>
    <s v="B"/>
    <s v="D"/>
    <x v="1"/>
    <n v="3102716176"/>
    <s v="OK LINEA"/>
    <s v="NO"/>
    <d v="1988-11-26T00:00:00"/>
    <n v="37"/>
    <s v="FEMENINO"/>
  </r>
  <r>
    <x v="0"/>
    <x v="0"/>
    <x v="0"/>
    <s v="1030553121"/>
    <s v="CARREÑO GOMEZ DIANA MARCELA"/>
    <x v="12"/>
    <x v="5"/>
    <x v="2"/>
    <s v="C813_00000000000334"/>
    <x v="77"/>
    <s v="CALLE 146A # 106-20 BOGOTA"/>
    <x v="4"/>
    <x v="5"/>
    <s v="HIPERMERCADO"/>
    <x v="0"/>
    <s v="CUNDINAMARCA"/>
    <x v="0"/>
    <s v="GAVIRIA FERRO DIEGO MAURICIO"/>
    <s v="PASTUSO ACHICUE CLAUDIA PATRICIA"/>
    <x v="16"/>
    <x v="3"/>
    <n v="0"/>
    <n v="0.1"/>
    <d v="2025-02-24T00:00:00"/>
    <d v="2025-02-24T00:00:00"/>
    <n v="19"/>
    <s v="12-24 Months"/>
    <s v="A"/>
    <s v="D"/>
    <x v="1"/>
    <n v="3102716176"/>
    <s v="OK LINEA"/>
    <s v="SI"/>
    <d v="1988-11-26T00:00:00"/>
    <n v="37"/>
    <s v="FEMENINO"/>
  </r>
  <r>
    <x v="0"/>
    <x v="0"/>
    <x v="0"/>
    <s v="1030553121"/>
    <s v="CARREÑO GOMEZ DIANA MARCELA"/>
    <x v="12"/>
    <x v="5"/>
    <x v="2"/>
    <s v="C813_00000000000319"/>
    <x v="247"/>
    <s v="CRA 92 # 60-90 SUR BOGOTA"/>
    <x v="4"/>
    <x v="5"/>
    <s v="HIPERMERCADO"/>
    <x v="0"/>
    <s v="CUNDINAMARCA"/>
    <x v="0"/>
    <s v="GAVIRIA FERRO DIEGO MAURICIO"/>
    <s v="PASTUSO ACHICUE CLAUDIA PATRICIA"/>
    <x v="16"/>
    <x v="3"/>
    <n v="0"/>
    <n v="0.1"/>
    <d v="2025-02-24T00:00:00"/>
    <d v="2025-02-24T00:00:00"/>
    <n v="19"/>
    <s v="12-24 Months"/>
    <s v="B"/>
    <s v="B"/>
    <x v="1"/>
    <n v="3102716176"/>
    <s v="OK LINEA"/>
    <s v="SI"/>
    <d v="1988-11-26T00:00:00"/>
    <n v="37"/>
    <s v="FEMENINO"/>
  </r>
  <r>
    <x v="0"/>
    <x v="0"/>
    <x v="0"/>
    <s v="1030553121"/>
    <s v="CARREÑO GOMEZ DIANA MARCELA"/>
    <x v="12"/>
    <x v="5"/>
    <x v="2"/>
    <s v="C813_00000000000333"/>
    <x v="41"/>
    <s v="CRA 7 # 32-25 SOACHA BOGOTA"/>
    <x v="4"/>
    <x v="5"/>
    <s v="HIPERMERCADO"/>
    <x v="10"/>
    <s v="CUNDINAMARCA"/>
    <x v="0"/>
    <s v="GAVIRIA FERRO DIEGO MAURICIO"/>
    <s v="PASTUSO ACHICUE CLAUDIA PATRICIA"/>
    <x v="16"/>
    <x v="3"/>
    <n v="0"/>
    <n v="0.1"/>
    <d v="2025-02-24T00:00:00"/>
    <d v="2025-02-24T00:00:00"/>
    <n v="19"/>
    <s v="12-24 Months"/>
    <s v="A"/>
    <s v="A"/>
    <x v="1"/>
    <n v="3102716176"/>
    <s v="OK LINEA"/>
    <s v="SI"/>
    <d v="1988-11-26T00:00:00"/>
    <n v="37"/>
    <s v="FEMENINO"/>
  </r>
  <r>
    <x v="0"/>
    <x v="0"/>
    <x v="0"/>
    <s v="1030553121"/>
    <s v="CARREÑO GOMEZ DIANA MARCELA"/>
    <x v="12"/>
    <x v="5"/>
    <x v="2"/>
    <s v="C813_00000000000335"/>
    <x v="102"/>
    <s v="CRA 86B # 42B-54 SUR BOGOTA CUNDINAMARCA"/>
    <x v="4"/>
    <x v="5"/>
    <s v="HIPERMERCADO"/>
    <x v="0"/>
    <s v="CUNDINAMARCA"/>
    <x v="0"/>
    <s v="GAVIRIA FERRO DIEGO MAURICIO"/>
    <s v="PASTUSO ACHICUE CLAUDIA PATRICIA"/>
    <x v="16"/>
    <x v="3"/>
    <n v="0"/>
    <n v="0.1"/>
    <d v="2025-02-24T00:00:00"/>
    <d v="2025-02-24T00:00:00"/>
    <n v="19"/>
    <s v="12-24 Months"/>
    <s v="A"/>
    <s v="A"/>
    <x v="1"/>
    <n v="3102716176"/>
    <s v="OK LINEA"/>
    <s v="SI"/>
    <d v="1988-11-26T00:00:00"/>
    <n v="37"/>
    <s v="FEMENINO"/>
  </r>
  <r>
    <x v="0"/>
    <x v="0"/>
    <x v="0"/>
    <s v="1030553121"/>
    <s v="CARREÑO GOMEZ DIANA MARCELA"/>
    <x v="12"/>
    <x v="5"/>
    <x v="2"/>
    <s v="C813_00000000000993"/>
    <x v="269"/>
    <s v="KM 4 PROLONGACIÓN AV MURILLO SUR #1-300 BARRANQUILLA"/>
    <x v="11"/>
    <x v="32"/>
    <s v="TRADITIONAL"/>
    <x v="3"/>
    <s v="ATLANTICO"/>
    <x v="3"/>
    <s v="PRENT SAMPAYO ANDERSON GUILLERMO"/>
    <s v="GRANADOS NAVARRO YEFERSON ORLANDO"/>
    <x v="16"/>
    <x v="3"/>
    <n v="0"/>
    <n v="0.1"/>
    <d v="2025-02-24T00:00:00"/>
    <d v="2025-02-24T00:00:00"/>
    <n v="19"/>
    <s v="12-24 Months"/>
    <s v="D"/>
    <s v="D"/>
    <x v="1"/>
    <n v="3102716176"/>
    <s v="OK LINEA"/>
    <s v="NO"/>
    <d v="1988-11-26T00:00:00"/>
    <n v="37"/>
    <s v="FEMENINO"/>
  </r>
  <r>
    <x v="0"/>
    <x v="0"/>
    <x v="0"/>
    <s v="1030553121"/>
    <s v="CARREÑO GOMEZ DIANA MARCELA"/>
    <x v="12"/>
    <x v="5"/>
    <x v="2"/>
    <s v="C813_00000000000994"/>
    <x v="266"/>
    <s v="PARQUE IND SAN CARLOS II BOD 3 KM 35 VIA FUNZA BOGOTA"/>
    <x v="11"/>
    <x v="32"/>
    <s v="TRADITIONAL"/>
    <x v="59"/>
    <s v="CUNDINAMARCA"/>
    <x v="0"/>
    <s v="GAVIRIA FERRO DIEGO MAURICIO"/>
    <s v="PASTUSO ACHICUE CLAUDIA PATRICIA"/>
    <x v="16"/>
    <x v="3"/>
    <n v="0"/>
    <n v="0.1"/>
    <d v="2025-02-24T00:00:00"/>
    <d v="2025-02-24T00:00:00"/>
    <n v="19"/>
    <s v="12-24 Months"/>
    <s v="A"/>
    <s v="A"/>
    <x v="1"/>
    <n v="3102716176"/>
    <s v="OK LINEA"/>
    <s v="NO"/>
    <d v="1988-11-26T00:00:00"/>
    <n v="37"/>
    <s v="FEMENINO"/>
  </r>
  <r>
    <x v="0"/>
    <x v="0"/>
    <x v="0"/>
    <s v="1030553121"/>
    <s v="CARREÑO GOMEZ DIANA MARCELA"/>
    <x v="12"/>
    <x v="5"/>
    <x v="2"/>
    <s v="C813_00000000000995"/>
    <x v="268"/>
    <s v="CARRERA 32 # 13 - 101 ACOPI - YUMBO VALLE DEL CAUCA"/>
    <x v="11"/>
    <x v="32"/>
    <s v="TRADITIONAL"/>
    <x v="5"/>
    <s v="RISARALDA"/>
    <x v="5"/>
    <s v="ALVAREZ LONDOÑO JOHNNY"/>
    <s v="ROMERO ARENAS DANNY MAURICIO"/>
    <x v="16"/>
    <x v="3"/>
    <n v="0"/>
    <n v="0.1"/>
    <d v="2025-02-24T00:00:00"/>
    <d v="2025-02-24T00:00:00"/>
    <n v="19"/>
    <s v="12-24 Months"/>
    <s v="NO DATA"/>
    <s v="NO DATA"/>
    <x v="1"/>
    <n v="3102716176"/>
    <s v="OK LINEA"/>
    <s v="NO"/>
    <d v="1988-11-26T00:00:00"/>
    <n v="37"/>
    <s v="FEMENINO"/>
  </r>
  <r>
    <x v="0"/>
    <x v="0"/>
    <x v="0"/>
    <s v="1030553121"/>
    <s v="CARREÑO GOMEZ DIANA MARCELA"/>
    <x v="12"/>
    <x v="5"/>
    <x v="2"/>
    <s v="C813_00000000000996"/>
    <x v="267"/>
    <s v="CALLE 2 # 50 - 21 BARRIO GUAYABAL MEDELLIN ANTIOQUIA"/>
    <x v="11"/>
    <x v="32"/>
    <s v="TRADITIONAL"/>
    <x v="2"/>
    <s v="ANTIOQUIA"/>
    <x v="2"/>
    <s v="LOPEZ PALACIO PABLO EMILIO"/>
    <s v="ROMERO ARENAS DANNY MAURICIO"/>
    <x v="16"/>
    <x v="3"/>
    <n v="0"/>
    <n v="0.1"/>
    <d v="2025-02-24T00:00:00"/>
    <d v="2025-02-24T00:00:00"/>
    <n v="19"/>
    <s v="12-24 Months"/>
    <s v="A"/>
    <s v="A"/>
    <x v="1"/>
    <n v="3102716176"/>
    <s v="OK LINEA"/>
    <s v="NO"/>
    <d v="1988-11-26T00:00:00"/>
    <n v="37"/>
    <s v="FEMENINO"/>
  </r>
  <r>
    <x v="0"/>
    <x v="0"/>
    <x v="0"/>
    <s v="1069719793"/>
    <s v="GOMEZ SANDOVAL JOSE GUSTAVO"/>
    <x v="12"/>
    <x v="5"/>
    <x v="2"/>
    <s v="C813_00000000005547"/>
    <x v="73"/>
    <s v="CARRERA 13 # 15-30"/>
    <x v="7"/>
    <x v="12"/>
    <s v="TRADITIONAL"/>
    <x v="0"/>
    <s v="CUNDINAMARCA"/>
    <x v="0"/>
    <s v="PEÑA GARCIA JOINER ALEXIS"/>
    <s v="PASTUSO ACHICUE CLAUDIA PATRICIA"/>
    <x v="12"/>
    <x v="6"/>
    <n v="0"/>
    <n v="5.2631578947368418E-2"/>
    <d v="2026-04-27T00:00:00"/>
    <d v="2026-04-27T00:00:00"/>
    <n v="5"/>
    <s v="3-6 Months"/>
    <s v="NO DATA"/>
    <s v="NO DATA"/>
    <x v="1"/>
    <n v="3102712507"/>
    <s v="OK LINEA"/>
    <s v="NO"/>
    <d v="1987-07-21T00:00:00"/>
    <n v="39"/>
    <s v="FEMENINO"/>
  </r>
  <r>
    <x v="0"/>
    <x v="0"/>
    <x v="0"/>
    <s v="1069719793"/>
    <s v="GOMEZ SANDOVAL JOSE GUSTAVO"/>
    <x v="12"/>
    <x v="5"/>
    <x v="2"/>
    <s v="C813_00000000000512"/>
    <x v="241"/>
    <s v="CRA 13 # 16-55 BOGOTA"/>
    <x v="9"/>
    <x v="15"/>
    <s v="TRADITIONAL"/>
    <x v="0"/>
    <s v="CUNDINAMARCA"/>
    <x v="0"/>
    <s v="GAVIRIA FERRO DIEGO MAURICIO"/>
    <s v="PASTUSO ACHICUE CLAUDIA PATRICIA"/>
    <x v="12"/>
    <x v="5"/>
    <n v="0"/>
    <n v="5.2631578947368418E-2"/>
    <d v="2026-04-27T00:00:00"/>
    <d v="2026-04-27T00:00:00"/>
    <n v="5"/>
    <s v="3-6 Months"/>
    <s v="B"/>
    <s v="B"/>
    <x v="1"/>
    <n v="3102712507"/>
    <s v="OK LINEA"/>
    <s v="NO"/>
    <d v="1987-07-21T00:00:00"/>
    <n v="39"/>
    <s v="FEMENINO"/>
  </r>
  <r>
    <x v="0"/>
    <x v="0"/>
    <x v="0"/>
    <s v="1069719793"/>
    <s v="GOMEZ SANDOVAL JOSE GUSTAVO"/>
    <x v="12"/>
    <x v="5"/>
    <x v="2"/>
    <s v="C813_00000000000514"/>
    <x v="63"/>
    <s v="CRA 13 # 16-06 BOGOTA"/>
    <x v="9"/>
    <x v="15"/>
    <s v="TRADITIONAL"/>
    <x v="0"/>
    <s v="CUNDINAMARCA"/>
    <x v="0"/>
    <s v="GAVIRIA FERRO DIEGO MAURICIO"/>
    <s v="PASTUSO ACHICUE CLAUDIA PATRICIA"/>
    <x v="12"/>
    <x v="5"/>
    <n v="0"/>
    <n v="5.2631578947368418E-2"/>
    <d v="2026-04-27T00:00:00"/>
    <d v="2026-04-27T00:00:00"/>
    <n v="5"/>
    <s v="3-6 Months"/>
    <s v="C"/>
    <s v="C"/>
    <x v="1"/>
    <n v="3102712507"/>
    <s v="OK LINEA"/>
    <s v="NO"/>
    <d v="1987-07-21T00:00:00"/>
    <n v="39"/>
    <s v="FEMENINO"/>
  </r>
  <r>
    <x v="0"/>
    <x v="0"/>
    <x v="0"/>
    <s v="1069719793"/>
    <s v="GOMEZ SANDOVAL JOSE GUSTAVO"/>
    <x v="12"/>
    <x v="5"/>
    <x v="2"/>
    <s v="C813_00000000000516"/>
    <x v="64"/>
    <s v="AUTOPISTA NORTE # 127B BIS-05"/>
    <x v="9"/>
    <x v="15"/>
    <s v="TRADITIONAL"/>
    <x v="0"/>
    <s v="CUNDINAMARCA"/>
    <x v="0"/>
    <s v="GAVIRIA FERRO DIEGO MAURICIO"/>
    <s v="PASTUSO ACHICUE CLAUDIA PATRICIA"/>
    <x v="12"/>
    <x v="5"/>
    <n v="0"/>
    <n v="5.2631578947368418E-2"/>
    <d v="2026-04-27T00:00:00"/>
    <d v="2026-04-27T00:00:00"/>
    <n v="5"/>
    <s v="3-6 Months"/>
    <s v="B"/>
    <s v="B"/>
    <x v="1"/>
    <n v="3102712507"/>
    <s v="OK LINEA"/>
    <s v="NO"/>
    <d v="1987-07-21T00:00:00"/>
    <n v="39"/>
    <s v="FEMENINO"/>
  </r>
  <r>
    <x v="0"/>
    <x v="0"/>
    <x v="0"/>
    <s v="1069719793"/>
    <s v="GOMEZ SANDOVAL JOSE GUSTAVO"/>
    <x v="12"/>
    <x v="5"/>
    <x v="2"/>
    <s v="C813_00000000000875"/>
    <x v="184"/>
    <s v="CARRERA 13 # 16-15 BOGOTA CUNDINAMARCA"/>
    <x v="9"/>
    <x v="15"/>
    <s v="TRADITIONAL"/>
    <x v="0"/>
    <s v="CUNDINAMARCA"/>
    <x v="0"/>
    <s v="GAVIRIA FERRO DIEGO MAURICIO"/>
    <s v="PASTUSO ACHICUE CLAUDIA PATRICIA"/>
    <x v="12"/>
    <x v="5"/>
    <n v="0"/>
    <n v="5.2631578947368418E-2"/>
    <d v="2026-04-27T00:00:00"/>
    <d v="2026-04-27T00:00:00"/>
    <n v="5"/>
    <s v="3-6 Months"/>
    <s v="B"/>
    <s v="B"/>
    <x v="1"/>
    <n v="3102712507"/>
    <s v="OK LINEA"/>
    <s v="NO"/>
    <d v="1987-07-21T00:00:00"/>
    <n v="39"/>
    <s v="FEMENINO"/>
  </r>
  <r>
    <x v="0"/>
    <x v="0"/>
    <x v="0"/>
    <s v="1069719793"/>
    <s v="GOMEZ SANDOVAL JOSE GUSTAVO"/>
    <x v="12"/>
    <x v="5"/>
    <x v="2"/>
    <s v="C813_00000000000876"/>
    <x v="65"/>
    <s v="CALLE 17A # 69F-15 BOGOTA"/>
    <x v="9"/>
    <x v="15"/>
    <s v="TRADITIONAL"/>
    <x v="0"/>
    <s v="CUNDINAMARCA"/>
    <x v="0"/>
    <s v="GAVIRIA FERRO DIEGO MAURICIO"/>
    <s v="PASTUSO ACHICUE CLAUDIA PATRICIA"/>
    <x v="12"/>
    <x v="5"/>
    <n v="0"/>
    <n v="5.2631578947368418E-2"/>
    <d v="2026-04-27T00:00:00"/>
    <d v="2026-04-27T00:00:00"/>
    <n v="5"/>
    <s v="3-6 Months"/>
    <s v="C"/>
    <s v="C"/>
    <x v="1"/>
    <n v="3102712507"/>
    <s v="OK LINEA"/>
    <s v="NO"/>
    <d v="1987-07-21T00:00:00"/>
    <n v="39"/>
    <s v="FEMENINO"/>
  </r>
  <r>
    <x v="0"/>
    <x v="0"/>
    <x v="0"/>
    <s v="1069719793"/>
    <s v="GOMEZ SANDOVAL JOSE GUSTAVO"/>
    <x v="12"/>
    <x v="5"/>
    <x v="2"/>
    <s v="C813_00000000007421"/>
    <x v="182"/>
    <s v="KR 13 #13-57, LOS MÁRTIRES, BOGOTÁ, COLOMBIA"/>
    <x v="9"/>
    <x v="15"/>
    <s v="TRADITIONAL"/>
    <x v="0"/>
    <s v="CUNDINAMARCA"/>
    <x v="0"/>
    <s v="GAVIRIA FERRO DIEGO MAURICIO"/>
    <s v="PASTUSO ACHICUE CLAUDIA PATRICIA"/>
    <x v="12"/>
    <x v="5"/>
    <n v="0"/>
    <n v="5.2631578947368418E-2"/>
    <d v="2026-04-27T00:00:00"/>
    <d v="2026-04-27T00:00:00"/>
    <n v="5"/>
    <s v="3-6 Months"/>
    <s v="NO DATA"/>
    <s v="NO DATA"/>
    <x v="1"/>
    <n v="3102712507"/>
    <s v="OK LINEA"/>
    <s v="NO"/>
    <d v="1987-07-21T00:00:00"/>
    <n v="39"/>
    <s v="FEMENINO"/>
  </r>
  <r>
    <x v="0"/>
    <x v="0"/>
    <x v="0"/>
    <s v="1069719793"/>
    <s v="GOMEZ SANDOVAL JOSE GUSTAVO"/>
    <x v="12"/>
    <x v="5"/>
    <x v="2"/>
    <s v="C813_00000000005031"/>
    <x v="183"/>
    <s v="CARRERA 13 # 15-62  BOGOTA"/>
    <x v="9"/>
    <x v="15"/>
    <s v="TRADITIONAL"/>
    <x v="0"/>
    <s v="CUNDINAMARCA"/>
    <x v="0"/>
    <s v="GAVIRIA FERRO DIEGO MAURICIO"/>
    <s v="PASTUSO ACHICUE CLAUDIA PATRICIA"/>
    <x v="12"/>
    <x v="5"/>
    <n v="0"/>
    <n v="5.2631578947368418E-2"/>
    <d v="2026-04-27T00:00:00"/>
    <d v="2026-04-27T00:00:00"/>
    <n v="5"/>
    <s v="3-6 Months"/>
    <s v="B"/>
    <s v="B"/>
    <x v="1"/>
    <n v="3102712507"/>
    <s v="OK LINEA"/>
    <s v="NO"/>
    <d v="1987-07-21T00:00:00"/>
    <n v="39"/>
    <s v="FEMENINO"/>
  </r>
  <r>
    <x v="0"/>
    <x v="0"/>
    <x v="0"/>
    <s v="1030553121"/>
    <s v="CARREÑO GOMEZ DIANA MARCELA"/>
    <x v="12"/>
    <x v="5"/>
    <x v="2"/>
    <s v="C813_00000000002373"/>
    <x v="106"/>
    <s v="AUTOPISTA BOGOTÁ - MEDELLIN (CALLE 80) KM 2 VÍA COTA"/>
    <x v="11"/>
    <x v="18"/>
    <s v="TRADITIONAL"/>
    <x v="0"/>
    <s v="CUNDINAMARCA"/>
    <x v="0"/>
    <s v="GAVIRIA FERRO DIEGO MAURICIO"/>
    <s v="PASTUSO ACHICUE CLAUDIA PATRICIA"/>
    <x v="16"/>
    <x v="3"/>
    <n v="0"/>
    <n v="0.1"/>
    <d v="2025-02-24T00:00:00"/>
    <d v="2025-02-24T00:00:00"/>
    <n v="19"/>
    <s v="12-24 Months"/>
    <s v="NO DATA"/>
    <s v="NO DATA"/>
    <x v="1"/>
    <n v="3102716176"/>
    <s v="OK LINEA"/>
    <s v="NO"/>
    <d v="1988-11-26T00:00:00"/>
    <n v="37"/>
    <s v="FEMENINO"/>
  </r>
  <r>
    <x v="0"/>
    <x v="2"/>
    <x v="0"/>
    <s v="1000758114"/>
    <s v="ARBOLEDA PARRA MANUELA"/>
    <x v="12"/>
    <x v="5"/>
    <x v="2"/>
    <s v="NO APLICA"/>
    <x v="0"/>
    <s v="NO APLICA"/>
    <x v="1"/>
    <x v="10"/>
    <s v="HIPERMERCADO"/>
    <x v="2"/>
    <s v="ANTIOQUIA"/>
    <x v="2"/>
    <s v="LOPEZ PALACIO PABLO EMILIO"/>
    <s v="NO APLICA"/>
    <x v="18"/>
    <x v="1"/>
    <n v="0.5"/>
    <n v="0.5"/>
    <d v="2025-01-02T00:00:00"/>
    <d v="2025-01-02T00:00:00"/>
    <n v="21"/>
    <s v="12-24 Months"/>
    <s v="NO APLICA"/>
    <s v="NO APLICA"/>
    <x v="1"/>
    <n v="3102718452"/>
    <s v="OK LINEA"/>
    <s v="NO"/>
    <d v="2002-04-29T00:00:00"/>
    <n v="24"/>
    <s v="FEMENINO"/>
  </r>
  <r>
    <x v="0"/>
    <x v="0"/>
    <x v="0"/>
    <s v="1105788522"/>
    <s v="RODRIGUEZ LOZADA JAIRO IVAN"/>
    <x v="13"/>
    <x v="5"/>
    <x v="2"/>
    <s v="EN CREACION_60"/>
    <x v="69"/>
    <s v="CARRERA 11# 17-37 "/>
    <x v="9"/>
    <x v="15"/>
    <s v="TRADITIONAL"/>
    <x v="23"/>
    <s v="CAQUETA"/>
    <x v="7"/>
    <s v="PEÑA GARCIA JOINER ALEXIS"/>
    <s v="PASTUSO ACHICUE CLAUDIA PATRICIA"/>
    <x v="13"/>
    <x v="5"/>
    <n v="1"/>
    <n v="6.6666666666666666E-2"/>
    <d v="2025-01-02T00:00:00"/>
    <d v="2017-04-03T00:00:00"/>
    <n v="114"/>
    <s v="+24 Mounths"/>
    <s v="NO DATA"/>
    <s v="NO DATA"/>
    <x v="0"/>
    <n v="3102717863"/>
    <s v="OK LINEA"/>
    <s v="NO"/>
    <d v="1993-08-19T00:00:00"/>
    <n v="33"/>
    <s v="MASCULINO"/>
  </r>
  <r>
    <x v="0"/>
    <x v="0"/>
    <x v="0"/>
    <s v="1105788522"/>
    <s v="RODRIGUEZ LOZADA JAIRO IVAN"/>
    <x v="13"/>
    <x v="5"/>
    <x v="2"/>
    <s v="C813_00000000004631"/>
    <x v="103"/>
    <s v="CARRERA 19 # 60-180 CC LA ESTACION IBAGUE TOLIMA"/>
    <x v="1"/>
    <x v="10"/>
    <s v="HIPERMERCADO"/>
    <x v="12"/>
    <s v="TOLIMA"/>
    <x v="7"/>
    <s v="PEÑA GARCIA JOINER ALEXIS"/>
    <s v="PASTUSO ACHICUE CLAUDIA PATRICIA"/>
    <x v="13"/>
    <x v="1"/>
    <n v="0"/>
    <n v="6.6666666666666666E-2"/>
    <d v="2025-01-02T00:00:00"/>
    <d v="2017-04-03T00:00:00"/>
    <n v="114"/>
    <s v="+24 Mounths"/>
    <s v="D"/>
    <s v="B"/>
    <x v="0"/>
    <n v="3102717863"/>
    <s v="OK LINEA"/>
    <s v="SI"/>
    <d v="1993-08-19T00:00:00"/>
    <n v="33"/>
    <s v="MASCULINO"/>
  </r>
  <r>
    <x v="0"/>
    <x v="0"/>
    <x v="0"/>
    <s v="1105788522"/>
    <s v="RODRIGUEZ LOZADA JAIRO IVAN"/>
    <x v="13"/>
    <x v="5"/>
    <x v="2"/>
    <s v="C813_00000000004946"/>
    <x v="126"/>
    <s v="CRA 16 # 41-10 CENTRO COMERCIAL SAN JUAN PLAZA"/>
    <x v="1"/>
    <x v="10"/>
    <s v="HIPERMERCADO"/>
    <x v="29"/>
    <s v="HUILA"/>
    <x v="7"/>
    <s v="PEÑA GARCIA JOINER ALEXIS"/>
    <s v="PASTUSO ACHICUE CLAUDIA PATRICIA"/>
    <x v="13"/>
    <x v="1"/>
    <n v="0"/>
    <n v="6.6666666666666666E-2"/>
    <d v="2025-01-02T00:00:00"/>
    <d v="2017-04-03T00:00:00"/>
    <n v="114"/>
    <s v="+24 Mounths"/>
    <s v="C"/>
    <s v="B"/>
    <x v="0"/>
    <n v="3102717863"/>
    <s v="OK LINEA"/>
    <s v="SI"/>
    <d v="1993-08-19T00:00:00"/>
    <n v="33"/>
    <s v="MASCULINO"/>
  </r>
  <r>
    <x v="0"/>
    <x v="0"/>
    <x v="0"/>
    <s v="1105788522"/>
    <s v="RODRIGUEZ LOZADA JAIRO IVAN"/>
    <x v="13"/>
    <x v="5"/>
    <x v="2"/>
    <s v="C813_00000000006817"/>
    <x v="238"/>
    <s v="CARRERA  7A # 33 - 77 / 199  GIRARDOT"/>
    <x v="1"/>
    <x v="1"/>
    <s v="HIPERMERCADO"/>
    <x v="55"/>
    <s v="CUNDINAMARCA"/>
    <x v="7"/>
    <s v="PEÑA GARCIA JOINER ALEXIS"/>
    <s v="PASTUSO ACHICUE CLAUDIA PATRICIA"/>
    <x v="13"/>
    <x v="1"/>
    <n v="0"/>
    <n v="6.6666666666666666E-2"/>
    <d v="2025-01-02T00:00:00"/>
    <d v="2017-04-03T00:00:00"/>
    <n v="114"/>
    <s v="+24 Mounths"/>
    <s v="C"/>
    <s v="A"/>
    <x v="0"/>
    <n v="3102717863"/>
    <s v="OK LINEA"/>
    <s v="SI"/>
    <d v="1993-08-19T00:00:00"/>
    <n v="33"/>
    <s v="MASCULINO"/>
  </r>
  <r>
    <x v="0"/>
    <x v="0"/>
    <x v="0"/>
    <s v="1105788522"/>
    <s v="RODRIGUEZ LOZADA JAIRO IVAN"/>
    <x v="13"/>
    <x v="5"/>
    <x v="2"/>
    <s v="C813_00000000001067"/>
    <x v="87"/>
    <s v="CARRERA 3A BIS # 21A-14"/>
    <x v="2"/>
    <x v="3"/>
    <s v="HIPERMERCADO"/>
    <x v="23"/>
    <s v="CAQUETA"/>
    <x v="7"/>
    <s v="PEÑA GARCIA JOINER ALEXIS"/>
    <s v="PASTUSO ACHICUE CLAUDIA PATRICIA"/>
    <x v="13"/>
    <x v="2"/>
    <n v="0"/>
    <n v="6.6666666666666666E-2"/>
    <d v="2025-01-02T00:00:00"/>
    <d v="2017-04-03T00:00:00"/>
    <n v="114"/>
    <s v="+24 Mounths"/>
    <s v="A"/>
    <s v="A"/>
    <x v="0"/>
    <n v="3102717863"/>
    <s v="OK LINEA"/>
    <s v="SI"/>
    <d v="1993-08-19T00:00:00"/>
    <n v="33"/>
    <s v="MASCULINO"/>
  </r>
  <r>
    <x v="0"/>
    <x v="0"/>
    <x v="0"/>
    <s v="1105788522"/>
    <s v="RODRIGUEZ LOZADA JAIRO IVAN"/>
    <x v="13"/>
    <x v="5"/>
    <x v="2"/>
    <s v="C813_00000000000020"/>
    <x v="33"/>
    <s v="CRA 5 # 80-60 IBAGUE TOLIMA"/>
    <x v="2"/>
    <x v="3"/>
    <s v="HIPERMERCADO"/>
    <x v="12"/>
    <s v="TOLIMA"/>
    <x v="7"/>
    <s v="PEÑA GARCIA JOINER ALEXIS"/>
    <s v="PASTUSO ACHICUE CLAUDIA PATRICIA"/>
    <x v="13"/>
    <x v="2"/>
    <n v="0"/>
    <n v="6.6666666666666666E-2"/>
    <d v="2025-01-02T00:00:00"/>
    <d v="2017-04-03T00:00:00"/>
    <n v="114"/>
    <s v="+24 Mounths"/>
    <s v="A"/>
    <s v="A"/>
    <x v="0"/>
    <n v="3102717863"/>
    <s v="OK LINEA"/>
    <s v="SI"/>
    <d v="1993-08-19T00:00:00"/>
    <n v="33"/>
    <s v="MASCULINO"/>
  </r>
  <r>
    <x v="0"/>
    <x v="0"/>
    <x v="0"/>
    <s v="1105788522"/>
    <s v="RODRIGUEZ LOZADA JAIRO IVAN"/>
    <x v="13"/>
    <x v="5"/>
    <x v="2"/>
    <s v="C813_00000000001001"/>
    <x v="226"/>
    <s v="CR 15 # 19 - 31 SUR, BARRIO SOLARTE, CC GRAN PLAZA SAN ANTONIO"/>
    <x v="2"/>
    <x v="3"/>
    <s v="HIPERMERCADO"/>
    <x v="52"/>
    <s v="HUILA"/>
    <x v="7"/>
    <s v="PEÑA GARCIA JOINER ALEXIS"/>
    <s v="PASTUSO ACHICUE CLAUDIA PATRICIA"/>
    <x v="13"/>
    <x v="2"/>
    <n v="0"/>
    <n v="6.6666666666666666E-2"/>
    <d v="2025-01-02T00:00:00"/>
    <d v="2017-04-03T00:00:00"/>
    <n v="114"/>
    <s v="+24 Mounths"/>
    <s v="B"/>
    <s v="A"/>
    <x v="0"/>
    <n v="3102717863"/>
    <s v="OK LINEA"/>
    <s v="SI"/>
    <d v="1993-08-19T00:00:00"/>
    <n v="33"/>
    <s v="MASCULINO"/>
  </r>
  <r>
    <x v="0"/>
    <x v="0"/>
    <x v="0"/>
    <s v="1105788522"/>
    <s v="RODRIGUEZ LOZADA JAIRO IVAN"/>
    <x v="13"/>
    <x v="5"/>
    <x v="2"/>
    <s v="C813_00000000000700"/>
    <x v="110"/>
    <s v="CRA 26 # 39 - 50 NEIVA"/>
    <x v="2"/>
    <x v="3"/>
    <s v="HIPERMERCADO"/>
    <x v="29"/>
    <s v="HUILA"/>
    <x v="7"/>
    <s v="PEÑA GARCIA JOINER ALEXIS"/>
    <s v="PASTUSO ACHICUE CLAUDIA PATRICIA"/>
    <x v="13"/>
    <x v="2"/>
    <n v="0"/>
    <n v="6.6666666666666666E-2"/>
    <d v="2025-01-02T00:00:00"/>
    <d v="2017-04-03T00:00:00"/>
    <n v="114"/>
    <s v="+24 Mounths"/>
    <s v="A"/>
    <s v="A"/>
    <x v="0"/>
    <n v="3102717863"/>
    <s v="OK LINEA"/>
    <s v="SI"/>
    <d v="1993-08-19T00:00:00"/>
    <n v="33"/>
    <s v="MASCULINO"/>
  </r>
  <r>
    <x v="0"/>
    <x v="0"/>
    <x v="0"/>
    <s v="1105788522"/>
    <s v="RODRIGUEZ LOZADA JAIRO IVAN"/>
    <x v="13"/>
    <x v="5"/>
    <x v="2"/>
    <s v="C813_00000000004995"/>
    <x v="175"/>
    <s v="CALLE 57 # 60K-8E AV GUABINAL CENTRO COMERCIAL ACQUA IBAGUE TOLIMA"/>
    <x v="6"/>
    <x v="7"/>
    <s v="HIPERMERCADO"/>
    <x v="12"/>
    <s v="TOLIMA"/>
    <x v="7"/>
    <s v="PEÑA GARCIA JOINER ALEXIS"/>
    <s v="PASTUSO ACHICUE CLAUDIA PATRICIA"/>
    <x v="13"/>
    <x v="5"/>
    <n v="0"/>
    <n v="6.6666666666666666E-2"/>
    <d v="2025-01-02T00:00:00"/>
    <d v="2017-04-03T00:00:00"/>
    <n v="114"/>
    <s v="+24 Mounths"/>
    <s v="A"/>
    <s v="C"/>
    <x v="0"/>
    <n v="3102717863"/>
    <s v="OK LINEA"/>
    <s v="SI"/>
    <d v="1993-08-19T00:00:00"/>
    <n v="33"/>
    <s v="MASCULINO"/>
  </r>
  <r>
    <x v="0"/>
    <x v="0"/>
    <x v="0"/>
    <s v="1105788522"/>
    <s v="RODRIGUEZ LOZADA JAIRO IVAN"/>
    <x v="13"/>
    <x v="5"/>
    <x v="2"/>
    <s v="C813_00000000000517"/>
    <x v="59"/>
    <s v="CRA 1 # 13-71 IBAGUE - TOLIMA"/>
    <x v="8"/>
    <x v="14"/>
    <s v="TRADITIONAL"/>
    <x v="12"/>
    <s v="TOLIMA"/>
    <x v="7"/>
    <s v="PEÑA GARCIA JOINER ALEXIS"/>
    <s v="PASTUSO ACHICUE CLAUDIA PATRICIA"/>
    <x v="13"/>
    <x v="6"/>
    <n v="0"/>
    <n v="6.6666666666666666E-2"/>
    <d v="2025-01-02T00:00:00"/>
    <d v="2017-04-03T00:00:00"/>
    <n v="114"/>
    <s v="+24 Mounths"/>
    <s v="D"/>
    <s v="D"/>
    <x v="0"/>
    <n v="3102717863"/>
    <s v="OK LINEA"/>
    <s v="NO"/>
    <d v="1993-08-19T00:00:00"/>
    <n v="33"/>
    <s v="MASCULINO"/>
  </r>
  <r>
    <x v="0"/>
    <x v="0"/>
    <x v="0"/>
    <s v="1105788522"/>
    <s v="RODRIGUEZ LOZADA JAIRO IVAN"/>
    <x v="13"/>
    <x v="5"/>
    <x v="2"/>
    <s v="C813_00000000003070"/>
    <x v="234"/>
    <s v="CARRERA 16 SUR # 96-48 IBAGUE TOLIMA"/>
    <x v="8"/>
    <x v="14"/>
    <s v="TRADITIONAL"/>
    <x v="12"/>
    <s v="TOLIMA"/>
    <x v="7"/>
    <s v="PEÑA GARCIA JOINER ALEXIS"/>
    <s v="PASTUSO ACHICUE CLAUDIA PATRICIA"/>
    <x v="13"/>
    <x v="6"/>
    <n v="0"/>
    <n v="6.6666666666666666E-2"/>
    <d v="2025-01-02T00:00:00"/>
    <d v="2017-04-03T00:00:00"/>
    <n v="114"/>
    <s v="+24 Mounths"/>
    <s v="C"/>
    <s v="C"/>
    <x v="0"/>
    <n v="3102717863"/>
    <s v="OK LINEA"/>
    <s v="NO"/>
    <d v="1993-08-19T00:00:00"/>
    <n v="33"/>
    <s v="MASCULINO"/>
  </r>
  <r>
    <x v="0"/>
    <x v="0"/>
    <x v="0"/>
    <s v="1105788522"/>
    <s v="RODRIGUEZ LOZADA JAIRO IVAN"/>
    <x v="13"/>
    <x v="5"/>
    <x v="2"/>
    <s v="C813_00000000000518"/>
    <x v="196"/>
    <s v="AVENIDA  GUABINAL # 51-53"/>
    <x v="8"/>
    <x v="14"/>
    <s v="TRADITIONAL"/>
    <x v="12"/>
    <s v="TOLIMA"/>
    <x v="7"/>
    <s v="PEÑA GARCIA JOINER ALEXIS"/>
    <s v="PASTUSO ACHICUE CLAUDIA PATRICIA"/>
    <x v="13"/>
    <x v="6"/>
    <n v="0"/>
    <n v="6.6666666666666666E-2"/>
    <d v="2025-01-02T00:00:00"/>
    <d v="2017-04-03T00:00:00"/>
    <n v="114"/>
    <s v="+24 Mounths"/>
    <s v="B"/>
    <s v="B"/>
    <x v="0"/>
    <n v="3102717863"/>
    <s v="OK LINEA"/>
    <s v="NO"/>
    <d v="1993-08-19T00:00:00"/>
    <n v="33"/>
    <s v="MASCULINO"/>
  </r>
  <r>
    <x v="0"/>
    <x v="0"/>
    <x v="0"/>
    <s v="1105788522"/>
    <s v="RODRIGUEZ LOZADA JAIRO IVAN"/>
    <x v="13"/>
    <x v="5"/>
    <x v="2"/>
    <s v="C813_00000000000520"/>
    <x v="263"/>
    <s v="CRA 4 # 7 - 04 ESPINAL - TOLIMA"/>
    <x v="8"/>
    <x v="14"/>
    <s v="TRADITIONAL"/>
    <x v="58"/>
    <s v="TOLIMA"/>
    <x v="7"/>
    <s v="PEÑA GARCIA JOINER ALEXIS"/>
    <s v="PASTUSO ACHICUE CLAUDIA PATRICIA"/>
    <x v="13"/>
    <x v="6"/>
    <n v="0"/>
    <n v="6.6666666666666666E-2"/>
    <d v="2025-01-02T00:00:00"/>
    <d v="2017-04-03T00:00:00"/>
    <n v="114"/>
    <s v="+24 Mounths"/>
    <s v="C"/>
    <s v="C"/>
    <x v="0"/>
    <n v="3102717863"/>
    <s v="OK LINEA"/>
    <s v="NO"/>
    <d v="1993-08-19T00:00:00"/>
    <n v="33"/>
    <s v="MASCULINO"/>
  </r>
  <r>
    <x v="0"/>
    <x v="0"/>
    <x v="0"/>
    <s v="1105788522"/>
    <s v="RODRIGUEZ LOZADA JAIRO IVAN"/>
    <x v="13"/>
    <x v="5"/>
    <x v="2"/>
    <s v="C813_00000000004616"/>
    <x v="60"/>
    <s v="CALLE 20 # 11 S-47"/>
    <x v="8"/>
    <x v="14"/>
    <s v="TRADITIONAL"/>
    <x v="12"/>
    <s v="TOLIMA"/>
    <x v="7"/>
    <s v="PEÑA GARCIA JOINER ALEXIS"/>
    <s v="PASTUSO ACHICUE CLAUDIA PATRICIA"/>
    <x v="13"/>
    <x v="6"/>
    <n v="0"/>
    <n v="6.6666666666666666E-2"/>
    <d v="2025-01-02T00:00:00"/>
    <d v="2017-04-03T00:00:00"/>
    <n v="114"/>
    <s v="+24 Mounths"/>
    <s v="D"/>
    <s v="D"/>
    <x v="0"/>
    <n v="3102717863"/>
    <s v="OK LINEA"/>
    <s v="NO"/>
    <d v="1993-08-19T00:00:00"/>
    <n v="33"/>
    <s v="MASCULINO"/>
  </r>
  <r>
    <x v="0"/>
    <x v="0"/>
    <x v="0"/>
    <s v="1105788522"/>
    <s v="RODRIGUEZ LOZADA JAIRO IVAN"/>
    <x v="13"/>
    <x v="5"/>
    <x v="2"/>
    <s v="C813_00000000000198"/>
    <x v="239"/>
    <s v="CRA 5A # 19-23 NEIVA HUILA"/>
    <x v="5"/>
    <x v="6"/>
    <s v="HIPERMERCADO"/>
    <x v="29"/>
    <s v="HUILA"/>
    <x v="7"/>
    <s v="PEÑA GARCIA JOINER ALEXIS"/>
    <s v="PASTUSO ACHICUE CLAUDIA PATRICIA"/>
    <x v="13"/>
    <x v="4"/>
    <n v="0"/>
    <n v="6.6666666666666666E-2"/>
    <d v="2025-01-02T00:00:00"/>
    <d v="2017-04-03T00:00:00"/>
    <n v="114"/>
    <s v="+24 Mounths"/>
    <s v="B"/>
    <s v="B"/>
    <x v="0"/>
    <n v="3102717863"/>
    <s v="OK LINEA"/>
    <s v="SI"/>
    <d v="1993-08-19T00:00:00"/>
    <n v="33"/>
    <s v="MASCULINO"/>
  </r>
  <r>
    <x v="0"/>
    <x v="0"/>
    <x v="0"/>
    <s v="80738291"/>
    <s v="PARRA BAUTISTA JULIAN CAMILO"/>
    <x v="13"/>
    <x v="5"/>
    <x v="2"/>
    <s v="C813_00000000004608"/>
    <x v="200"/>
    <s v="SC YERBABUENA BAJA CAIRO AUTOP 103, CHIA, CUNDINAMARCA"/>
    <x v="9"/>
    <x v="20"/>
    <s v="HIPERMERCADO"/>
    <x v="7"/>
    <s v="CUNDINAMARCA"/>
    <x v="0"/>
    <s v="GAVIRIA FERRO DIEGO MAURICIO"/>
    <s v="PASTUSO ACHICUE CLAUDIA PATRICIA"/>
    <x v="14"/>
    <x v="4"/>
    <n v="1"/>
    <n v="6.6666666666666666E-2"/>
    <d v="2025-01-02T00:00:00"/>
    <d v="2010-08-10T00:00:00"/>
    <n v="194"/>
    <s v="+24 Mounths"/>
    <s v="A"/>
    <s v="A"/>
    <x v="0"/>
    <n v="3102711462"/>
    <s v="OK LINEA"/>
    <s v="NO"/>
    <d v="1983-02-25T00:00:00"/>
    <n v="43"/>
    <s v="MASCULINO"/>
  </r>
  <r>
    <x v="0"/>
    <x v="0"/>
    <x v="0"/>
    <s v="80738291"/>
    <s v="PARRA BAUTISTA JULIAN CAMILO"/>
    <x v="13"/>
    <x v="5"/>
    <x v="2"/>
    <s v="C813_00000000004369"/>
    <x v="201"/>
    <s v="KM 27 VIA CHIA  - CAJICA, CAJICA"/>
    <x v="9"/>
    <x v="16"/>
    <s v="HIPERMERCADO"/>
    <x v="7"/>
    <s v="CUNDINAMARCA"/>
    <x v="0"/>
    <s v="GAVIRIA FERRO DIEGO MAURICIO"/>
    <s v="PASTUSO ACHICUE CLAUDIA PATRICIA"/>
    <x v="14"/>
    <x v="4"/>
    <n v="0"/>
    <n v="6.6666666666666666E-2"/>
    <d v="2025-01-02T00:00:00"/>
    <d v="2010-08-10T00:00:00"/>
    <n v="194"/>
    <s v="+24 Mounths"/>
    <s v="A"/>
    <s v="A"/>
    <x v="0"/>
    <n v="3102711462"/>
    <s v="OK LINEA"/>
    <s v="NO"/>
    <d v="1983-02-25T00:00:00"/>
    <n v="43"/>
    <s v="MASCULINO"/>
  </r>
  <r>
    <x v="0"/>
    <x v="0"/>
    <x v="0"/>
    <s v="80738291"/>
    <s v="PARRA BAUTISTA JULIAN CAMILO"/>
    <x v="13"/>
    <x v="5"/>
    <x v="2"/>
    <s v="C813_00000000000703"/>
    <x v="34"/>
    <s v="CALLE 65 SUR # 78H-54 BOSA BOGOTA"/>
    <x v="2"/>
    <x v="3"/>
    <s v="HIPERMERCADO"/>
    <x v="0"/>
    <s v="CUNDINAMARCA"/>
    <x v="0"/>
    <s v="GAVIRIA FERRO DIEGO MAURICIO"/>
    <s v="PASTUSO ACHICUE CLAUDIA PATRICIA"/>
    <x v="14"/>
    <x v="2"/>
    <n v="0"/>
    <n v="6.6666666666666666E-2"/>
    <d v="2025-01-02T00:00:00"/>
    <d v="2010-08-10T00:00:00"/>
    <n v="194"/>
    <s v="+24 Mounths"/>
    <s v="B"/>
    <s v="B"/>
    <x v="0"/>
    <n v="3102711462"/>
    <s v="OK LINEA"/>
    <s v="SI"/>
    <d v="1983-02-25T00:00:00"/>
    <n v="43"/>
    <s v="MASCULINO"/>
  </r>
  <r>
    <x v="0"/>
    <x v="0"/>
    <x v="0"/>
    <s v="80738291"/>
    <s v="PARRA BAUTISTA JULIAN CAMILO"/>
    <x v="13"/>
    <x v="5"/>
    <x v="2"/>
    <s v="C813_00000000000111"/>
    <x v="177"/>
    <s v="CALLE 38 A SUR # 34D-51 BOGOTA"/>
    <x v="2"/>
    <x v="3"/>
    <s v="HIPERMERCADO"/>
    <x v="0"/>
    <s v="CUNDINAMARCA"/>
    <x v="0"/>
    <s v="GAVIRIA FERRO DIEGO MAURICIO"/>
    <s v="PASTUSO ACHICUE CLAUDIA PATRICIA"/>
    <x v="14"/>
    <x v="2"/>
    <n v="0"/>
    <n v="6.6666666666666666E-2"/>
    <d v="2025-01-02T00:00:00"/>
    <d v="2010-08-10T00:00:00"/>
    <n v="194"/>
    <s v="+24 Mounths"/>
    <s v="A"/>
    <s v="A"/>
    <x v="0"/>
    <n v="3102711462"/>
    <s v="OK LINEA"/>
    <s v="SI"/>
    <d v="1983-02-25T00:00:00"/>
    <n v="43"/>
    <s v="MASCULINO"/>
  </r>
  <r>
    <x v="0"/>
    <x v="0"/>
    <x v="0"/>
    <s v="80738291"/>
    <s v="PARRA BAUTISTA JULIAN CAMILO"/>
    <x v="13"/>
    <x v="5"/>
    <x v="2"/>
    <s v="C813_00000000000105"/>
    <x v="81"/>
    <s v="CRA 59 A # 79-30 BOGOTA"/>
    <x v="2"/>
    <x v="3"/>
    <s v="HIPERMERCADO"/>
    <x v="0"/>
    <s v="CUNDINAMARCA"/>
    <x v="0"/>
    <s v="GAVIRIA FERRO DIEGO MAURICIO"/>
    <s v="PASTUSO ACHICUE CLAUDIA PATRICIA"/>
    <x v="14"/>
    <x v="2"/>
    <n v="0"/>
    <n v="6.6666666666666666E-2"/>
    <d v="2025-01-02T00:00:00"/>
    <d v="2010-08-10T00:00:00"/>
    <n v="194"/>
    <s v="+24 Mounths"/>
    <s v="A"/>
    <s v="A"/>
    <x v="0"/>
    <n v="3102711462"/>
    <s v="OK LINEA"/>
    <s v="SI"/>
    <d v="1983-02-25T00:00:00"/>
    <n v="43"/>
    <s v="MASCULINO"/>
  </r>
  <r>
    <x v="0"/>
    <x v="0"/>
    <x v="0"/>
    <s v="80738291"/>
    <s v="PARRA BAUTISTA JULIAN CAMILO"/>
    <x v="13"/>
    <x v="5"/>
    <x v="2"/>
    <s v="C813_00000000000872"/>
    <x v="86"/>
    <s v="CALLE DE LA UNIVERSIDAD # 36-90 CHIA CUNDINAMARCA"/>
    <x v="2"/>
    <x v="3"/>
    <s v="HIPERMERCADO"/>
    <x v="7"/>
    <s v="CUNDINAMARCA"/>
    <x v="0"/>
    <s v="GAVIRIA FERRO DIEGO MAURICIO"/>
    <s v="PASTUSO ACHICUE CLAUDIA PATRICIA"/>
    <x v="14"/>
    <x v="2"/>
    <n v="0"/>
    <n v="6.6666666666666666E-2"/>
    <d v="2025-01-02T00:00:00"/>
    <d v="2010-08-10T00:00:00"/>
    <n v="194"/>
    <s v="+24 Mounths"/>
    <s v="C"/>
    <s v="C"/>
    <x v="0"/>
    <n v="3102711462"/>
    <s v="OK LINEA"/>
    <s v="NO"/>
    <d v="1983-02-25T00:00:00"/>
    <n v="43"/>
    <s v="MASCULINO"/>
  </r>
  <r>
    <x v="0"/>
    <x v="0"/>
    <x v="0"/>
    <s v="80738291"/>
    <s v="PARRA BAUTISTA JULIAN CAMILO"/>
    <x v="13"/>
    <x v="5"/>
    <x v="2"/>
    <s v="C813_00000000005387"/>
    <x v="68"/>
    <s v="CARRERA 7 # 30 B -139 SOACHA  - CUNDINAMARCA"/>
    <x v="2"/>
    <x v="3"/>
    <s v="HIPERMERCADO"/>
    <x v="10"/>
    <s v="CUNDINAMARCA"/>
    <x v="0"/>
    <s v="GAVIRIA FERRO DIEGO MAURICIO"/>
    <s v="PASTUSO ACHICUE CLAUDIA PATRICIA"/>
    <x v="14"/>
    <x v="2"/>
    <n v="0"/>
    <n v="6.6666666666666666E-2"/>
    <d v="2025-01-02T00:00:00"/>
    <d v="2010-08-10T00:00:00"/>
    <n v="194"/>
    <s v="+24 Mounths"/>
    <s v="B"/>
    <s v="B"/>
    <x v="0"/>
    <n v="3102711462"/>
    <s v="OK LINEA"/>
    <s v="SI"/>
    <d v="1983-02-25T00:00:00"/>
    <n v="43"/>
    <s v="MASCULINO"/>
  </r>
  <r>
    <x v="0"/>
    <x v="0"/>
    <x v="0"/>
    <s v="80738291"/>
    <s v="PARRA BAUTISTA JULIAN CAMILO"/>
    <x v="13"/>
    <x v="5"/>
    <x v="2"/>
    <s v="C813_00000000000696"/>
    <x v="240"/>
    <s v="CALLE 145 # 105B - 58 BOGOTA"/>
    <x v="2"/>
    <x v="3"/>
    <s v="HIPERMERCADO"/>
    <x v="0"/>
    <s v="CUNDINAMARCA"/>
    <x v="0"/>
    <s v="GAVIRIA FERRO DIEGO MAURICIO"/>
    <s v="PASTUSO ACHICUE CLAUDIA PATRICIA"/>
    <x v="14"/>
    <x v="2"/>
    <n v="0"/>
    <n v="6.6666666666666666E-2"/>
    <d v="2025-01-02T00:00:00"/>
    <d v="2010-08-10T00:00:00"/>
    <n v="194"/>
    <s v="+24 Mounths"/>
    <s v="B"/>
    <s v="B"/>
    <x v="0"/>
    <n v="3102711462"/>
    <s v="OK LINEA"/>
    <s v="SI"/>
    <d v="1983-02-25T00:00:00"/>
    <n v="43"/>
    <s v="MASCULINO"/>
  </r>
  <r>
    <x v="0"/>
    <x v="0"/>
    <x v="0"/>
    <s v="80738291"/>
    <s v="PARRA BAUTISTA JULIAN CAMILO"/>
    <x v="13"/>
    <x v="5"/>
    <x v="2"/>
    <s v="C813_00000000000749"/>
    <x v="101"/>
    <s v="CRA 1RA # 65D SUR - 58 BOGOTA"/>
    <x v="2"/>
    <x v="3"/>
    <s v="HIPERMERCADO"/>
    <x v="0"/>
    <s v="CUNDINAMARCA"/>
    <x v="0"/>
    <s v="GAVIRIA FERRO DIEGO MAURICIO"/>
    <s v="PASTUSO ACHICUE CLAUDIA PATRICIA"/>
    <x v="14"/>
    <x v="2"/>
    <n v="0"/>
    <n v="6.6666666666666666E-2"/>
    <d v="2025-01-02T00:00:00"/>
    <d v="2010-08-10T00:00:00"/>
    <n v="194"/>
    <s v="+24 Mounths"/>
    <s v="B"/>
    <s v="B"/>
    <x v="0"/>
    <n v="3102711462"/>
    <s v="OK LINEA"/>
    <s v="SI"/>
    <d v="1983-02-25T00:00:00"/>
    <n v="43"/>
    <s v="MASCULINO"/>
  </r>
  <r>
    <x v="0"/>
    <x v="0"/>
    <x v="0"/>
    <s v="80738291"/>
    <s v="PARRA BAUTISTA JULIAN CAMILO"/>
    <x v="13"/>
    <x v="5"/>
    <x v="2"/>
    <s v="C813_00000000000107"/>
    <x v="67"/>
    <s v="CARRERA 72 #146A - 25 BOGOTA CUNDINAMARCA"/>
    <x v="2"/>
    <x v="3"/>
    <s v="HIPERMERCADO"/>
    <x v="0"/>
    <s v="CUNDINAMARCA"/>
    <x v="0"/>
    <s v="GAVIRIA FERRO DIEGO MAURICIO"/>
    <s v="PASTUSO ACHICUE CLAUDIA PATRICIA"/>
    <x v="14"/>
    <x v="2"/>
    <n v="0"/>
    <n v="6.6666666666666666E-2"/>
    <d v="2025-01-02T00:00:00"/>
    <d v="2010-08-10T00:00:00"/>
    <n v="194"/>
    <s v="+24 Mounths"/>
    <s v="A"/>
    <s v="A"/>
    <x v="0"/>
    <n v="3102711462"/>
    <s v="OK LINEA"/>
    <s v="SI"/>
    <d v="1983-02-25T00:00:00"/>
    <n v="43"/>
    <s v="MASCULINO"/>
  </r>
  <r>
    <x v="0"/>
    <x v="0"/>
    <x v="0"/>
    <s v="80738291"/>
    <s v="PARRA BAUTISTA JULIAN CAMILO"/>
    <x v="13"/>
    <x v="5"/>
    <x v="2"/>
    <s v="C813_00000000000112"/>
    <x v="35"/>
    <s v="CALLE 134 # 9-51 BOGOTA CUNDINAMARCA"/>
    <x v="2"/>
    <x v="3"/>
    <s v="HIPERMERCADO"/>
    <x v="0"/>
    <s v="CUNDINAMARCA"/>
    <x v="0"/>
    <s v="GAVIRIA FERRO DIEGO MAURICIO"/>
    <s v="PASTUSO ACHICUE CLAUDIA PATRICIA"/>
    <x v="14"/>
    <x v="2"/>
    <n v="0"/>
    <n v="6.6666666666666666E-2"/>
    <d v="2025-01-02T00:00:00"/>
    <d v="2010-08-10T00:00:00"/>
    <n v="194"/>
    <s v="+24 Mounths"/>
    <s v="A"/>
    <s v="A"/>
    <x v="0"/>
    <n v="3102711462"/>
    <s v="OK LINEA"/>
    <s v="SI"/>
    <d v="1983-02-25T00:00:00"/>
    <n v="43"/>
    <s v="MASCULINO"/>
  </r>
  <r>
    <x v="0"/>
    <x v="0"/>
    <x v="0"/>
    <s v="80738291"/>
    <s v="PARRA BAUTISTA JULIAN CAMILO"/>
    <x v="13"/>
    <x v="5"/>
    <x v="2"/>
    <s v="C813_00000000000034"/>
    <x v="176"/>
    <s v="AVENIDA 15 # 123-30 BOGOTA CUNDINAMARCA"/>
    <x v="2"/>
    <x v="3"/>
    <s v="HIPERMERCADO"/>
    <x v="0"/>
    <s v="CUNDINAMARCA"/>
    <x v="0"/>
    <s v="GAVIRIA FERRO DIEGO MAURICIO"/>
    <s v="PASTUSO ACHICUE CLAUDIA PATRICIA"/>
    <x v="14"/>
    <x v="2"/>
    <n v="0"/>
    <n v="6.6666666666666666E-2"/>
    <d v="2025-01-02T00:00:00"/>
    <d v="2010-08-10T00:00:00"/>
    <n v="194"/>
    <s v="+24 Mounths"/>
    <s v="C"/>
    <s v="C"/>
    <x v="0"/>
    <n v="3102711462"/>
    <s v="OK LINEA"/>
    <s v="SI"/>
    <d v="1983-02-25T00:00:00"/>
    <n v="43"/>
    <s v="MASCULINO"/>
  </r>
  <r>
    <x v="0"/>
    <x v="0"/>
    <x v="0"/>
    <s v="80738291"/>
    <s v="PARRA BAUTISTA JULIAN CAMILO"/>
    <x v="13"/>
    <x v="5"/>
    <x v="2"/>
    <s v="C813_00000000004396"/>
    <x v="108"/>
    <s v="AVENIDA  68 # 80-77 BOGOTA CUNDINAMARCA"/>
    <x v="9"/>
    <x v="16"/>
    <s v="HIPERMERCADO"/>
    <x v="0"/>
    <s v="CUNDINAMARCA"/>
    <x v="0"/>
    <s v="GAVIRIA FERRO DIEGO MAURICIO"/>
    <s v="PASTUSO ACHICUE CLAUDIA PATRICIA"/>
    <x v="14"/>
    <x v="4"/>
    <n v="0"/>
    <n v="6.6666666666666666E-2"/>
    <d v="2025-01-02T00:00:00"/>
    <d v="2010-08-10T00:00:00"/>
    <n v="194"/>
    <s v="+24 Mounths"/>
    <s v="D"/>
    <s v="D"/>
    <x v="0"/>
    <n v="3102711462"/>
    <s v="OK LINEA"/>
    <s v="SI"/>
    <d v="1983-02-25T00:00:00"/>
    <n v="43"/>
    <s v="MASCULINO"/>
  </r>
  <r>
    <x v="0"/>
    <x v="0"/>
    <x v="0"/>
    <s v="80738291"/>
    <s v="PARRA BAUTISTA JULIAN CAMILO"/>
    <x v="13"/>
    <x v="5"/>
    <x v="2"/>
    <s v="C813_00000000000206"/>
    <x v="83"/>
    <s v="CRA 71D #6-94 SUR BOGOTA"/>
    <x v="5"/>
    <x v="6"/>
    <s v="HIPERMERCADO"/>
    <x v="0"/>
    <s v="CUNDINAMARCA"/>
    <x v="0"/>
    <s v="GAVIRIA FERRO DIEGO MAURICIO"/>
    <s v="PASTUSO ACHICUE CLAUDIA PATRICIA"/>
    <x v="14"/>
    <x v="4"/>
    <n v="0"/>
    <n v="6.6666666666666666E-2"/>
    <d v="2025-01-02T00:00:00"/>
    <d v="2010-08-10T00:00:00"/>
    <n v="194"/>
    <s v="+24 Mounths"/>
    <s v="B"/>
    <s v="B"/>
    <x v="0"/>
    <n v="3102711462"/>
    <s v="OK LINEA"/>
    <s v="NO"/>
    <d v="1983-02-25T00:00:00"/>
    <n v="43"/>
    <s v="MASCULINO"/>
  </r>
  <r>
    <x v="0"/>
    <x v="0"/>
    <x v="0"/>
    <s v="80738291"/>
    <s v="PARRA BAUTISTA JULIAN CAMILO"/>
    <x v="13"/>
    <x v="5"/>
    <x v="2"/>
    <s v="C813_00000000005056"/>
    <x v="217"/>
    <s v="AC 26 # 71A-16 BOGOTA"/>
    <x v="9"/>
    <x v="20"/>
    <s v="HIPERMERCADO"/>
    <x v="0"/>
    <s v="CUNDINAMARCA"/>
    <x v="0"/>
    <s v="GAVIRIA FERRO DIEGO MAURICIO"/>
    <s v="PASTUSO ACHICUE CLAUDIA PATRICIA"/>
    <x v="14"/>
    <x v="4"/>
    <n v="0"/>
    <n v="6.6666666666666666E-2"/>
    <d v="2025-01-02T00:00:00"/>
    <d v="2010-08-10T00:00:00"/>
    <n v="194"/>
    <s v="+24 Mounths"/>
    <s v="C"/>
    <s v="C"/>
    <x v="0"/>
    <n v="3102711462"/>
    <s v="OK LINEA"/>
    <s v="SI"/>
    <d v="1983-02-25T00:00:00"/>
    <n v="43"/>
    <s v="MASCULINO"/>
  </r>
  <r>
    <x v="0"/>
    <x v="0"/>
    <x v="0"/>
    <s v="1130600732"/>
    <s v="ORDOÑEZ VERGARA LEIDY ANDREA"/>
    <x v="13"/>
    <x v="5"/>
    <x v="2"/>
    <s v="C813_00000000005097"/>
    <x v="271"/>
    <s v="CALLE 25 # 98-416 LOCAL 229 CENTRO COMERCIAL JARDIN PLAZA CALI VALLE DEL CAUCA"/>
    <x v="6"/>
    <x v="7"/>
    <s v="HIPERMERCADO"/>
    <x v="4"/>
    <s v="VALLE DEL CAUCA"/>
    <x v="4"/>
    <s v="ALVAREZ LONDOÑO JOHNNY"/>
    <s v="ROMERO ARENAS DANNY MAURICIO"/>
    <x v="5"/>
    <x v="5"/>
    <n v="1"/>
    <n v="7.6923076923076927E-2"/>
    <d v="2025-01-07T00:00:00"/>
    <d v="2020-07-07T00:00:00"/>
    <n v="75"/>
    <s v="+24 Mounths"/>
    <s v="A"/>
    <s v="C"/>
    <x v="0"/>
    <n v="3102701415"/>
    <s v="OK LINEA"/>
    <s v="SI"/>
    <d v="1988-08-11T00:00:00"/>
    <n v="38"/>
    <s v="FEMENINO"/>
  </r>
  <r>
    <x v="0"/>
    <x v="0"/>
    <x v="0"/>
    <s v="1130600732"/>
    <s v="ORDOÑEZ VERGARA LEIDY ANDREA"/>
    <x v="13"/>
    <x v="5"/>
    <x v="2"/>
    <s v="C813_00000000005002"/>
    <x v="58"/>
    <s v="CALLE 36 # 6A - 65  CENTRO COMERCIAL PACIFIC MALL WORLD TRADE CENTER CALI VALLE DEL CAUCA"/>
    <x v="6"/>
    <x v="7"/>
    <s v="HIPERMERCADO"/>
    <x v="4"/>
    <s v="VALLE DEL CAUCA"/>
    <x v="4"/>
    <s v="ALVAREZ LONDOÑO JOHNNY"/>
    <s v="ROMERO ARENAS DANNY MAURICIO"/>
    <x v="5"/>
    <x v="5"/>
    <n v="0"/>
    <n v="7.6923076923076927E-2"/>
    <d v="2025-01-07T00:00:00"/>
    <d v="2020-07-07T00:00:00"/>
    <n v="75"/>
    <s v="+24 Mounths"/>
    <s v="B"/>
    <s v="C"/>
    <x v="0"/>
    <n v="3102701415"/>
    <s v="OK LINEA"/>
    <s v="NO"/>
    <d v="1988-08-11T00:00:00"/>
    <n v="38"/>
    <s v="FEMENINO"/>
  </r>
  <r>
    <x v="0"/>
    <x v="0"/>
    <x v="0"/>
    <s v="1130600732"/>
    <s v="ORDOÑEZ VERGARA LEIDY ANDREA"/>
    <x v="13"/>
    <x v="5"/>
    <x v="2"/>
    <s v="C813_00000000004378"/>
    <x v="105"/>
    <s v="AVENIDA 6A NORTE # 35-00 SANTA CALI VALLE DEL CAUCA"/>
    <x v="9"/>
    <x v="16"/>
    <s v="HIPERMERCADO"/>
    <x v="4"/>
    <s v="VALLE DEL CAUCA"/>
    <x v="4"/>
    <s v="ALVAREZ LONDOÑO JOHNNY"/>
    <s v="ROMERO ARENAS DANNY MAURICIO"/>
    <x v="5"/>
    <x v="4"/>
    <n v="0"/>
    <n v="7.6923076923076927E-2"/>
    <d v="2025-01-07T00:00:00"/>
    <d v="2020-07-07T00:00:00"/>
    <n v="75"/>
    <s v="+24 Mounths"/>
    <s v="NO DATA"/>
    <s v="NO DATA"/>
    <x v="0"/>
    <n v="3102701415"/>
    <s v="OK LINEA"/>
    <s v="NO"/>
    <d v="1988-08-11T00:00:00"/>
    <n v="38"/>
    <s v="FEMENINO"/>
  </r>
  <r>
    <x v="0"/>
    <x v="0"/>
    <x v="0"/>
    <s v="1130600732"/>
    <s v="ORDOÑEZ VERGARA LEIDY ANDREA"/>
    <x v="13"/>
    <x v="5"/>
    <x v="2"/>
    <s v="C813_00000000000744"/>
    <x v="80"/>
    <s v="CRA 3 # 52-126 CC UNICO LOCAL 10-07 CALI VALLE DEL CAUCA"/>
    <x v="1"/>
    <x v="10"/>
    <s v="HIPERMERCADO"/>
    <x v="4"/>
    <s v="VALLE DEL CAUCA"/>
    <x v="4"/>
    <s v="ALVAREZ LONDOÑO JOHNNY"/>
    <s v="ROMERO ARENAS DANNY MAURICIO"/>
    <x v="5"/>
    <x v="1"/>
    <n v="0"/>
    <n v="7.6923076923076927E-2"/>
    <d v="2025-01-07T00:00:00"/>
    <d v="2020-07-07T00:00:00"/>
    <n v="75"/>
    <s v="+24 Mounths"/>
    <s v="B"/>
    <s v="B"/>
    <x v="0"/>
    <n v="3102701415"/>
    <s v="OK LINEA"/>
    <s v="SI"/>
    <d v="1988-08-11T00:00:00"/>
    <n v="38"/>
    <s v="FEMENINO"/>
  </r>
  <r>
    <x v="0"/>
    <x v="0"/>
    <x v="0"/>
    <s v="1130600732"/>
    <s v="ORDOÑEZ VERGARA LEIDY ANDREA"/>
    <x v="13"/>
    <x v="5"/>
    <x v="2"/>
    <s v="C813_00000000001058"/>
    <x v="7"/>
    <s v="CL 13 #80 - 187, CALI, VALLE DEL CAUCA"/>
    <x v="1"/>
    <x v="2"/>
    <s v="HIPERMERCADO"/>
    <x v="4"/>
    <s v="VALLE DEL CAUCA"/>
    <x v="4"/>
    <s v="ALVAREZ LONDOÑO JOHNNY"/>
    <s v="ROMERO ARENAS DANNY MAURICIO"/>
    <x v="5"/>
    <x v="1"/>
    <n v="0"/>
    <n v="7.6923076923076927E-2"/>
    <d v="2025-01-07T00:00:00"/>
    <d v="2020-07-07T00:00:00"/>
    <n v="75"/>
    <s v="+24 Mounths"/>
    <s v="A"/>
    <s v="A"/>
    <x v="0"/>
    <n v="3102701415"/>
    <s v="OK LINEA"/>
    <s v="SI"/>
    <d v="1988-08-11T00:00:00"/>
    <n v="38"/>
    <s v="FEMENINO"/>
  </r>
  <r>
    <x v="0"/>
    <x v="0"/>
    <x v="0"/>
    <s v="1130600732"/>
    <s v="ORDOÑEZ VERGARA LEIDY ANDREA"/>
    <x v="13"/>
    <x v="5"/>
    <x v="2"/>
    <s v="C813_00000000006896"/>
    <x v="20"/>
    <s v="CARRERA 1 # 66 63"/>
    <x v="1"/>
    <x v="2"/>
    <s v="HIPERMERCADO"/>
    <x v="4"/>
    <s v="VALLE DEL CAUCA"/>
    <x v="4"/>
    <s v="ALVAREZ LONDOÑO JOHNNY"/>
    <s v="ROMERO ARENAS DANNY MAURICIO"/>
    <x v="5"/>
    <x v="1"/>
    <n v="0"/>
    <n v="7.6923076923076927E-2"/>
    <d v="2025-01-07T00:00:00"/>
    <d v="2020-07-07T00:00:00"/>
    <n v="75"/>
    <s v="+24 Mounths"/>
    <s v="A"/>
    <s v="B"/>
    <x v="0"/>
    <n v="3102701415"/>
    <s v="OK LINEA"/>
    <s v="SI"/>
    <d v="1988-08-11T00:00:00"/>
    <n v="38"/>
    <s v="FEMENINO"/>
  </r>
  <r>
    <x v="0"/>
    <x v="0"/>
    <x v="0"/>
    <s v="1130600732"/>
    <s v="ORDOÑEZ VERGARA LEIDY ANDREA"/>
    <x v="13"/>
    <x v="5"/>
    <x v="2"/>
    <s v="C813_00000000000312"/>
    <x v="122"/>
    <s v="CRA 9 # 24A -21 POPAYAN CAUCA"/>
    <x v="4"/>
    <x v="5"/>
    <s v="HIPERMERCADO"/>
    <x v="26"/>
    <s v="CAUCA"/>
    <x v="4"/>
    <s v="ALVAREZ LONDOÑO JOHNNY"/>
    <s v="ROMERO ARENAS DANNY MAURICIO"/>
    <x v="5"/>
    <x v="3"/>
    <n v="0"/>
    <n v="7.6923076923076927E-2"/>
    <d v="2025-01-07T00:00:00"/>
    <d v="2020-07-07T00:00:00"/>
    <n v="75"/>
    <s v="+24 Mounths"/>
    <s v="A"/>
    <s v="D"/>
    <x v="0"/>
    <n v="3102701415"/>
    <s v="OK LINEA"/>
    <s v="SI"/>
    <d v="1988-08-11T00:00:00"/>
    <n v="38"/>
    <s v="FEMENINO"/>
  </r>
  <r>
    <x v="0"/>
    <x v="0"/>
    <x v="0"/>
    <s v="1130600732"/>
    <s v="ORDOÑEZ VERGARA LEIDY ANDREA"/>
    <x v="13"/>
    <x v="5"/>
    <x v="2"/>
    <s v="C813_00000000000727"/>
    <x v="146"/>
    <s v="CALLE 16 # 98 - 155 CALI VALLE DEL CAUCA"/>
    <x v="4"/>
    <x v="5"/>
    <s v="HIPERMERCADO"/>
    <x v="4"/>
    <s v="VALLE DEL CAUCA"/>
    <x v="4"/>
    <s v="ALVAREZ LONDOÑO JOHNNY"/>
    <s v="ROMERO ARENAS DANNY MAURICIO"/>
    <x v="5"/>
    <x v="3"/>
    <n v="0"/>
    <n v="7.6923076923076927E-2"/>
    <d v="2025-01-07T00:00:00"/>
    <d v="2020-07-07T00:00:00"/>
    <n v="75"/>
    <s v="+24 Mounths"/>
    <s v="B"/>
    <s v="D"/>
    <x v="0"/>
    <n v="3102701415"/>
    <s v="OK LINEA"/>
    <s v="SI"/>
    <d v="1988-08-11T00:00:00"/>
    <n v="38"/>
    <s v="FEMENINO"/>
  </r>
  <r>
    <x v="0"/>
    <x v="0"/>
    <x v="0"/>
    <s v="1130600732"/>
    <s v="ORDOÑEZ VERGARA LEIDY ANDREA"/>
    <x v="13"/>
    <x v="5"/>
    <x v="2"/>
    <s v="C813_00000000000351"/>
    <x v="130"/>
    <s v="CALLE 6 # 2-31 BUGALAGRANDE VALLE DEL CAUCA"/>
    <x v="4"/>
    <x v="5"/>
    <s v="HIPERMERCADO"/>
    <x v="34"/>
    <s v="VALLE DEL CAUCA"/>
    <x v="4"/>
    <s v="ALVAREZ LONDOÑO JOHNNY"/>
    <s v="ROMERO ARENAS DANNY MAURICIO"/>
    <x v="5"/>
    <x v="3"/>
    <n v="0"/>
    <n v="7.6923076923076927E-2"/>
    <d v="2025-01-07T00:00:00"/>
    <d v="2020-07-07T00:00:00"/>
    <n v="75"/>
    <s v="+24 Mounths"/>
    <s v="A"/>
    <s v="C"/>
    <x v="0"/>
    <n v="3102701415"/>
    <s v="OK LINEA"/>
    <s v="NO"/>
    <d v="1988-08-11T00:00:00"/>
    <n v="38"/>
    <s v="FEMENINO"/>
  </r>
  <r>
    <x v="0"/>
    <x v="0"/>
    <x v="0"/>
    <s v="1130600732"/>
    <s v="ORDOÑEZ VERGARA LEIDY ANDREA"/>
    <x v="13"/>
    <x v="5"/>
    <x v="2"/>
    <s v="C813_00000000004377"/>
    <x v="104"/>
    <s v="CARRERA 100 # 16-25 CALI VALLE DEL CAUCA"/>
    <x v="9"/>
    <x v="16"/>
    <s v="HIPERMERCADO"/>
    <x v="4"/>
    <s v="VALLE DEL CAUCA"/>
    <x v="4"/>
    <s v="ALVAREZ LONDOÑO JOHNNY"/>
    <s v="ROMERO ARENAS DANNY MAURICIO"/>
    <x v="5"/>
    <x v="4"/>
    <n v="0"/>
    <n v="7.6923076923076927E-2"/>
    <d v="2025-01-07T00:00:00"/>
    <d v="2020-07-07T00:00:00"/>
    <n v="75"/>
    <s v="+24 Mounths"/>
    <s v="C"/>
    <s v="C"/>
    <x v="0"/>
    <n v="3102701415"/>
    <s v="OK LINEA"/>
    <s v="SI"/>
    <d v="1988-08-11T00:00:00"/>
    <n v="38"/>
    <s v="FEMENINO"/>
  </r>
  <r>
    <x v="0"/>
    <x v="0"/>
    <x v="0"/>
    <s v="1130600732"/>
    <s v="ORDOÑEZ VERGARA LEIDY ANDREA"/>
    <x v="13"/>
    <x v="5"/>
    <x v="2"/>
    <s v="C813_00000000005938"/>
    <x v="254"/>
    <s v="CALLE 38 # 6 NORTE-35"/>
    <x v="1"/>
    <x v="1"/>
    <s v="HIPERMERCADO"/>
    <x v="4"/>
    <s v="VALLE DEL CAUCA"/>
    <x v="4"/>
    <s v="ALVAREZ LONDOÑO JOHNNY"/>
    <s v="ROMERO ARENAS DANNY MAURICIO"/>
    <x v="5"/>
    <x v="1"/>
    <n v="0"/>
    <n v="7.6923076923076927E-2"/>
    <d v="2025-01-07T00:00:00"/>
    <d v="2020-07-07T00:00:00"/>
    <n v="75"/>
    <s v="+24 Mounths"/>
    <s v="C"/>
    <s v="C"/>
    <x v="0"/>
    <n v="3102701415"/>
    <s v="OK LINEA"/>
    <s v="SI"/>
    <d v="1988-08-11T00:00:00"/>
    <n v="38"/>
    <s v="FEMENINO"/>
  </r>
  <r>
    <x v="0"/>
    <x v="0"/>
    <x v="0"/>
    <s v="1130600732"/>
    <s v="ORDOÑEZ VERGARA LEIDY ANDREA"/>
    <x v="13"/>
    <x v="5"/>
    <x v="2"/>
    <s v="C813_00000000005057"/>
    <x v="119"/>
    <s v="CRA 121 # 18-34 CALI VALLE DEL CAUCA"/>
    <x v="9"/>
    <x v="20"/>
    <s v="HIPERMERCADO"/>
    <x v="4"/>
    <s v="VALLE DEL CAUCA"/>
    <x v="4"/>
    <s v="ALVAREZ LONDOÑO JOHNNY"/>
    <s v="ROMERO ARENAS DANNY MAURICIO"/>
    <x v="5"/>
    <x v="4"/>
    <n v="0"/>
    <n v="7.6923076923076927E-2"/>
    <d v="2025-01-07T00:00:00"/>
    <d v="2020-07-07T00:00:00"/>
    <n v="75"/>
    <s v="+24 Mounths"/>
    <s v="D"/>
    <s v="D"/>
    <x v="0"/>
    <n v="3102701415"/>
    <s v="OK LINEA"/>
    <s v="NO"/>
    <d v="1988-08-11T00:00:00"/>
    <n v="38"/>
    <s v="FEMENINO"/>
  </r>
  <r>
    <x v="0"/>
    <x v="0"/>
    <x v="0"/>
    <s v="1130600732"/>
    <s v="ORDOÑEZ VERGARA LEIDY ANDREA"/>
    <x v="13"/>
    <x v="5"/>
    <x v="2"/>
    <s v="C813_00000000005058"/>
    <x v="120"/>
    <s v="CALLE 64N # 5BN - 183 MENGA CALI VALLE DEL CAUCA"/>
    <x v="9"/>
    <x v="20"/>
    <s v="HIPERMERCADO"/>
    <x v="4"/>
    <s v="VALLE DEL CAUCA"/>
    <x v="4"/>
    <s v="ALVAREZ LONDOÑO JOHNNY"/>
    <s v="ROMERO ARENAS DANNY MAURICIO"/>
    <x v="5"/>
    <x v="4"/>
    <n v="0"/>
    <n v="7.6923076923076927E-2"/>
    <d v="2025-01-07T00:00:00"/>
    <d v="2020-07-07T00:00:00"/>
    <n v="75"/>
    <s v="+24 Mounths"/>
    <s v="D"/>
    <s v="D"/>
    <x v="0"/>
    <n v="3102701415"/>
    <s v="OK LINEA"/>
    <s v="NO"/>
    <d v="1988-08-11T00:00:00"/>
    <n v="38"/>
    <s v="FEMENINO"/>
  </r>
  <r>
    <x v="0"/>
    <x v="0"/>
    <x v="0"/>
    <s v="1038768902"/>
    <s v="ARDILA BERMUDEZ ELIANA MARIA"/>
    <x v="13"/>
    <x v="5"/>
    <x v="2"/>
    <s v="C813_00000000003084"/>
    <x v="278"/>
    <s v="CRA 49 # 46 - 67 MEDELLIN ANTIOQUIA"/>
    <x v="10"/>
    <x v="36"/>
    <s v="TRADITIONAL"/>
    <x v="2"/>
    <s v="ANTIOQUIA"/>
    <x v="2"/>
    <s v="LOPEZ PALACIO PABLO EMILIO"/>
    <s v="ROMERO ARENAS DANNY MAURICIO"/>
    <x v="17"/>
    <x v="6"/>
    <n v="1"/>
    <n v="3.8461538461538464E-2"/>
    <d v="2025-01-02T00:00:00"/>
    <d v="2014-03-08T00:00:00"/>
    <n v="151"/>
    <s v="+24 Mounths"/>
    <s v="NO DATA"/>
    <s v="NO DATA"/>
    <x v="0"/>
    <n v="3102716006"/>
    <s v="OK LINEA"/>
    <s v="NO"/>
    <d v="1991-02-28T00:00:00"/>
    <n v="35"/>
    <s v="FEMENINO"/>
  </r>
  <r>
    <x v="0"/>
    <x v="0"/>
    <x v="0"/>
    <s v="1038768902"/>
    <s v="ARDILA BERMUDEZ ELIANA MARIA"/>
    <x v="13"/>
    <x v="5"/>
    <x v="2"/>
    <s v="C813_00000000003076"/>
    <x v="279"/>
    <s v="CRA 49 #48-43 MEDELLIN ANTIOQUIA"/>
    <x v="10"/>
    <x v="37"/>
    <s v="TRADITIONAL"/>
    <x v="2"/>
    <s v="ANTIOQUIA"/>
    <x v="2"/>
    <s v="LOPEZ PALACIO PABLO EMILIO"/>
    <s v="ROMERO ARENAS DANNY MAURICIO"/>
    <x v="17"/>
    <x v="6"/>
    <n v="0"/>
    <n v="3.8461538461538464E-2"/>
    <d v="2025-01-02T00:00:00"/>
    <d v="2014-03-08T00:00:00"/>
    <n v="151"/>
    <s v="+24 Mounths"/>
    <s v="NO DATA"/>
    <s v="NO DATA"/>
    <x v="0"/>
    <n v="3102716006"/>
    <s v="OK LINEA"/>
    <s v="NO"/>
    <d v="1991-02-28T00:00:00"/>
    <n v="35"/>
    <s v="FEMENINO"/>
  </r>
  <r>
    <x v="0"/>
    <x v="0"/>
    <x v="0"/>
    <s v="1038768902"/>
    <s v="ARDILA BERMUDEZ ELIANA MARIA"/>
    <x v="13"/>
    <x v="5"/>
    <x v="2"/>
    <s v="C813_00000000003068"/>
    <x v="280"/>
    <s v="CALLE 50 # 52-36 MEDELLIN - ANTIOQUIA"/>
    <x v="10"/>
    <x v="36"/>
    <s v="TRADITIONAL"/>
    <x v="2"/>
    <s v="ANTIOQUIA"/>
    <x v="2"/>
    <s v="LOPEZ PALACIO PABLO EMILIO"/>
    <s v="ROMERO ARENAS DANNY MAURICIO"/>
    <x v="17"/>
    <x v="6"/>
    <n v="0"/>
    <n v="3.8461538461538464E-2"/>
    <d v="2025-01-02T00:00:00"/>
    <d v="2014-03-08T00:00:00"/>
    <n v="151"/>
    <s v="+24 Mounths"/>
    <s v="C"/>
    <s v="C"/>
    <x v="0"/>
    <n v="3102716006"/>
    <s v="OK LINEA"/>
    <s v="NO"/>
    <d v="1991-02-28T00:00:00"/>
    <n v="35"/>
    <s v="FEMENINO"/>
  </r>
  <r>
    <x v="0"/>
    <x v="0"/>
    <x v="0"/>
    <s v="1038768902"/>
    <s v="ARDILA BERMUDEZ ELIANA MARIA"/>
    <x v="13"/>
    <x v="5"/>
    <x v="2"/>
    <s v="C813_00000000003081"/>
    <x v="281"/>
    <s v="CALLE 51 # 51-11 MEDELLIN ANTIOQUIA"/>
    <x v="10"/>
    <x v="36"/>
    <s v="TRADITIONAL"/>
    <x v="2"/>
    <s v="ANTIOQUIA"/>
    <x v="2"/>
    <s v="LOPEZ PALACIO PABLO EMILIO"/>
    <s v="ROMERO ARENAS DANNY MAURICIO"/>
    <x v="17"/>
    <x v="6"/>
    <n v="0"/>
    <n v="3.8461538461538464E-2"/>
    <d v="2025-01-02T00:00:00"/>
    <d v="2014-03-08T00:00:00"/>
    <n v="151"/>
    <s v="+24 Mounths"/>
    <s v="D"/>
    <s v="D"/>
    <x v="0"/>
    <n v="3102716006"/>
    <s v="OK LINEA"/>
    <s v="NO"/>
    <d v="1991-02-28T00:00:00"/>
    <n v="35"/>
    <s v="FEMENINO"/>
  </r>
  <r>
    <x v="0"/>
    <x v="0"/>
    <x v="0"/>
    <s v="1038768902"/>
    <s v="ARDILA BERMUDEZ ELIANA MARIA"/>
    <x v="13"/>
    <x v="5"/>
    <x v="2"/>
    <s v="C813_00000000006230"/>
    <x v="282"/>
    <s v="CLL 49# 20B - 60 LOC 441"/>
    <x v="10"/>
    <x v="19"/>
    <s v="TRADITIONAL"/>
    <x v="2"/>
    <s v="ANTIOQUIA"/>
    <x v="2"/>
    <s v="LOPEZ PALACIO PABLO EMILIO"/>
    <s v="ROMERO ARENAS DANNY MAURICIO"/>
    <x v="17"/>
    <x v="6"/>
    <n v="0"/>
    <n v="3.8461538461538464E-2"/>
    <d v="2025-01-02T00:00:00"/>
    <d v="2014-03-08T00:00:00"/>
    <n v="151"/>
    <s v="+24 Mounths"/>
    <s v="D"/>
    <s v="D"/>
    <x v="0"/>
    <n v="3102716006"/>
    <s v="OK LINEA"/>
    <s v="NO"/>
    <d v="1991-02-28T00:00:00"/>
    <n v="35"/>
    <s v="FEMENINO"/>
  </r>
  <r>
    <x v="0"/>
    <x v="0"/>
    <x v="0"/>
    <s v="1038768902"/>
    <s v="ARDILA BERMUDEZ ELIANA MARIA"/>
    <x v="13"/>
    <x v="5"/>
    <x v="2"/>
    <s v="C813_00000000003123"/>
    <x v="91"/>
    <s v="CRA 51 # 50-43 ITAGUI ANTIOQUIA"/>
    <x v="10"/>
    <x v="17"/>
    <s v="TRADITIONAL"/>
    <x v="16"/>
    <s v="ANTIOQUIA"/>
    <x v="2"/>
    <s v="LOPEZ PALACIO PABLO EMILIO"/>
    <s v="ROMERO ARENAS DANNY MAURICIO"/>
    <x v="17"/>
    <x v="6"/>
    <n v="0"/>
    <n v="3.8461538461538464E-2"/>
    <d v="2025-01-02T00:00:00"/>
    <d v="2014-03-08T00:00:00"/>
    <n v="151"/>
    <s v="+24 Mounths"/>
    <s v="NO DATA"/>
    <s v="NO DATA"/>
    <x v="0"/>
    <n v="3102716006"/>
    <s v="OK LINEA"/>
    <s v="NO"/>
    <d v="1991-02-28T00:00:00"/>
    <n v="35"/>
    <s v="FEMENINO"/>
  </r>
  <r>
    <x v="0"/>
    <x v="0"/>
    <x v="0"/>
    <s v="1038768902"/>
    <s v="ARDILA BERMUDEZ ELIANA MARIA"/>
    <x v="13"/>
    <x v="5"/>
    <x v="2"/>
    <s v="C813_00000000003118"/>
    <x v="161"/>
    <s v="CRA 49 # 46-48 BELLO ANTIOQUIA"/>
    <x v="10"/>
    <x v="19"/>
    <s v="TRADITIONAL"/>
    <x v="13"/>
    <s v="ANTIOQUIA"/>
    <x v="2"/>
    <s v="LOPEZ PALACIO PABLO EMILIO"/>
    <s v="ROMERO ARENAS DANNY MAURICIO"/>
    <x v="17"/>
    <x v="6"/>
    <n v="0"/>
    <n v="3.8461538461538464E-2"/>
    <d v="2025-01-02T00:00:00"/>
    <d v="2014-03-08T00:00:00"/>
    <n v="151"/>
    <s v="+24 Mounths"/>
    <s v="D"/>
    <s v="D"/>
    <x v="0"/>
    <n v="3102716006"/>
    <s v="OK LINEA"/>
    <s v="NO"/>
    <d v="1991-02-28T00:00:00"/>
    <n v="35"/>
    <s v="FEMENINO"/>
  </r>
  <r>
    <x v="0"/>
    <x v="0"/>
    <x v="0"/>
    <s v="1038768902"/>
    <s v="ARDILA BERMUDEZ ELIANA MARIA"/>
    <x v="13"/>
    <x v="5"/>
    <x v="2"/>
    <s v="C813_00000000003120"/>
    <x v="153"/>
    <s v="CALLE 71 # 65-150 MEDELLIN ANTIOQUIA"/>
    <x v="10"/>
    <x v="19"/>
    <s v="TRADITIONAL"/>
    <x v="2"/>
    <s v="ANTIOQUIA"/>
    <x v="2"/>
    <s v="LOPEZ PALACIO PABLO EMILIO"/>
    <s v="ROMERO ARENAS DANNY MAURICIO"/>
    <x v="17"/>
    <x v="6"/>
    <n v="0"/>
    <n v="3.8461538461538464E-2"/>
    <d v="2025-01-02T00:00:00"/>
    <d v="2014-03-08T00:00:00"/>
    <n v="151"/>
    <s v="+24 Mounths"/>
    <s v="D"/>
    <s v="D"/>
    <x v="0"/>
    <n v="3102716006"/>
    <s v="OK LINEA"/>
    <s v="NO"/>
    <d v="1991-02-28T00:00:00"/>
    <n v="35"/>
    <s v="FEMENINO"/>
  </r>
  <r>
    <x v="0"/>
    <x v="0"/>
    <x v="0"/>
    <s v="1038768902"/>
    <s v="ARDILA BERMUDEZ ELIANA MARIA"/>
    <x v="13"/>
    <x v="5"/>
    <x v="2"/>
    <s v="C813_00000000003121"/>
    <x v="162"/>
    <s v="CL. 51 #49-06, LOS NARANJOS, ITAGÜI, ANTIOQUIA"/>
    <x v="10"/>
    <x v="19"/>
    <s v="TRADITIONAL"/>
    <x v="2"/>
    <s v="ANTIOQUIA"/>
    <x v="2"/>
    <s v="LOPEZ PALACIO PABLO EMILIO"/>
    <s v="ROMERO ARENAS DANNY MAURICIO"/>
    <x v="17"/>
    <x v="6"/>
    <n v="0"/>
    <n v="3.8461538461538464E-2"/>
    <d v="2025-01-02T00:00:00"/>
    <d v="2014-03-08T00:00:00"/>
    <n v="151"/>
    <s v="+24 Mounths"/>
    <s v="D"/>
    <s v="D"/>
    <x v="0"/>
    <n v="3102716006"/>
    <s v="OK LINEA"/>
    <s v="NO"/>
    <d v="1991-02-28T00:00:00"/>
    <n v="35"/>
    <s v="FEMENINO"/>
  </r>
  <r>
    <x v="0"/>
    <x v="0"/>
    <x v="0"/>
    <s v="1038768902"/>
    <s v="ARDILA BERMUDEZ ELIANA MARIA"/>
    <x v="13"/>
    <x v="5"/>
    <x v="2"/>
    <s v="C813_00000000004612"/>
    <x v="256"/>
    <s v="CRA 49 # 48-46 MEDELLIN ANTIOQUIA"/>
    <x v="10"/>
    <x v="19"/>
    <s v="TRADITIONAL"/>
    <x v="2"/>
    <s v="ANTIOQUIA"/>
    <x v="2"/>
    <s v="LOPEZ PALACIO PABLO EMILIO"/>
    <s v="ROMERO ARENAS DANNY MAURICIO"/>
    <x v="17"/>
    <x v="6"/>
    <n v="0"/>
    <n v="3.8461538461538464E-2"/>
    <d v="2025-01-02T00:00:00"/>
    <d v="2014-03-08T00:00:00"/>
    <n v="151"/>
    <s v="+24 Mounths"/>
    <s v="C"/>
    <s v="C"/>
    <x v="0"/>
    <n v="3102716006"/>
    <s v="OK LINEA"/>
    <s v="NO"/>
    <d v="1991-02-28T00:00:00"/>
    <n v="35"/>
    <s v="FEMENINO"/>
  </r>
  <r>
    <x v="0"/>
    <x v="0"/>
    <x v="0"/>
    <s v="1038768902"/>
    <s v="ARDILA BERMUDEZ ELIANA MARIA"/>
    <x v="13"/>
    <x v="5"/>
    <x v="2"/>
    <s v="C813_00000000003119"/>
    <x v="112"/>
    <s v="CRA 46 # 47-40 MEDELLIN ANTIOQUIA"/>
    <x v="10"/>
    <x v="19"/>
    <s v="TRADITIONAL"/>
    <x v="2"/>
    <s v="ANTIOQUIA"/>
    <x v="2"/>
    <s v="LOPEZ PALACIO PABLO EMILIO"/>
    <s v="ROMERO ARENAS DANNY MAURICIO"/>
    <x v="17"/>
    <x v="6"/>
    <n v="0"/>
    <n v="3.8461538461538464E-2"/>
    <d v="2025-01-02T00:00:00"/>
    <d v="2014-03-08T00:00:00"/>
    <n v="151"/>
    <s v="+24 Mounths"/>
    <s v="D"/>
    <s v="D"/>
    <x v="0"/>
    <n v="3102716006"/>
    <s v="OK LINEA"/>
    <s v="NO"/>
    <d v="1991-02-28T00:00:00"/>
    <n v="35"/>
    <s v="FEMENINO"/>
  </r>
  <r>
    <x v="0"/>
    <x v="0"/>
    <x v="0"/>
    <s v="1038768902"/>
    <s v="ARDILA BERMUDEZ ELIANA MARIA"/>
    <x v="13"/>
    <x v="5"/>
    <x v="2"/>
    <s v="C813_00000000000301"/>
    <x v="129"/>
    <s v="CARRERA 65 # 45-85 MEDELLIN, ANTIOQUIA"/>
    <x v="4"/>
    <x v="5"/>
    <s v="HIPERMERCADO"/>
    <x v="2"/>
    <s v="ANTIOQUIA"/>
    <x v="2"/>
    <s v="LOPEZ PALACIO PABLO EMILIO"/>
    <s v="ROMERO ARENAS DANNY MAURICIO"/>
    <x v="17"/>
    <x v="3"/>
    <n v="0"/>
    <n v="3.8461538461538464E-2"/>
    <d v="2025-01-02T00:00:00"/>
    <d v="2014-03-08T00:00:00"/>
    <n v="151"/>
    <s v="+24 Mounths"/>
    <s v="A"/>
    <s v="A"/>
    <x v="0"/>
    <n v="3102716006"/>
    <s v="OK LINEA"/>
    <s v="SI"/>
    <d v="1991-02-28T00:00:00"/>
    <n v="35"/>
    <s v="FEMENINO"/>
  </r>
  <r>
    <x v="0"/>
    <x v="0"/>
    <x v="0"/>
    <s v="1038768902"/>
    <s v="ARDILA BERMUDEZ ELIANA MARIA"/>
    <x v="13"/>
    <x v="5"/>
    <x v="2"/>
    <s v="C813_00000000000431"/>
    <x v="135"/>
    <s v="CALLE 50 # 51-87 MEDELLIN ANTIOQUIA"/>
    <x v="10"/>
    <x v="22"/>
    <s v="TRADITIONAL"/>
    <x v="2"/>
    <s v="ANTIOQUIA"/>
    <x v="2"/>
    <s v="LOPEZ PALACIO PABLO EMILIO"/>
    <s v="ROMERO ARENAS DANNY MAURICIO"/>
    <x v="17"/>
    <x v="6"/>
    <n v="0"/>
    <n v="3.8461538461538464E-2"/>
    <d v="2025-01-02T00:00:00"/>
    <d v="2014-03-08T00:00:00"/>
    <n v="151"/>
    <s v="+24 Mounths"/>
    <s v="D"/>
    <s v="D"/>
    <x v="0"/>
    <n v="3102716006"/>
    <s v="OK LINEA"/>
    <s v="NO"/>
    <d v="1991-02-28T00:00:00"/>
    <n v="35"/>
    <s v="FEMENINO"/>
  </r>
  <r>
    <x v="0"/>
    <x v="0"/>
    <x v="0"/>
    <s v="1038768902"/>
    <s v="ARDILA BERMUDEZ ELIANA MARIA"/>
    <x v="13"/>
    <x v="5"/>
    <x v="2"/>
    <s v="C813_00000000006507"/>
    <x v="213"/>
    <s v="CRA. 70 # 1-141 MEDELLIN"/>
    <x v="6"/>
    <x v="7"/>
    <s v="HIPERMERCADO"/>
    <x v="2"/>
    <s v="ANTIOQUIA"/>
    <x v="2"/>
    <s v="LOPEZ PALACIO PABLO EMILIO"/>
    <s v="ROMERO ARENAS DANNY MAURICIO"/>
    <x v="17"/>
    <x v="5"/>
    <n v="0"/>
    <n v="3.8461538461538464E-2"/>
    <d v="2025-01-02T00:00:00"/>
    <d v="2014-03-08T00:00:00"/>
    <n v="151"/>
    <s v="+24 Mounths"/>
    <s v="C"/>
    <s v="C"/>
    <x v="0"/>
    <n v="3102716006"/>
    <s v="OK LINEA"/>
    <s v="SI"/>
    <d v="1991-02-28T00:00:00"/>
    <n v="35"/>
    <s v="FEMENINO"/>
  </r>
  <r>
    <x v="0"/>
    <x v="0"/>
    <x v="0"/>
    <s v="1038768902"/>
    <s v="ARDILA BERMUDEZ ELIANA MARIA"/>
    <x v="13"/>
    <x v="5"/>
    <x v="2"/>
    <s v="C813_00000000000009"/>
    <x v="257"/>
    <s v="CRA 43 # 36-04 CENTRO COMERCIAL SANDIEGO MEDELLIN ANTIOQUIA"/>
    <x v="6"/>
    <x v="7"/>
    <s v="HIPERMERCADO"/>
    <x v="2"/>
    <s v="ANTIOQUIA"/>
    <x v="2"/>
    <s v="LOPEZ PALACIO PABLO EMILIO"/>
    <s v="ROMERO ARENAS DANNY MAURICIO"/>
    <x v="17"/>
    <x v="5"/>
    <n v="0"/>
    <n v="3.8461538461538464E-2"/>
    <d v="2025-01-02T00:00:00"/>
    <d v="2014-03-08T00:00:00"/>
    <n v="151"/>
    <s v="+24 Mounths"/>
    <s v="A"/>
    <s v="C"/>
    <x v="0"/>
    <n v="3102716006"/>
    <s v="OK LINEA"/>
    <s v="SI"/>
    <d v="1991-02-28T00:00:00"/>
    <n v="35"/>
    <s v="FEMENINO"/>
  </r>
  <r>
    <x v="0"/>
    <x v="0"/>
    <x v="0"/>
    <s v="1038768902"/>
    <s v="ARDILA BERMUDEZ ELIANA MARIA"/>
    <x v="13"/>
    <x v="5"/>
    <x v="2"/>
    <s v="C813_00000000000010"/>
    <x v="255"/>
    <s v="CRA 43A # 7 SUR-170  CENTRO COMERCIAL SANTAFE MEDELLIN MEDELLIN ANTIOQUIA"/>
    <x v="6"/>
    <x v="7"/>
    <s v="HIPERMERCADO"/>
    <x v="2"/>
    <s v="ANTIOQUIA"/>
    <x v="2"/>
    <s v="LOPEZ PALACIO PABLO EMILIO"/>
    <s v="ROMERO ARENAS DANNY MAURICIO"/>
    <x v="17"/>
    <x v="5"/>
    <n v="0"/>
    <n v="3.8461538461538464E-2"/>
    <d v="2025-01-02T00:00:00"/>
    <d v="2014-03-08T00:00:00"/>
    <n v="151"/>
    <s v="+24 Mounths"/>
    <s v="A"/>
    <s v="C"/>
    <x v="0"/>
    <n v="3102716006"/>
    <s v="OK LINEA"/>
    <s v="SI"/>
    <d v="1991-02-28T00:00:00"/>
    <n v="35"/>
    <s v="FEMENINO"/>
  </r>
  <r>
    <x v="0"/>
    <x v="0"/>
    <x v="0"/>
    <s v="1038768902"/>
    <s v="ARDILA BERMUDEZ ELIANA MARIA"/>
    <x v="13"/>
    <x v="5"/>
    <x v="2"/>
    <s v="C813_00000000004384"/>
    <x v="179"/>
    <s v="CARRERA 49, CL. 32B SUR #24, ENVIGADO, ANTIOQUIA"/>
    <x v="9"/>
    <x v="16"/>
    <s v="HIPERMERCADO"/>
    <x v="37"/>
    <s v="ANTIOQUIA"/>
    <x v="2"/>
    <s v="LOPEZ PALACIO PABLO EMILIO"/>
    <s v="ROMERO ARENAS DANNY MAURICIO"/>
    <x v="17"/>
    <x v="4"/>
    <n v="0"/>
    <n v="3.8461538461538464E-2"/>
    <d v="2025-01-02T00:00:00"/>
    <d v="2014-03-08T00:00:00"/>
    <n v="151"/>
    <s v="+24 Mounths"/>
    <s v="D"/>
    <s v="D"/>
    <x v="0"/>
    <n v="3102716006"/>
    <s v="OK LINEA"/>
    <s v="NO"/>
    <d v="1991-02-28T00:00:00"/>
    <n v="35"/>
    <s v="FEMENINO"/>
  </r>
  <r>
    <x v="0"/>
    <x v="0"/>
    <x v="0"/>
    <s v="1038768902"/>
    <s v="ARDILA BERMUDEZ ELIANA MARIA"/>
    <x v="13"/>
    <x v="5"/>
    <x v="2"/>
    <s v="C813_00000000004380"/>
    <x v="180"/>
    <s v="AVENIDA LOS INDUSTRIALES # 14-135 MEDELLIN ANTIOQUIA"/>
    <x v="9"/>
    <x v="16"/>
    <s v="HIPERMERCADO"/>
    <x v="2"/>
    <s v="ANTIOQUIA"/>
    <x v="2"/>
    <s v="LOPEZ PALACIO PABLO EMILIO"/>
    <s v="ROMERO ARENAS DANNY MAURICIO"/>
    <x v="17"/>
    <x v="4"/>
    <n v="0"/>
    <n v="3.8461538461538464E-2"/>
    <d v="2025-01-02T00:00:00"/>
    <d v="2014-03-08T00:00:00"/>
    <n v="151"/>
    <s v="+24 Mounths"/>
    <s v="D"/>
    <s v="D"/>
    <x v="0"/>
    <n v="3102716006"/>
    <s v="OK LINEA"/>
    <s v="SI"/>
    <d v="1991-02-28T00:00:00"/>
    <n v="35"/>
    <s v="FEMENINO"/>
  </r>
  <r>
    <x v="0"/>
    <x v="0"/>
    <x v="0"/>
    <s v="1038768902"/>
    <s v="ARDILA BERMUDEZ ELIANA MARIA"/>
    <x v="13"/>
    <x v="5"/>
    <x v="2"/>
    <s v="C813_00000000004381"/>
    <x v="74"/>
    <s v="CALLE 44 # 65-100 MEDELLIN ANTIOQUIA"/>
    <x v="9"/>
    <x v="16"/>
    <s v="HIPERMERCADO"/>
    <x v="2"/>
    <s v="ANTIOQUIA"/>
    <x v="2"/>
    <s v="LOPEZ PALACIO PABLO EMILIO"/>
    <s v="ROMERO ARENAS DANNY MAURICIO"/>
    <x v="17"/>
    <x v="4"/>
    <n v="0"/>
    <n v="3.8461538461538464E-2"/>
    <d v="2025-01-02T00:00:00"/>
    <d v="2014-03-08T00:00:00"/>
    <n v="151"/>
    <s v="+24 Mounths"/>
    <s v="D"/>
    <s v="D"/>
    <x v="0"/>
    <n v="3102716006"/>
    <s v="OK LINEA"/>
    <s v="SI"/>
    <d v="1991-02-28T00:00:00"/>
    <n v="35"/>
    <s v="FEMENINO"/>
  </r>
  <r>
    <x v="0"/>
    <x v="0"/>
    <x v="0"/>
    <s v="1038768902"/>
    <s v="ARDILA BERMUDEZ ELIANA MARIA"/>
    <x v="13"/>
    <x v="5"/>
    <x v="2"/>
    <s v="C813_00000000000495"/>
    <x v="251"/>
    <s v="CALLE 50 # 52-33 MEDELLIN ANTIOQUIA"/>
    <x v="10"/>
    <x v="30"/>
    <s v="TRADITIONAL"/>
    <x v="2"/>
    <s v="ANTIOQUIA"/>
    <x v="2"/>
    <s v="LOPEZ PALACIO PABLO EMILIO"/>
    <s v="ROMERO ARENAS DANNY MAURICIO"/>
    <x v="17"/>
    <x v="6"/>
    <n v="0"/>
    <n v="3.8461538461538464E-2"/>
    <d v="2025-01-02T00:00:00"/>
    <d v="2014-03-08T00:00:00"/>
    <n v="151"/>
    <s v="+24 Mounths"/>
    <s v="D"/>
    <s v="D"/>
    <x v="0"/>
    <n v="3102716006"/>
    <s v="OK LINEA"/>
    <s v="NO"/>
    <d v="1991-02-28T00:00:00"/>
    <n v="35"/>
    <s v="FEMENINO"/>
  </r>
  <r>
    <x v="0"/>
    <x v="0"/>
    <x v="0"/>
    <s v="1038768902"/>
    <s v="ARDILA BERMUDEZ ELIANA MARIA"/>
    <x v="13"/>
    <x v="5"/>
    <x v="2"/>
    <s v="C813_00000000000494"/>
    <x v="250"/>
    <s v="CALLE 50 # 53-65 MEDELLIN ANTIOQUIA"/>
    <x v="10"/>
    <x v="30"/>
    <s v="TRADITIONAL"/>
    <x v="2"/>
    <s v="ANTIOQUIA"/>
    <x v="2"/>
    <s v="LOPEZ PALACIO PABLO EMILIO"/>
    <s v="ROMERO ARENAS DANNY MAURICIO"/>
    <x v="17"/>
    <x v="6"/>
    <n v="0"/>
    <n v="3.8461538461538464E-2"/>
    <d v="2025-01-02T00:00:00"/>
    <d v="2014-03-08T00:00:00"/>
    <n v="151"/>
    <s v="+24 Mounths"/>
    <s v="D"/>
    <s v="D"/>
    <x v="0"/>
    <n v="3102716006"/>
    <s v="OK LINEA"/>
    <s v="NO"/>
    <d v="1991-02-28T00:00:00"/>
    <n v="35"/>
    <s v="FEMENINO"/>
  </r>
  <r>
    <x v="0"/>
    <x v="0"/>
    <x v="0"/>
    <s v="1038768902"/>
    <s v="ARDILA BERMUDEZ ELIANA MARIA"/>
    <x v="13"/>
    <x v="5"/>
    <x v="2"/>
    <s v="C813_00000000000510"/>
    <x v="178"/>
    <s v="CALLE 50 # 53-74"/>
    <x v="10"/>
    <x v="25"/>
    <s v="TRADITIONAL"/>
    <x v="2"/>
    <s v="ANTIOQUIA"/>
    <x v="2"/>
    <s v="LOPEZ PALACIO PABLO EMILIO"/>
    <s v="ROMERO ARENAS DANNY MAURICIO"/>
    <x v="17"/>
    <x v="6"/>
    <n v="0"/>
    <n v="3.8461538461538464E-2"/>
    <d v="2025-01-02T00:00:00"/>
    <d v="2014-03-08T00:00:00"/>
    <n v="151"/>
    <s v="+24 Mounths"/>
    <s v="D"/>
    <s v="D"/>
    <x v="0"/>
    <n v="3102716006"/>
    <s v="OK LINEA"/>
    <s v="NO"/>
    <d v="1991-02-28T00:00:00"/>
    <n v="35"/>
    <s v="FEMENINO"/>
  </r>
  <r>
    <x v="0"/>
    <x v="0"/>
    <x v="0"/>
    <s v="1038768902"/>
    <s v="ARDILA BERMUDEZ ELIANA MARIA"/>
    <x v="13"/>
    <x v="5"/>
    <x v="2"/>
    <s v="C813_00000000004338"/>
    <x v="117"/>
    <s v="CALLE 50 # 53-59 MEDELLIN ANTIOQUIA"/>
    <x v="10"/>
    <x v="21"/>
    <s v="TRADITIONAL"/>
    <x v="2"/>
    <s v="ANTIOQUIA"/>
    <x v="2"/>
    <s v="LOPEZ PALACIO PABLO EMILIO"/>
    <s v="ROMERO ARENAS DANNY MAURICIO"/>
    <x v="17"/>
    <x v="6"/>
    <n v="0"/>
    <n v="3.8461538461538464E-2"/>
    <d v="2025-01-02T00:00:00"/>
    <d v="2014-03-08T00:00:00"/>
    <n v="151"/>
    <s v="+24 Mounths"/>
    <s v="C"/>
    <s v="C"/>
    <x v="0"/>
    <n v="3102716006"/>
    <s v="OK LINEA"/>
    <s v="NO"/>
    <d v="1991-02-28T00:00:00"/>
    <n v="35"/>
    <s v="FEMENINO"/>
  </r>
  <r>
    <x v="0"/>
    <x v="0"/>
    <x v="0"/>
    <s v="1038768902"/>
    <s v="ARDILA BERMUDEZ ELIANA MARIA"/>
    <x v="13"/>
    <x v="5"/>
    <x v="2"/>
    <s v="C813_00000000000527"/>
    <x v="116"/>
    <s v="CALLE 50 #52-35 MEDELLIN ANTIOQUIA"/>
    <x v="10"/>
    <x v="21"/>
    <s v="TRADITIONAL"/>
    <x v="2"/>
    <s v="ANTIOQUIA"/>
    <x v="2"/>
    <s v="LOPEZ PALACIO PABLO EMILIO"/>
    <s v="ROMERO ARENAS DANNY MAURICIO"/>
    <x v="17"/>
    <x v="6"/>
    <n v="0"/>
    <n v="3.8461538461538464E-2"/>
    <d v="2025-01-02T00:00:00"/>
    <d v="2014-03-08T00:00:00"/>
    <n v="151"/>
    <s v="+24 Mounths"/>
    <s v="C"/>
    <s v="C"/>
    <x v="0"/>
    <n v="3102716006"/>
    <s v="OK LINEA"/>
    <s v="NO"/>
    <d v="1991-02-28T00:00:00"/>
    <n v="35"/>
    <s v="FEMENINO"/>
  </r>
  <r>
    <x v="0"/>
    <x v="0"/>
    <x v="0"/>
    <s v="1038768902"/>
    <s v="ARDILA BERMUDEZ ELIANA MARIA"/>
    <x v="13"/>
    <x v="5"/>
    <x v="2"/>
    <s v="C813_00000000005060"/>
    <x v="141"/>
    <s v="CRA 70 # 1 - 2 MEDELLIN ANTIOQUIA"/>
    <x v="9"/>
    <x v="20"/>
    <s v="HIPERMERCADO"/>
    <x v="2"/>
    <s v="ANTIOQUIA"/>
    <x v="2"/>
    <s v="LOPEZ PALACIO PABLO EMILIO"/>
    <s v="ROMERO ARENAS DANNY MAURICIO"/>
    <x v="17"/>
    <x v="4"/>
    <n v="0"/>
    <n v="3.8461538461538464E-2"/>
    <d v="2025-01-02T00:00:00"/>
    <d v="2014-03-08T00:00:00"/>
    <n v="151"/>
    <s v="+24 Mounths"/>
    <s v="C"/>
    <s v="C"/>
    <x v="0"/>
    <n v="3102716006"/>
    <s v="OK LINEA"/>
    <s v="NO"/>
    <d v="1991-02-28T00:00:00"/>
    <n v="35"/>
    <s v="FEMENINO"/>
  </r>
  <r>
    <x v="0"/>
    <x v="0"/>
    <x v="0"/>
    <s v="1038768902"/>
    <s v="ARDILA BERMUDEZ ELIANA MARIA"/>
    <x v="13"/>
    <x v="5"/>
    <x v="2"/>
    <s v="C813_00000000006929"/>
    <x v="142"/>
    <s v="CRA 32 # 11 SUR-220"/>
    <x v="9"/>
    <x v="20"/>
    <s v="HIPERMERCADO"/>
    <x v="2"/>
    <s v="ANTIOQUIA"/>
    <x v="2"/>
    <s v="LOPEZ PALACIO PABLO EMILIO"/>
    <s v="ROMERO ARENAS DANNY MAURICIO"/>
    <x v="17"/>
    <x v="4"/>
    <n v="0"/>
    <n v="3.8461538461538464E-2"/>
    <d v="2025-01-02T00:00:00"/>
    <d v="2014-03-08T00:00:00"/>
    <n v="151"/>
    <s v="+24 Mounths"/>
    <s v="C"/>
    <s v="C"/>
    <x v="0"/>
    <n v="3102716006"/>
    <s v="OK LINEA"/>
    <s v="NO"/>
    <d v="1991-02-28T00:00:00"/>
    <n v="35"/>
    <s v="FEMENINO"/>
  </r>
  <r>
    <x v="0"/>
    <x v="0"/>
    <x v="0"/>
    <s v="1039449593"/>
    <s v="ZAPATA AGUDELO KATHERIN"/>
    <x v="14"/>
    <x v="5"/>
    <x v="2"/>
    <s v="C813_00000000000740"/>
    <x v="198"/>
    <s v="CARRERA 100 # 103-45 APARTADO  - ANTIOQUIA"/>
    <x v="1"/>
    <x v="10"/>
    <s v="HIPERMERCADO"/>
    <x v="45"/>
    <s v="ANTIOQUIA"/>
    <x v="2"/>
    <s v="LOPEZ PALACIO PABLO EMILIO"/>
    <s v="ROMERO ARENAS DANNY MAURICIO"/>
    <x v="3"/>
    <x v="1"/>
    <n v="1"/>
    <n v="5.8823529411764705E-2"/>
    <d v="2025-01-02T00:00:00"/>
    <d v="2018-10-12T00:00:00"/>
    <n v="96"/>
    <s v="+24 Mounths"/>
    <s v="D"/>
    <s v="B"/>
    <x v="0"/>
    <n v="3102712649"/>
    <s v="OK LINEA"/>
    <s v="SI"/>
    <d v="1989-01-02T00:00:00"/>
    <n v="37"/>
    <s v="FEMENINO"/>
  </r>
  <r>
    <x v="0"/>
    <x v="0"/>
    <x v="0"/>
    <s v="1039449593"/>
    <s v="ZAPATA AGUDELO KATHERIN"/>
    <x v="14"/>
    <x v="5"/>
    <x v="2"/>
    <s v="C813_00000000001218"/>
    <x v="36"/>
    <s v="DIAG 55# 35-217 CC PTA DEL NORTE LOC 2043 20542055 BELLO ANTIOQUIA 2DA TORRE"/>
    <x v="1"/>
    <x v="10"/>
    <s v="HIPERMERCADO"/>
    <x v="13"/>
    <s v="ANTIOQUIA"/>
    <x v="2"/>
    <s v="LOPEZ PALACIO PABLO EMILIO"/>
    <s v="ROMERO ARENAS DANNY MAURICIO"/>
    <x v="3"/>
    <x v="1"/>
    <n v="0"/>
    <n v="5.8823529411764705E-2"/>
    <d v="2025-01-02T00:00:00"/>
    <d v="2018-10-12T00:00:00"/>
    <n v="96"/>
    <s v="+24 Mounths"/>
    <s v="D"/>
    <s v="B"/>
    <x v="0"/>
    <n v="3102712649"/>
    <s v="OK LINEA"/>
    <s v="SI"/>
    <d v="1989-01-02T00:00:00"/>
    <n v="37"/>
    <s v="FEMENINO"/>
  </r>
  <r>
    <x v="0"/>
    <x v="0"/>
    <x v="0"/>
    <s v="1039449593"/>
    <s v="ZAPATA AGUDELO KATHERIN"/>
    <x v="14"/>
    <x v="5"/>
    <x v="2"/>
    <s v="C813_00000000006801"/>
    <x v="227"/>
    <s v="CALLE 40 # 50-205 BELLO ANTIOQUIA"/>
    <x v="1"/>
    <x v="10"/>
    <s v="HIPERMERCADO"/>
    <x v="13"/>
    <s v="ANTIOQUIA"/>
    <x v="2"/>
    <s v="LOPEZ PALACIO PABLO EMILIO"/>
    <s v="ROMERO ARENAS DANNY MAURICIO"/>
    <x v="3"/>
    <x v="1"/>
    <n v="0"/>
    <n v="5.8823529411764705E-2"/>
    <d v="2025-01-02T00:00:00"/>
    <d v="2018-10-12T00:00:00"/>
    <n v="96"/>
    <s v="+24 Mounths"/>
    <s v="C"/>
    <s v="A"/>
    <x v="0"/>
    <n v="3102712649"/>
    <s v="OK LINEA"/>
    <s v="SI"/>
    <d v="1989-01-02T00:00:00"/>
    <n v="37"/>
    <s v="FEMENINO"/>
  </r>
  <r>
    <x v="0"/>
    <x v="0"/>
    <x v="0"/>
    <s v="1039449593"/>
    <s v="ZAPATA AGUDELO KATHERIN"/>
    <x v="14"/>
    <x v="5"/>
    <x v="2"/>
    <s v="C813_00000000001241"/>
    <x v="249"/>
    <s v="CALLE 71 # 65-150 PARQUE COMERCIAL FLORIDA LOCAL 24-25 MEDELLIN ANTIOQUIA"/>
    <x v="1"/>
    <x v="10"/>
    <s v="HIPERMERCADO"/>
    <x v="2"/>
    <s v="ANTIOQUIA"/>
    <x v="2"/>
    <s v="LOPEZ PALACIO PABLO EMILIO"/>
    <s v="ROMERO ARENAS DANNY MAURICIO"/>
    <x v="3"/>
    <x v="1"/>
    <n v="0"/>
    <n v="5.8823529411764705E-2"/>
    <d v="2025-01-02T00:00:00"/>
    <d v="2018-10-12T00:00:00"/>
    <n v="96"/>
    <s v="+24 Mounths"/>
    <s v="D"/>
    <s v="B"/>
    <x v="0"/>
    <n v="3102712649"/>
    <s v="OK LINEA"/>
    <s v="SI"/>
    <d v="1989-01-02T00:00:00"/>
    <n v="37"/>
    <s v="FEMENINO"/>
  </r>
  <r>
    <x v="0"/>
    <x v="0"/>
    <x v="0"/>
    <s v="1039449593"/>
    <s v="ZAPATA AGUDELO KATHERIN"/>
    <x v="14"/>
    <x v="5"/>
    <x v="2"/>
    <s v="C813_00000000000745"/>
    <x v="121"/>
    <s v="CALLE 51 SUR # 48-57-SABANETA LOC # 2199-2201 MEDELLIN ANTIOQUIA"/>
    <x v="1"/>
    <x v="10"/>
    <s v="HIPERMERCADO"/>
    <x v="17"/>
    <s v="ANTIOQUIA"/>
    <x v="2"/>
    <s v="LOPEZ PALACIO PABLO EMILIO"/>
    <s v="ROMERO ARENAS DANNY MAURICIO"/>
    <x v="3"/>
    <x v="1"/>
    <n v="0"/>
    <n v="5.8823529411764705E-2"/>
    <d v="2025-01-02T00:00:00"/>
    <d v="2018-10-12T00:00:00"/>
    <n v="96"/>
    <s v="+24 Mounths"/>
    <s v="C"/>
    <s v="B"/>
    <x v="0"/>
    <n v="3102712649"/>
    <s v="OK LINEA"/>
    <s v="SI"/>
    <d v="1989-01-02T00:00:00"/>
    <n v="37"/>
    <s v="FEMENINO"/>
  </r>
  <r>
    <x v="0"/>
    <x v="0"/>
    <x v="0"/>
    <s v="1039449593"/>
    <s v="ZAPATA AGUDELO KATHERIN"/>
    <x v="14"/>
    <x v="5"/>
    <x v="2"/>
    <s v="C813_00000000000746"/>
    <x v="93"/>
    <s v="CALLE 30A # 82A-26 LOC 1101-1301-1305 MEDELLIN ANTIOQUIA"/>
    <x v="1"/>
    <x v="10"/>
    <s v="HIPERMERCADO"/>
    <x v="2"/>
    <s v="ANTIOQUIA"/>
    <x v="2"/>
    <s v="LOPEZ PALACIO PABLO EMILIO"/>
    <s v="ROMERO ARENAS DANNY MAURICIO"/>
    <x v="3"/>
    <x v="1"/>
    <n v="0"/>
    <n v="5.8823529411764705E-2"/>
    <d v="2025-01-02T00:00:00"/>
    <d v="2018-10-12T00:00:00"/>
    <n v="96"/>
    <s v="+24 Mounths"/>
    <s v="C"/>
    <s v="B"/>
    <x v="0"/>
    <n v="3102712649"/>
    <s v="OK LINEA"/>
    <s v="SI"/>
    <d v="1989-01-02T00:00:00"/>
    <n v="37"/>
    <s v="FEMENINO"/>
  </r>
  <r>
    <x v="0"/>
    <x v="0"/>
    <x v="0"/>
    <s v="1039449593"/>
    <s v="ZAPATA AGUDELO KATHERIN"/>
    <x v="14"/>
    <x v="5"/>
    <x v="2"/>
    <s v="C813_00000000000747"/>
    <x v="194"/>
    <s v="CALLE 43 # 54 - 139 CC. SAN NICOLAS. LOCAL 1233 RIONEGRO ANTIOQUIA"/>
    <x v="1"/>
    <x v="10"/>
    <s v="HIPERMERCADO"/>
    <x v="24"/>
    <s v="ANTIOQUIA"/>
    <x v="2"/>
    <s v="LOPEZ PALACIO PABLO EMILIO"/>
    <s v="ROMERO ARENAS DANNY MAURICIO"/>
    <x v="3"/>
    <x v="1"/>
    <n v="0"/>
    <n v="5.8823529411764705E-2"/>
    <d v="2025-01-02T00:00:00"/>
    <d v="2018-10-12T00:00:00"/>
    <n v="96"/>
    <s v="+24 Mounths"/>
    <s v="D"/>
    <s v="B"/>
    <x v="0"/>
    <n v="3102712649"/>
    <s v="OK LINEA"/>
    <s v="SI"/>
    <d v="1989-01-02T00:00:00"/>
    <n v="37"/>
    <s v="FEMENINO"/>
  </r>
  <r>
    <x v="0"/>
    <x v="0"/>
    <x v="0"/>
    <s v="1039449593"/>
    <s v="ZAPATA AGUDELO KATHERIN"/>
    <x v="14"/>
    <x v="5"/>
    <x v="2"/>
    <s v="C813_00000000000031"/>
    <x v="199"/>
    <s v="DIAGONAL 51 # 35-120 MEDELLIN ANTIOQUIA"/>
    <x v="2"/>
    <x v="3"/>
    <s v="HIPERMERCADO"/>
    <x v="13"/>
    <s v="ANTIOQUIA"/>
    <x v="2"/>
    <s v="LOPEZ PALACIO PABLO EMILIO"/>
    <s v="ROMERO ARENAS DANNY MAURICIO"/>
    <x v="3"/>
    <x v="2"/>
    <n v="0"/>
    <n v="5.8823529411764705E-2"/>
    <d v="2025-01-02T00:00:00"/>
    <d v="2018-10-12T00:00:00"/>
    <n v="96"/>
    <s v="+24 Mounths"/>
    <s v="A"/>
    <s v="A"/>
    <x v="0"/>
    <n v="3102712649"/>
    <s v="OK LINEA"/>
    <s v="SI"/>
    <d v="1989-01-02T00:00:00"/>
    <n v="37"/>
    <s v="FEMENINO"/>
  </r>
  <r>
    <x v="0"/>
    <x v="0"/>
    <x v="0"/>
    <s v="1039449593"/>
    <s v="ZAPATA AGUDELO KATHERIN"/>
    <x v="14"/>
    <x v="5"/>
    <x v="2"/>
    <s v="C813_00000000000708"/>
    <x v="243"/>
    <s v="CRA 20 # 28-12 BARRIO LA Y CAUCASIA ANTIOQUIA"/>
    <x v="2"/>
    <x v="3"/>
    <s v="HIPERMERCADO"/>
    <x v="56"/>
    <s v="ANTIOQUIA"/>
    <x v="2"/>
    <s v="LOPEZ PALACIO PABLO EMILIO"/>
    <s v="ROMERO ARENAS DANNY MAURICIO"/>
    <x v="3"/>
    <x v="2"/>
    <n v="0"/>
    <n v="5.8823529411764705E-2"/>
    <d v="2025-01-02T00:00:00"/>
    <d v="2018-10-12T00:00:00"/>
    <n v="96"/>
    <s v="+24 Mounths"/>
    <s v="B"/>
    <s v="B"/>
    <x v="0"/>
    <n v="3102712649"/>
    <s v="OK LINEA"/>
    <s v="SI"/>
    <d v="1989-01-02T00:00:00"/>
    <n v="37"/>
    <s v="FEMENINO"/>
  </r>
  <r>
    <x v="0"/>
    <x v="0"/>
    <x v="0"/>
    <s v="1039449593"/>
    <s v="ZAPATA AGUDELO KATHERIN"/>
    <x v="14"/>
    <x v="5"/>
    <x v="2"/>
    <s v="C813_00000000000032"/>
    <x v="75"/>
    <s v="CRA 66 No 49 - 01 MEDELLIN ANTIOQUIA"/>
    <x v="2"/>
    <x v="3"/>
    <s v="HIPERMERCADO"/>
    <x v="2"/>
    <s v="ANTIOQUIA"/>
    <x v="2"/>
    <s v="LOPEZ PALACIO PABLO EMILIO"/>
    <s v="ROMERO ARENAS DANNY MAURICIO"/>
    <x v="3"/>
    <x v="2"/>
    <n v="0"/>
    <n v="5.8823529411764705E-2"/>
    <d v="2025-01-02T00:00:00"/>
    <d v="2018-10-12T00:00:00"/>
    <n v="96"/>
    <s v="+24 Mounths"/>
    <s v="A"/>
    <s v="A"/>
    <x v="0"/>
    <n v="3102712649"/>
    <s v="OK LINEA"/>
    <s v="SI"/>
    <d v="1989-01-02T00:00:00"/>
    <n v="37"/>
    <s v="FEMENINO"/>
  </r>
  <r>
    <x v="0"/>
    <x v="0"/>
    <x v="0"/>
    <s v="1039449593"/>
    <s v="ZAPATA AGUDELO KATHERIN"/>
    <x v="14"/>
    <x v="5"/>
    <x v="2"/>
    <s v="C813_00000000000102"/>
    <x v="174"/>
    <s v="CRA 81 # 37-100 MEDELLIN ANTIOQUIA"/>
    <x v="2"/>
    <x v="3"/>
    <s v="HIPERMERCADO"/>
    <x v="2"/>
    <s v="ANTIOQUIA"/>
    <x v="2"/>
    <s v="LOPEZ PALACIO PABLO EMILIO"/>
    <s v="ROMERO ARENAS DANNY MAURICIO"/>
    <x v="3"/>
    <x v="2"/>
    <n v="0"/>
    <n v="5.8823529411764705E-2"/>
    <d v="2025-01-02T00:00:00"/>
    <d v="2018-10-12T00:00:00"/>
    <n v="96"/>
    <s v="+24 Mounths"/>
    <s v="A"/>
    <s v="A"/>
    <x v="0"/>
    <n v="3102712649"/>
    <s v="OK LINEA"/>
    <s v="SI"/>
    <d v="1989-01-02T00:00:00"/>
    <n v="37"/>
    <s v="FEMENINO"/>
  </r>
  <r>
    <x v="0"/>
    <x v="0"/>
    <x v="0"/>
    <s v="1039449593"/>
    <s v="ZAPATA AGUDELO KATHERIN"/>
    <x v="14"/>
    <x v="5"/>
    <x v="2"/>
    <s v="C813_00000000000684"/>
    <x v="88"/>
    <s v="CALLE 43 # 54 - 139 RIONEGRO CENTRO COMERCIAL SAN NICOLAS"/>
    <x v="2"/>
    <x v="3"/>
    <s v="HIPERMERCADO"/>
    <x v="24"/>
    <s v="ANTIOQUIA"/>
    <x v="2"/>
    <s v="LOPEZ PALACIO PABLO EMILIO"/>
    <s v="ROMERO ARENAS DANNY MAURICIO"/>
    <x v="3"/>
    <x v="2"/>
    <n v="0"/>
    <n v="5.8823529411764705E-2"/>
    <d v="2025-01-02T00:00:00"/>
    <d v="2018-10-12T00:00:00"/>
    <n v="96"/>
    <s v="+24 Mounths"/>
    <s v="B"/>
    <s v="B"/>
    <x v="0"/>
    <n v="3102712649"/>
    <s v="OK LINEA"/>
    <s v="SI"/>
    <d v="1989-01-02T00:00:00"/>
    <n v="37"/>
    <s v="FEMENINO"/>
  </r>
  <r>
    <x v="0"/>
    <x v="0"/>
    <x v="0"/>
    <s v="1039449593"/>
    <s v="ZAPATA AGUDELO KATHERIN"/>
    <x v="14"/>
    <x v="5"/>
    <x v="2"/>
    <s v="C813_00000000000101"/>
    <x v="49"/>
    <s v="CALLE 48 # 46-115 MEDELLIN ANTIOQUIA"/>
    <x v="2"/>
    <x v="3"/>
    <s v="HIPERMERCADO"/>
    <x v="2"/>
    <s v="ANTIOQUIA"/>
    <x v="2"/>
    <s v="LOPEZ PALACIO PABLO EMILIO"/>
    <s v="ROMERO ARENAS DANNY MAURICIO"/>
    <x v="3"/>
    <x v="2"/>
    <n v="0"/>
    <n v="5.8823529411764705E-2"/>
    <d v="2025-01-02T00:00:00"/>
    <d v="2018-10-12T00:00:00"/>
    <n v="96"/>
    <s v="+24 Mounths"/>
    <s v="B"/>
    <s v="A"/>
    <x v="0"/>
    <n v="3102712649"/>
    <s v="OK LINEA"/>
    <s v="SI"/>
    <d v="1989-01-02T00:00:00"/>
    <n v="37"/>
    <s v="FEMENINO"/>
  </r>
  <r>
    <x v="0"/>
    <x v="0"/>
    <x v="0"/>
    <s v="1039449593"/>
    <s v="ZAPATA AGUDELO KATHERIN"/>
    <x v="14"/>
    <x v="5"/>
    <x v="2"/>
    <s v="C813_00000000000012"/>
    <x v="37"/>
    <s v="CARRERA 48 # 32 B SUR 139 MEDELLIN ANTIOQUIA"/>
    <x v="2"/>
    <x v="3"/>
    <s v="HIPERMERCADO"/>
    <x v="2"/>
    <s v="ANTIOQUIA"/>
    <x v="2"/>
    <s v="LOPEZ PALACIO PABLO EMILIO"/>
    <s v="ROMERO ARENAS DANNY MAURICIO"/>
    <x v="3"/>
    <x v="2"/>
    <n v="0"/>
    <n v="5.8823529411764705E-2"/>
    <d v="2025-01-02T00:00:00"/>
    <d v="2018-10-12T00:00:00"/>
    <n v="96"/>
    <s v="+24 Mounths"/>
    <s v="A"/>
    <s v="A"/>
    <x v="0"/>
    <n v="3102712649"/>
    <s v="OK LINEA"/>
    <s v="SI"/>
    <d v="1989-01-02T00:00:00"/>
    <n v="37"/>
    <s v="FEMENINO"/>
  </r>
  <r>
    <x v="0"/>
    <x v="0"/>
    <x v="0"/>
    <s v="1039449593"/>
    <s v="ZAPATA AGUDELO KATHERIN"/>
    <x v="14"/>
    <x v="5"/>
    <x v="2"/>
    <s v="C813_00000000000098"/>
    <x v="128"/>
    <s v="CALLE 10 # 43E-135 MEDELLIN ANTIOQUIA"/>
    <x v="2"/>
    <x v="3"/>
    <s v="HIPERMERCADO"/>
    <x v="2"/>
    <s v="ANTIOQUIA"/>
    <x v="2"/>
    <s v="LOPEZ PALACIO PABLO EMILIO"/>
    <s v="ROMERO ARENAS DANNY MAURICIO"/>
    <x v="3"/>
    <x v="2"/>
    <n v="0"/>
    <n v="5.8823529411764705E-2"/>
    <d v="2025-01-02T00:00:00"/>
    <d v="2018-10-12T00:00:00"/>
    <n v="96"/>
    <s v="+24 Mounths"/>
    <s v="A"/>
    <s v="A"/>
    <x v="0"/>
    <n v="3102712649"/>
    <s v="OK LINEA"/>
    <s v="SI"/>
    <d v="1989-01-02T00:00:00"/>
    <n v="37"/>
    <s v="FEMENINO"/>
  </r>
  <r>
    <x v="0"/>
    <x v="0"/>
    <x v="0"/>
    <s v="1039449593"/>
    <s v="ZAPATA AGUDELO KATHERIN"/>
    <x v="14"/>
    <x v="5"/>
    <x v="2"/>
    <s v="C813_00000000001104"/>
    <x v="5"/>
    <s v="CR 25 A # 1A SUR – 45 TV SUP CC EL TESORO LC 3589"/>
    <x v="1"/>
    <x v="1"/>
    <s v="HIPERMERCADO"/>
    <x v="2"/>
    <s v="ANTIOQUIA"/>
    <x v="2"/>
    <s v="LOPEZ PALACIO PABLO EMILIO"/>
    <s v="ROMERO ARENAS DANNY MAURICIO"/>
    <x v="3"/>
    <x v="1"/>
    <n v="0"/>
    <n v="5.8823529411764705E-2"/>
    <d v="2025-01-02T00:00:00"/>
    <d v="2018-10-12T00:00:00"/>
    <n v="96"/>
    <s v="+24 Mounths"/>
    <s v="C"/>
    <s v="A"/>
    <x v="0"/>
    <n v="3102712649"/>
    <s v="OK LINEA"/>
    <s v="SI"/>
    <d v="1989-01-02T00:00:00"/>
    <n v="37"/>
    <s v="FEMENINO"/>
  </r>
  <r>
    <x v="0"/>
    <x v="0"/>
    <x v="0"/>
    <s v="1039449593"/>
    <s v="ZAPATA AGUDELO KATHERIN"/>
    <x v="14"/>
    <x v="5"/>
    <x v="2"/>
    <s v="C813_00000000000296"/>
    <x v="11"/>
    <s v="CARRERA 43 A # 1 SUR - 272 MEDELLIN ANTIOQUIA"/>
    <x v="1"/>
    <x v="1"/>
    <s v="HIPERMERCADO"/>
    <x v="2"/>
    <s v="ANTIOQUIA"/>
    <x v="2"/>
    <s v="LOPEZ PALACIO PABLO EMILIO"/>
    <s v="ROMERO ARENAS DANNY MAURICIO"/>
    <x v="3"/>
    <x v="1"/>
    <n v="0"/>
    <n v="5.8823529411764705E-2"/>
    <d v="2025-01-02T00:00:00"/>
    <d v="2018-10-12T00:00:00"/>
    <n v="96"/>
    <s v="+24 Mounths"/>
    <s v="D"/>
    <s v="B"/>
    <x v="0"/>
    <n v="3102712649"/>
    <s v="OK LINEA"/>
    <s v="SI"/>
    <d v="1989-01-02T00:00:00"/>
    <n v="37"/>
    <s v="FEMENINO"/>
  </r>
  <r>
    <x v="1"/>
    <x v="2"/>
    <x v="0"/>
    <s v="16"/>
    <s v="VACANTE"/>
    <x v="12"/>
    <x v="5"/>
    <x v="2"/>
    <s v="NO APLICA"/>
    <x v="0"/>
    <s v="NO APLICA"/>
    <x v="8"/>
    <x v="24"/>
    <s v="TRADITIONAL"/>
    <x v="4"/>
    <s v="VALLE DEL CAUCA"/>
    <x v="4"/>
    <s v="ALVAREZ LONDOÑO JOHNNY"/>
    <s v="ROMERO ARENAS DANNY MAURICIO"/>
    <x v="19"/>
    <x v="6"/>
    <n v="1"/>
    <n v="1"/>
    <s v="VACANTE"/>
    <s v="NO APLICA"/>
    <s v="NO APLICA"/>
    <s v="NO APLICA"/>
    <s v="NO APLICA"/>
    <s v="NO APLICA"/>
    <x v="2"/>
    <s v="VACANTE"/>
    <s v="VACANTE"/>
    <s v="NO"/>
    <s v="VACANTE"/>
    <s v="VACANTE"/>
    <s v="VACANTE"/>
  </r>
  <r>
    <x v="0"/>
    <x v="2"/>
    <x v="0"/>
    <s v="1012354374"/>
    <s v="PINZON PACHON RAFAEL RICARDO"/>
    <x v="14"/>
    <x v="5"/>
    <x v="2"/>
    <s v="NO APLICA"/>
    <x v="0"/>
    <s v="NO APLICA"/>
    <x v="11"/>
    <x v="32"/>
    <s v="TRADITIONAL"/>
    <x v="0"/>
    <s v="CUNDINAMARCA"/>
    <x v="0"/>
    <s v="GAVIRIA FERRO DIEGO MAURICIO"/>
    <s v="PASTUSO ACHICUE CLAUDIA PATRICIA"/>
    <x v="20"/>
    <x v="3"/>
    <n v="1"/>
    <n v="1"/>
    <d v="2025-07-01T00:00:00"/>
    <d v="2025-01-02T00:00:00"/>
    <n v="21"/>
    <s v="12-24 Months"/>
    <s v="NO APLICA"/>
    <s v="NO APLICA"/>
    <x v="1"/>
    <n v="3102717024"/>
    <s v="OK LINEA"/>
    <s v="NO"/>
    <d v="1989-07-19T00:00:00"/>
    <n v="37"/>
    <s v="MASCULINO"/>
  </r>
  <r>
    <x v="0"/>
    <x v="0"/>
    <x v="0"/>
    <s v="32777245"/>
    <s v="MERCADO OJEDA LILIANA PATRICIA"/>
    <x v="14"/>
    <x v="5"/>
    <x v="2"/>
    <s v="ALKOSTO_0015"/>
    <x v="123"/>
    <s v="NIVEL 2, PASILLO H&amp;M. CENTRO COMERCIAL MALL PLAZA AVENIDA PEDRO DE HEREDIA 13, CARTAGENA DE INDIAS, B"/>
    <x v="1"/>
    <x v="1"/>
    <s v="HIPERMERCADO"/>
    <x v="31"/>
    <s v="BOLIVAR"/>
    <x v="3"/>
    <s v="PRENT SAMPAYO ANDERSON GUILLERMO"/>
    <s v="GRANADOS NAVARRO YEFERSON ORLANDO"/>
    <x v="4"/>
    <x v="1"/>
    <n v="1"/>
    <n v="6.6666666666666666E-2"/>
    <d v="2025-01-02T00:00:00"/>
    <d v="2010-10-10T00:00:00"/>
    <n v="192"/>
    <s v="+24 Mounths"/>
    <s v="D"/>
    <s v="D"/>
    <x v="0"/>
    <n v="3102716419"/>
    <s v="OK LINEA"/>
    <s v="NO"/>
    <d v="1974-08-08T00:00:00"/>
    <n v="52"/>
    <s v="FEMENINO"/>
  </r>
  <r>
    <x v="0"/>
    <x v="0"/>
    <x v="0"/>
    <s v="32777245"/>
    <s v="MERCADO OJEDA LILIANA PATRICIA"/>
    <x v="14"/>
    <x v="5"/>
    <x v="2"/>
    <s v="C813_00000000005816"/>
    <x v="89"/>
    <s v="TRASVERSAL 29 # 29-69 MONTERIA CORDOBA"/>
    <x v="1"/>
    <x v="10"/>
    <s v="HIPERMERCADO"/>
    <x v="25"/>
    <s v="CORDOBA"/>
    <x v="3"/>
    <s v="PRENT SAMPAYO ANDERSON GUILLERMO"/>
    <s v="GRANADOS NAVARRO YEFERSON ORLANDO"/>
    <x v="4"/>
    <x v="1"/>
    <n v="0"/>
    <n v="6.6666666666666666E-2"/>
    <d v="2025-01-02T00:00:00"/>
    <d v="2010-10-10T00:00:00"/>
    <n v="192"/>
    <s v="+24 Mounths"/>
    <s v="D"/>
    <s v="B"/>
    <x v="0"/>
    <n v="3102716419"/>
    <s v="OK LINEA"/>
    <s v="SI"/>
    <d v="1974-08-08T00:00:00"/>
    <n v="52"/>
    <s v="FEMENINO"/>
  </r>
  <r>
    <x v="0"/>
    <x v="0"/>
    <x v="0"/>
    <s v="32777245"/>
    <s v="MERCADO OJEDA LILIANA PATRICIA"/>
    <x v="14"/>
    <x v="5"/>
    <x v="2"/>
    <s v="C813_00000000005102"/>
    <x v="147"/>
    <s v="CL. 31 #6A-133 LC 203, 209, VALLEDUPAR, CESAR"/>
    <x v="1"/>
    <x v="10"/>
    <s v="HIPERMERCADO"/>
    <x v="40"/>
    <s v="CESAR"/>
    <x v="3"/>
    <s v="PRENT SAMPAYO ANDERSON GUILLERMO"/>
    <s v="GRANADOS NAVARRO YEFERSON ORLANDO"/>
    <x v="4"/>
    <x v="1"/>
    <n v="0"/>
    <n v="6.6666666666666666E-2"/>
    <d v="2025-01-02T00:00:00"/>
    <d v="2010-10-10T00:00:00"/>
    <n v="192"/>
    <s v="+24 Mounths"/>
    <s v="D"/>
    <s v="B"/>
    <x v="0"/>
    <n v="3102716419"/>
    <s v="OK LINEA"/>
    <s v="SI"/>
    <d v="1974-08-08T00:00:00"/>
    <n v="52"/>
    <s v="FEMENINO"/>
  </r>
  <r>
    <x v="0"/>
    <x v="0"/>
    <x v="0"/>
    <s v="32777245"/>
    <s v="MERCADO OJEDA LILIANA PATRICIA"/>
    <x v="14"/>
    <x v="5"/>
    <x v="2"/>
    <s v="C813_00000000006857"/>
    <x v="71"/>
    <s v="CALLE 30 # 6B 25"/>
    <x v="1"/>
    <x v="1"/>
    <s v="HIPERMERCADO"/>
    <x v="3"/>
    <s v="ATLANTICO"/>
    <x v="3"/>
    <s v="PRENT SAMPAYO ANDERSON GUILLERMO"/>
    <s v="GRANADOS NAVARRO YEFERSON ORLANDO"/>
    <x v="4"/>
    <x v="1"/>
    <n v="0"/>
    <n v="6.6666666666666666E-2"/>
    <d v="2025-01-02T00:00:00"/>
    <d v="2010-10-10T00:00:00"/>
    <n v="192"/>
    <s v="+24 Mounths"/>
    <s v="D"/>
    <s v="B"/>
    <x v="0"/>
    <n v="3102716419"/>
    <s v="OK LINEA"/>
    <s v="SI"/>
    <d v="1974-08-08T00:00:00"/>
    <n v="52"/>
    <s v="FEMENINO"/>
  </r>
  <r>
    <x v="0"/>
    <x v="0"/>
    <x v="0"/>
    <s v="32777245"/>
    <s v="MERCADO OJEDA LILIANA PATRICIA"/>
    <x v="14"/>
    <x v="5"/>
    <x v="2"/>
    <s v="C813_00000000005388"/>
    <x v="6"/>
    <s v="CL 98 #51B -91 BARRANQUILLA - ATLANTICO"/>
    <x v="1"/>
    <x v="2"/>
    <s v="HIPERMERCADO"/>
    <x v="3"/>
    <s v="ATLANTICO"/>
    <x v="3"/>
    <s v="PRENT SAMPAYO ANDERSON GUILLERMO"/>
    <s v="GRANADOS NAVARRO YEFERSON ORLANDO"/>
    <x v="4"/>
    <x v="1"/>
    <n v="0"/>
    <n v="6.6666666666666666E-2"/>
    <d v="2025-01-02T00:00:00"/>
    <d v="2010-10-10T00:00:00"/>
    <n v="192"/>
    <s v="+24 Mounths"/>
    <s v="A"/>
    <s v="A"/>
    <x v="0"/>
    <n v="3102716419"/>
    <s v="OK LINEA"/>
    <s v="SI"/>
    <d v="1974-08-08T00:00:00"/>
    <n v="52"/>
    <s v="FEMENINO"/>
  </r>
  <r>
    <x v="0"/>
    <x v="0"/>
    <x v="0"/>
    <s v="32777245"/>
    <s v="MERCADO OJEDA LILIANA PATRICIA"/>
    <x v="14"/>
    <x v="5"/>
    <x v="2"/>
    <s v="C813_00000000005978"/>
    <x v="52"/>
    <s v="CALLE 28 # 25B-97 SINCELEJO SUCRE"/>
    <x v="1"/>
    <x v="2"/>
    <s v="HIPERMERCADO"/>
    <x v="19"/>
    <s v="SUCRE"/>
    <x v="3"/>
    <s v="PRENT SAMPAYO ANDERSON GUILLERMO"/>
    <s v="GRANADOS NAVARRO YEFERSON ORLANDO"/>
    <x v="4"/>
    <x v="1"/>
    <n v="0"/>
    <n v="6.6666666666666666E-2"/>
    <d v="2025-01-02T00:00:00"/>
    <d v="2010-10-10T00:00:00"/>
    <n v="192"/>
    <s v="+24 Mounths"/>
    <s v="D"/>
    <s v="B"/>
    <x v="0"/>
    <n v="3102716419"/>
    <s v="OK LINEA"/>
    <s v="SI"/>
    <d v="1974-08-08T00:00:00"/>
    <n v="52"/>
    <s v="FEMENINO"/>
  </r>
  <r>
    <x v="0"/>
    <x v="0"/>
    <x v="0"/>
    <s v="32777245"/>
    <s v="MERCADO OJEDA LILIANA PATRICIA"/>
    <x v="14"/>
    <x v="5"/>
    <x v="2"/>
    <s v="C813_00000000000309"/>
    <x v="152"/>
    <s v="CL. 29D # 22-108 CARTAGENA, BOLIVAR"/>
    <x v="4"/>
    <x v="5"/>
    <s v="HIPERMERCADO"/>
    <x v="31"/>
    <s v="BOLIVAR"/>
    <x v="3"/>
    <s v="PRENT SAMPAYO ANDERSON GUILLERMO"/>
    <s v="GRANADOS NAVARRO YEFERSON ORLANDO"/>
    <x v="4"/>
    <x v="3"/>
    <n v="0"/>
    <n v="6.6666666666666666E-2"/>
    <d v="2025-01-02T00:00:00"/>
    <d v="2010-10-10T00:00:00"/>
    <n v="192"/>
    <s v="+24 Mounths"/>
    <s v="B"/>
    <s v="D"/>
    <x v="0"/>
    <n v="3102716419"/>
    <s v="OK LINEA"/>
    <s v="SI"/>
    <d v="1974-08-08T00:00:00"/>
    <n v="52"/>
    <s v="FEMENINO"/>
  </r>
  <r>
    <x v="0"/>
    <x v="0"/>
    <x v="0"/>
    <s v="32777245"/>
    <s v="MERCADO OJEDA LILIANA PATRICIA"/>
    <x v="14"/>
    <x v="5"/>
    <x v="2"/>
    <s v="C813_00000000000342"/>
    <x v="173"/>
    <s v="CRA 14 # 29-116  SANTA MARTA MAGDALENA"/>
    <x v="4"/>
    <x v="5"/>
    <s v="HIPERMERCADO"/>
    <x v="18"/>
    <s v="MAGDALENA"/>
    <x v="3"/>
    <s v="PRENT SAMPAYO ANDERSON GUILLERMO"/>
    <s v="GRANADOS NAVARRO YEFERSON ORLANDO"/>
    <x v="4"/>
    <x v="3"/>
    <n v="0"/>
    <n v="6.6666666666666666E-2"/>
    <d v="2025-01-02T00:00:00"/>
    <d v="2010-10-10T00:00:00"/>
    <n v="192"/>
    <s v="+24 Mounths"/>
    <s v="A"/>
    <s v="C"/>
    <x v="0"/>
    <n v="3102716419"/>
    <s v="OK LINEA"/>
    <s v="NO"/>
    <d v="1974-08-08T00:00:00"/>
    <n v="52"/>
    <s v="FEMENINO"/>
  </r>
  <r>
    <x v="0"/>
    <x v="0"/>
    <x v="0"/>
    <s v="32777245"/>
    <s v="MERCADO OJEDA LILIANA PATRICIA"/>
    <x v="14"/>
    <x v="5"/>
    <x v="2"/>
    <s v="C813_00000000000714"/>
    <x v="111"/>
    <s v="CALLE 48 # 13-14  MONTERIA"/>
    <x v="2"/>
    <x v="3"/>
    <s v="HIPERMERCADO"/>
    <x v="25"/>
    <s v="CORDOBA"/>
    <x v="3"/>
    <s v="PRENT SAMPAYO ANDERSON GUILLERMO"/>
    <s v="GRANADOS NAVARRO YEFERSON ORLANDO"/>
    <x v="4"/>
    <x v="2"/>
    <n v="0"/>
    <n v="6.6666666666666666E-2"/>
    <d v="2025-01-02T00:00:00"/>
    <d v="2010-10-10T00:00:00"/>
    <n v="192"/>
    <s v="+24 Mounths"/>
    <s v="B"/>
    <s v="B"/>
    <x v="0"/>
    <n v="3102716419"/>
    <s v="OK LINEA"/>
    <s v="SI"/>
    <d v="1974-08-08T00:00:00"/>
    <n v="52"/>
    <s v="FEMENINO"/>
  </r>
  <r>
    <x v="0"/>
    <x v="0"/>
    <x v="0"/>
    <s v="32777245"/>
    <s v="MERCADO OJEDA LILIANA PATRICIA"/>
    <x v="14"/>
    <x v="5"/>
    <x v="2"/>
    <s v="C813_00000000000717"/>
    <x v="97"/>
    <s v="CALLE 32 #29A-500 MAMATOCO SANTA MARTA"/>
    <x v="2"/>
    <x v="3"/>
    <s v="HIPERMERCADO"/>
    <x v="18"/>
    <s v="MAGDALENA"/>
    <x v="3"/>
    <s v="PRENT SAMPAYO ANDERSON GUILLERMO"/>
    <s v="GRANADOS NAVARRO YEFERSON ORLANDO"/>
    <x v="4"/>
    <x v="2"/>
    <n v="0"/>
    <n v="6.6666666666666666E-2"/>
    <d v="2025-01-02T00:00:00"/>
    <d v="2010-10-10T00:00:00"/>
    <n v="192"/>
    <s v="+24 Mounths"/>
    <s v="B"/>
    <s v="B"/>
    <x v="0"/>
    <n v="3102716419"/>
    <s v="OK LINEA"/>
    <s v="SI"/>
    <d v="1974-08-08T00:00:00"/>
    <n v="52"/>
    <s v="FEMENINO"/>
  </r>
  <r>
    <x v="0"/>
    <x v="0"/>
    <x v="0"/>
    <s v="32777245"/>
    <s v="MERCADO OJEDA LILIANA PATRICIA"/>
    <x v="14"/>
    <x v="5"/>
    <x v="2"/>
    <s v="C813_00000000000685"/>
    <x v="151"/>
    <s v="AV PEDRO DE HEREDIA # 69-75 SECTOR LA CONTADORA CARTAGENA DE INDIAS BOLIVAR"/>
    <x v="2"/>
    <x v="3"/>
    <s v="HIPERMERCADO"/>
    <x v="31"/>
    <s v="BOLIVAR"/>
    <x v="3"/>
    <s v="PRENT SAMPAYO ANDERSON GUILLERMO"/>
    <s v="GRANADOS NAVARRO YEFERSON ORLANDO"/>
    <x v="4"/>
    <x v="2"/>
    <n v="0"/>
    <n v="6.6666666666666666E-2"/>
    <d v="2025-01-02T00:00:00"/>
    <d v="2010-10-10T00:00:00"/>
    <n v="192"/>
    <s v="+24 Mounths"/>
    <s v="B"/>
    <s v="B"/>
    <x v="0"/>
    <n v="3102716419"/>
    <s v="OK LINEA"/>
    <s v="SI"/>
    <d v="1974-08-08T00:00:00"/>
    <n v="52"/>
    <s v="FEMENINO"/>
  </r>
  <r>
    <x v="0"/>
    <x v="0"/>
    <x v="0"/>
    <s v="32777245"/>
    <s v="MERCADO OJEDA LILIANA PATRICIA"/>
    <x v="14"/>
    <x v="5"/>
    <x v="2"/>
    <s v="C813_00000000000722"/>
    <x v="124"/>
    <s v="AV PEDRO DE HEREDIA SECTOR VILLA SANDRA # 30-14 CARTAGENA DE INDIAS BOLIVAR"/>
    <x v="2"/>
    <x v="3"/>
    <s v="HIPERMERCADO"/>
    <x v="31"/>
    <s v="BOLIVAR"/>
    <x v="3"/>
    <s v="PRENT SAMPAYO ANDERSON GUILLERMO"/>
    <s v="GRANADOS NAVARRO YEFERSON ORLANDO"/>
    <x v="4"/>
    <x v="2"/>
    <n v="0"/>
    <n v="6.6666666666666666E-2"/>
    <d v="2025-01-02T00:00:00"/>
    <d v="2010-10-10T00:00:00"/>
    <n v="192"/>
    <s v="+24 Mounths"/>
    <s v="B"/>
    <s v="B"/>
    <x v="0"/>
    <n v="3102716419"/>
    <s v="OK LINEA"/>
    <s v="SI"/>
    <d v="1974-08-08T00:00:00"/>
    <n v="52"/>
    <s v="FEMENINO"/>
  </r>
  <r>
    <x v="0"/>
    <x v="0"/>
    <x v="0"/>
    <s v="32777245"/>
    <s v="MERCADO OJEDA LILIANA PATRICIA"/>
    <x v="14"/>
    <x v="5"/>
    <x v="2"/>
    <s v="C813_00000000000711"/>
    <x v="172"/>
    <s v="CALLE 16 # 19 - 50 VALLEDUPAR"/>
    <x v="2"/>
    <x v="3"/>
    <s v="HIPERMERCADO"/>
    <x v="40"/>
    <s v="CESAR"/>
    <x v="3"/>
    <s v="PRENT SAMPAYO ANDERSON GUILLERMO"/>
    <s v="GRANADOS NAVARRO YEFERSON ORLANDO"/>
    <x v="4"/>
    <x v="2"/>
    <n v="0"/>
    <n v="6.6666666666666666E-2"/>
    <d v="2025-01-02T00:00:00"/>
    <d v="2010-10-10T00:00:00"/>
    <n v="192"/>
    <s v="+24 Mounths"/>
    <s v="B"/>
    <s v="B"/>
    <x v="0"/>
    <n v="3102716419"/>
    <s v="OK LINEA"/>
    <s v="SI"/>
    <d v="1974-08-08T00:00:00"/>
    <n v="52"/>
    <s v="FEMENINO"/>
  </r>
  <r>
    <x v="0"/>
    <x v="0"/>
    <x v="0"/>
    <s v="32777245"/>
    <s v="MERCADO OJEDA LILIANA PATRICIA"/>
    <x v="14"/>
    <x v="5"/>
    <x v="2"/>
    <s v="C813_00000000000018"/>
    <x v="154"/>
    <s v="CARRERA 51 B # 87-50 BARRANQUILLA ATLANTICO"/>
    <x v="2"/>
    <x v="3"/>
    <s v="HIPERMERCADO"/>
    <x v="3"/>
    <s v="ATLANTICO"/>
    <x v="3"/>
    <s v="PRENT SAMPAYO ANDERSON GUILLERMO"/>
    <s v="GRANADOS NAVARRO YEFERSON ORLANDO"/>
    <x v="4"/>
    <x v="2"/>
    <n v="0"/>
    <n v="6.6666666666666666E-2"/>
    <d v="2025-01-02T00:00:00"/>
    <d v="2010-10-10T00:00:00"/>
    <n v="192"/>
    <s v="+24 Mounths"/>
    <s v="A"/>
    <s v="A"/>
    <x v="0"/>
    <n v="3102716419"/>
    <s v="OK LINEA"/>
    <s v="SI"/>
    <d v="1974-08-08T00:00:00"/>
    <n v="52"/>
    <s v="FEMENINO"/>
  </r>
  <r>
    <x v="0"/>
    <x v="0"/>
    <x v="0"/>
    <s v="32777245"/>
    <s v="MERCADO OJEDA LILIANA PATRICIA"/>
    <x v="14"/>
    <x v="5"/>
    <x v="2"/>
    <s v="C813_00000000000716"/>
    <x v="242"/>
    <s v="CALLE 98 # 50 - 52 BARRANQUILLA"/>
    <x v="2"/>
    <x v="3"/>
    <s v="HIPERMERCADO"/>
    <x v="3"/>
    <s v="ATLANTICO"/>
    <x v="3"/>
    <s v="PRENT SAMPAYO ANDERSON GUILLERMO"/>
    <s v="GRANADOS NAVARRO YEFERSON ORLANDO"/>
    <x v="4"/>
    <x v="2"/>
    <n v="0"/>
    <n v="6.6666666666666666E-2"/>
    <d v="2025-01-02T00:00:00"/>
    <d v="2010-10-10T00:00:00"/>
    <n v="192"/>
    <s v="+24 Mounths"/>
    <s v="A"/>
    <s v="C"/>
    <x v="0"/>
    <n v="3102716419"/>
    <s v="OK LINEA"/>
    <s v="SI"/>
    <d v="1974-08-08T00:00:00"/>
    <n v="52"/>
    <s v="FEMENINO"/>
  </r>
  <r>
    <x v="0"/>
    <x v="0"/>
    <x v="0"/>
    <s v="1121823147"/>
    <s v="CRUZ BOBADILLA NIDYA MILENA"/>
    <x v="14"/>
    <x v="5"/>
    <x v="2"/>
    <s v="C813_00000000006343"/>
    <x v="12"/>
    <s v="AV UNIVERSITARIA # 50-21 CENTRO COMERCIAL VIVA LOCAL 209 TUNJA BOYACA"/>
    <x v="1"/>
    <x v="1"/>
    <s v="HIPERMERCADO"/>
    <x v="6"/>
    <s v="BOYACA"/>
    <x v="0"/>
    <s v="PEÑA GARCIA JOINER ALEXIS"/>
    <s v="PASTUSO ACHICUE CLAUDIA PATRICIA"/>
    <x v="8"/>
    <x v="1"/>
    <n v="1"/>
    <n v="0.125"/>
    <d v="2025-01-02T00:00:00"/>
    <d v="2012-04-14T00:00:00"/>
    <n v="174"/>
    <s v="+24 Mounths"/>
    <s v="C"/>
    <s v="A"/>
    <x v="0"/>
    <n v="3102716214"/>
    <s v="OK LINEA"/>
    <s v="SI"/>
    <d v="1986-08-07T00:00:00"/>
    <n v="40"/>
    <s v="FEMENINO"/>
  </r>
  <r>
    <x v="0"/>
    <x v="0"/>
    <x v="0"/>
    <s v="1121823147"/>
    <s v="CRUZ BOBADILLA NIDYA MILENA"/>
    <x v="14"/>
    <x v="5"/>
    <x v="2"/>
    <s v="C813_00000000000285"/>
    <x v="18"/>
    <s v="CRA 31 # 31-95 VILLAVICENCIO META"/>
    <x v="1"/>
    <x v="2"/>
    <s v="HIPERMERCADO"/>
    <x v="9"/>
    <s v="META"/>
    <x v="6"/>
    <s v="GAVIRIA FERRO DIEGO MAURICIO"/>
    <s v="PASTUSO ACHICUE CLAUDIA PATRICIA"/>
    <x v="8"/>
    <x v="1"/>
    <n v="0"/>
    <n v="0.125"/>
    <d v="2025-01-02T00:00:00"/>
    <d v="2012-04-14T00:00:00"/>
    <n v="174"/>
    <s v="+24 Mounths"/>
    <s v="A"/>
    <s v="A"/>
    <x v="0"/>
    <n v="3102716214"/>
    <s v="OK LINEA"/>
    <s v="SI"/>
    <d v="1986-08-07T00:00:00"/>
    <n v="40"/>
    <s v="FEMENINO"/>
  </r>
  <r>
    <x v="0"/>
    <x v="0"/>
    <x v="0"/>
    <s v="1121823147"/>
    <s v="CRUZ BOBADILLA NIDYA MILENA"/>
    <x v="14"/>
    <x v="5"/>
    <x v="2"/>
    <s v="C813_00000000000947"/>
    <x v="109"/>
    <s v="CALLE 24 # 28-72. C.C MORICHAL PLAZA YOPAL CASANARE"/>
    <x v="1"/>
    <x v="2"/>
    <s v="HIPERMERCADO"/>
    <x v="28"/>
    <s v="CASANARE"/>
    <x v="6"/>
    <s v="GAVIRIA FERRO DIEGO MAURICIO"/>
    <s v="PASTUSO ACHICUE CLAUDIA PATRICIA"/>
    <x v="8"/>
    <x v="1"/>
    <n v="0"/>
    <n v="0.125"/>
    <d v="2025-01-02T00:00:00"/>
    <d v="2012-04-14T00:00:00"/>
    <n v="174"/>
    <s v="+24 Mounths"/>
    <s v="B"/>
    <s v="B"/>
    <x v="0"/>
    <n v="3102716214"/>
    <s v="OK LINEA"/>
    <s v="SI"/>
    <d v="1986-08-07T00:00:00"/>
    <n v="40"/>
    <s v="FEMENINO"/>
  </r>
  <r>
    <x v="0"/>
    <x v="0"/>
    <x v="0"/>
    <s v="1121823147"/>
    <s v="CRUZ BOBADILLA NIDYA MILENA"/>
    <x v="14"/>
    <x v="5"/>
    <x v="2"/>
    <s v="C813_00000000000729"/>
    <x v="53"/>
    <s v="CALLE 20A #12 - 70 DUITAMA BOYACA"/>
    <x v="4"/>
    <x v="5"/>
    <s v="HIPERMERCADO"/>
    <x v="20"/>
    <s v="BOYACA"/>
    <x v="0"/>
    <s v="GAVIRIA FERRO DIEGO MAURICIO"/>
    <s v="PASTUSO ACHICUE CLAUDIA PATRICIA"/>
    <x v="8"/>
    <x v="3"/>
    <n v="0"/>
    <n v="0.125"/>
    <d v="2025-01-02T00:00:00"/>
    <d v="2012-04-14T00:00:00"/>
    <n v="174"/>
    <s v="+24 Mounths"/>
    <s v="A"/>
    <s v="B"/>
    <x v="0"/>
    <n v="3102716214"/>
    <s v="OK LINEA"/>
    <s v="SI"/>
    <d v="1986-08-07T00:00:00"/>
    <n v="40"/>
    <s v="FEMENINO"/>
  </r>
  <r>
    <x v="0"/>
    <x v="0"/>
    <x v="0"/>
    <s v="1121823147"/>
    <s v="CRUZ BOBADILLA NIDYA MILENA"/>
    <x v="14"/>
    <x v="5"/>
    <x v="2"/>
    <s v="C813_00000000000043"/>
    <x v="90"/>
    <s v="CALLE 7A #45-185"/>
    <x v="2"/>
    <x v="3"/>
    <s v="HIPERMERCADO"/>
    <x v="9"/>
    <s v="META"/>
    <x v="6"/>
    <s v="GAVIRIA FERRO DIEGO MAURICIO"/>
    <s v="PASTUSO ACHICUE CLAUDIA PATRICIA"/>
    <x v="8"/>
    <x v="2"/>
    <n v="0"/>
    <n v="0.125"/>
    <d v="2025-01-02T00:00:00"/>
    <d v="2012-04-14T00:00:00"/>
    <n v="174"/>
    <s v="+24 Mounths"/>
    <s v="B"/>
    <s v="B"/>
    <x v="0"/>
    <n v="3102716214"/>
    <s v="OK LINEA"/>
    <s v="SI"/>
    <d v="1986-08-07T00:00:00"/>
    <n v="40"/>
    <s v="FEMENINO"/>
  </r>
  <r>
    <x v="0"/>
    <x v="0"/>
    <x v="0"/>
    <s v="1121823147"/>
    <s v="CRUZ BOBADILLA NIDYA MILENA"/>
    <x v="14"/>
    <x v="5"/>
    <x v="2"/>
    <s v="C813_00000000006331"/>
    <x v="208"/>
    <s v="AV UNIVERSITARIA # 50-21 LOCAL 100 TUNJA BOYACA"/>
    <x v="2"/>
    <x v="3"/>
    <s v="HIPERMERCADO"/>
    <x v="6"/>
    <s v="BOYACA"/>
    <x v="0"/>
    <s v="GAVIRIA FERRO DIEGO MAURICIO"/>
    <s v="PASTUSO ACHICUE CLAUDIA PATRICIA"/>
    <x v="8"/>
    <x v="2"/>
    <n v="0"/>
    <n v="0.125"/>
    <d v="2025-01-02T00:00:00"/>
    <d v="2012-04-14T00:00:00"/>
    <n v="174"/>
    <s v="+24 Mounths"/>
    <s v="B"/>
    <s v="A"/>
    <x v="0"/>
    <n v="3102716214"/>
    <s v="OK LINEA"/>
    <s v="SI"/>
    <d v="1986-08-07T00:00:00"/>
    <n v="40"/>
    <s v="FEMENINO"/>
  </r>
  <r>
    <x v="0"/>
    <x v="0"/>
    <x v="0"/>
    <s v="1121823147"/>
    <s v="CRUZ BOBADILLA NIDYA MILENA"/>
    <x v="14"/>
    <x v="5"/>
    <x v="2"/>
    <s v="C813_00000000004980"/>
    <x v="19"/>
    <s v="CALLE 7 # 45  185 VILLAVICENCIO META"/>
    <x v="1"/>
    <x v="1"/>
    <s v="HIPERMERCADO"/>
    <x v="9"/>
    <s v="META"/>
    <x v="6"/>
    <s v="GAVIRIA FERRO DIEGO MAURICIO"/>
    <s v="PASTUSO ACHICUE CLAUDIA PATRICIA"/>
    <x v="8"/>
    <x v="1"/>
    <n v="0"/>
    <n v="0.125"/>
    <d v="2025-01-02T00:00:00"/>
    <d v="2012-04-14T00:00:00"/>
    <n v="174"/>
    <s v="+24 Mounths"/>
    <s v="C"/>
    <s v="B"/>
    <x v="0"/>
    <n v="3102716214"/>
    <s v="OK LINEA"/>
    <s v="SI"/>
    <d v="1986-08-07T00:00:00"/>
    <n v="40"/>
    <s v="FEMENINO"/>
  </r>
  <r>
    <x v="0"/>
    <x v="0"/>
    <x v="0"/>
    <s v="1121823147"/>
    <s v="CRUZ BOBADILLA NIDYA MILENA"/>
    <x v="14"/>
    <x v="5"/>
    <x v="2"/>
    <s v="C813_00000000006121"/>
    <x v="214"/>
    <s v="CLL 15 # 13 - 61 GRANADA"/>
    <x v="9"/>
    <x v="15"/>
    <s v="TRADITIONAL"/>
    <x v="50"/>
    <s v="META"/>
    <x v="6"/>
    <s v="GAVIRIA FERRO DIEGO MAURICIO"/>
    <s v="PASTUSO ACHICUE CLAUDIA PATRICIA"/>
    <x v="8"/>
    <x v="5"/>
    <n v="0"/>
    <n v="0.125"/>
    <d v="2025-01-02T00:00:00"/>
    <d v="2012-04-14T00:00:00"/>
    <n v="174"/>
    <s v="+24 Mounths"/>
    <s v="NO DATA"/>
    <s v="NO DATA"/>
    <x v="0"/>
    <n v="3102716214"/>
    <s v="OK LINEA"/>
    <s v="NO"/>
    <d v="1986-08-07T00:00:00"/>
    <n v="40"/>
    <s v="FEMENINO"/>
  </r>
  <r>
    <x v="0"/>
    <x v="0"/>
    <x v="0"/>
    <s v="87068177"/>
    <s v="CHILAMA CRUZ MILLER ARMANDO"/>
    <x v="14"/>
    <x v="5"/>
    <x v="2"/>
    <s v="C813_00000000003556"/>
    <x v="252"/>
    <s v="CALLE 19 NO 26-58 CENTRO PASTO - NARIÑO"/>
    <x v="8"/>
    <x v="31"/>
    <s v="TRADITIONAL"/>
    <x v="14"/>
    <s v="NARIÑO"/>
    <x v="8"/>
    <s v="ALVAREZ LONDOÑO JOHNNY"/>
    <s v="ROMERO ARENAS DANNY MAURICIO"/>
    <x v="15"/>
    <x v="6"/>
    <n v="1"/>
    <n v="8.3333333333333329E-2"/>
    <d v="2025-01-02T00:00:00"/>
    <d v="2013-05-09T00:00:00"/>
    <n v="161"/>
    <s v="+24 Mounths"/>
    <s v="NO DATA"/>
    <s v="NO DATA"/>
    <x v="0"/>
    <n v="3102711641"/>
    <s v="OK LINEA"/>
    <s v="NO"/>
    <d v="1985-03-10T00:00:00"/>
    <n v="41"/>
    <s v="MASCULINO"/>
  </r>
  <r>
    <x v="0"/>
    <x v="0"/>
    <x v="0"/>
    <s v="87068177"/>
    <s v="CHILAMA CRUZ MILLER ARMANDO"/>
    <x v="14"/>
    <x v="5"/>
    <x v="2"/>
    <s v="C813_00000000000287"/>
    <x v="38"/>
    <s v="CALLE 22 # 6-28 PASTO NARIÑO"/>
    <x v="8"/>
    <x v="11"/>
    <s v="TRADITIONAL"/>
    <x v="14"/>
    <s v="NARIÑO"/>
    <x v="8"/>
    <s v="ALVAREZ LONDOÑO JOHNNY"/>
    <s v="ROMERO ARENAS DANNY MAURICIO"/>
    <x v="15"/>
    <x v="6"/>
    <n v="0"/>
    <n v="8.3333333333333329E-2"/>
    <d v="2025-01-02T00:00:00"/>
    <d v="2013-05-09T00:00:00"/>
    <n v="161"/>
    <s v="+24 Mounths"/>
    <s v="A"/>
    <s v="A"/>
    <x v="0"/>
    <n v="3102711641"/>
    <s v="OK LINEA"/>
    <s v="SI"/>
    <d v="1985-03-10T00:00:00"/>
    <n v="41"/>
    <s v="MASCULINO"/>
  </r>
  <r>
    <x v="0"/>
    <x v="0"/>
    <x v="0"/>
    <s v="87068177"/>
    <s v="CHILAMA CRUZ MILLER ARMANDO"/>
    <x v="14"/>
    <x v="5"/>
    <x v="2"/>
    <s v="C813_00000000000289"/>
    <x v="95"/>
    <s v="CRA 5 # 8-26 IPIALES NARI#"/>
    <x v="8"/>
    <x v="11"/>
    <s v="TRADITIONAL"/>
    <x v="27"/>
    <s v="NARIÑO"/>
    <x v="8"/>
    <s v="ALVAREZ LONDOÑO JOHNNY"/>
    <s v="ROMERO ARENAS DANNY MAURICIO"/>
    <x v="15"/>
    <x v="6"/>
    <n v="0"/>
    <n v="8.3333333333333329E-2"/>
    <d v="2025-01-02T00:00:00"/>
    <d v="2013-05-09T00:00:00"/>
    <n v="161"/>
    <s v="+24 Mounths"/>
    <s v="C"/>
    <s v="C"/>
    <x v="0"/>
    <n v="3102711641"/>
    <s v="OK LINEA"/>
    <s v="SI"/>
    <d v="1985-03-10T00:00:00"/>
    <n v="41"/>
    <s v="MASCULINO"/>
  </r>
  <r>
    <x v="0"/>
    <x v="0"/>
    <x v="0"/>
    <s v="87068177"/>
    <s v="CHILAMA CRUZ MILLER ARMANDO"/>
    <x v="14"/>
    <x v="5"/>
    <x v="2"/>
    <s v="C813_00000000000997"/>
    <x v="258"/>
    <s v="CALLE 22 # 6-28 PASTO NARIÑO"/>
    <x v="8"/>
    <x v="32"/>
    <s v="TRADITIONAL"/>
    <x v="14"/>
    <s v="NARIÑO"/>
    <x v="8"/>
    <s v="ALVAREZ LONDOÑO JOHNNY"/>
    <s v="ROMERO ARENAS DANNY MAURICIO"/>
    <x v="15"/>
    <x v="6"/>
    <n v="0"/>
    <n v="8.3333333333333329E-2"/>
    <d v="2025-01-02T00:00:00"/>
    <d v="2013-05-09T00:00:00"/>
    <n v="161"/>
    <s v="+24 Mounths"/>
    <s v="B"/>
    <s v="B"/>
    <x v="0"/>
    <n v="3102711641"/>
    <s v="OK LINEA"/>
    <s v="NO"/>
    <d v="1985-03-10T00:00:00"/>
    <n v="41"/>
    <s v="MASCULINO"/>
  </r>
  <r>
    <x v="0"/>
    <x v="0"/>
    <x v="0"/>
    <s v="87068177"/>
    <s v="CHILAMA CRUZ MILLER ARMANDO"/>
    <x v="14"/>
    <x v="5"/>
    <x v="2"/>
    <s v="C813_00000000000290"/>
    <x v="127"/>
    <s v="CRA 13 # 20-50"/>
    <x v="8"/>
    <x v="11"/>
    <s v="TRADITIONAL"/>
    <x v="33"/>
    <s v="NARIÑO"/>
    <x v="8"/>
    <s v="ALVAREZ LONDOÑO JOHNNY"/>
    <s v="ROMERO ARENAS DANNY MAURICIO"/>
    <x v="15"/>
    <x v="6"/>
    <n v="0"/>
    <n v="8.3333333333333329E-2"/>
    <d v="2025-01-02T00:00:00"/>
    <d v="2013-05-09T00:00:00"/>
    <n v="161"/>
    <s v="+24 Mounths"/>
    <s v="A"/>
    <s v="A"/>
    <x v="0"/>
    <n v="3102711641"/>
    <s v="OK LINEA"/>
    <s v="NO"/>
    <d v="1985-03-10T00:00:00"/>
    <n v="41"/>
    <s v="MASCULINO"/>
  </r>
  <r>
    <x v="0"/>
    <x v="0"/>
    <x v="0"/>
    <s v="87068177"/>
    <s v="CHILAMA CRUZ MILLER ARMANDO"/>
    <x v="14"/>
    <x v="5"/>
    <x v="2"/>
    <s v="C813_00000000000288"/>
    <x v="57"/>
    <s v="CALLE 19 # 28 - 89 PASTO NARIÑO"/>
    <x v="8"/>
    <x v="11"/>
    <s v="TRADITIONAL"/>
    <x v="14"/>
    <s v="NARIÑO"/>
    <x v="8"/>
    <s v="ALVAREZ LONDOÑO JOHNNY"/>
    <s v="ROMERO ARENAS DANNY MAURICIO"/>
    <x v="15"/>
    <x v="6"/>
    <n v="0"/>
    <n v="8.3333333333333329E-2"/>
    <d v="2025-01-02T00:00:00"/>
    <d v="2013-05-09T00:00:00"/>
    <n v="161"/>
    <s v="+24 Mounths"/>
    <s v="B"/>
    <s v="B"/>
    <x v="0"/>
    <n v="3102711641"/>
    <s v="OK LINEA"/>
    <s v="SI"/>
    <d v="1985-03-10T00:00:00"/>
    <n v="41"/>
    <s v="MASCULINO"/>
  </r>
  <r>
    <x v="0"/>
    <x v="0"/>
    <x v="0"/>
    <s v="87068177"/>
    <s v="CHILAMA CRUZ MILLER ARMANDO"/>
    <x v="14"/>
    <x v="5"/>
    <x v="2"/>
    <s v="C813_00000000005038"/>
    <x v="189"/>
    <s v="CRA 6 # 24 49 CC GRAN PLAZA IPIALES NARINO"/>
    <x v="8"/>
    <x v="11"/>
    <s v="TRADITIONAL"/>
    <x v="27"/>
    <s v="NARIÑO"/>
    <x v="8"/>
    <s v="ALVAREZ LONDOÑO JOHNNY"/>
    <s v="ROMERO ARENAS DANNY MAURICIO"/>
    <x v="15"/>
    <x v="6"/>
    <n v="0"/>
    <n v="8.3333333333333329E-2"/>
    <d v="2025-01-02T00:00:00"/>
    <d v="2013-05-09T00:00:00"/>
    <n v="161"/>
    <s v="+24 Mounths"/>
    <s v="A"/>
    <s v="A"/>
    <x v="0"/>
    <n v="3102711641"/>
    <s v="OK LINEA"/>
    <s v="SI"/>
    <d v="1985-03-10T00:00:00"/>
    <n v="41"/>
    <s v="MASCULINO"/>
  </r>
  <r>
    <x v="0"/>
    <x v="0"/>
    <x v="0"/>
    <s v="87068177"/>
    <s v="CHILAMA CRUZ MILLER ARMANDO"/>
    <x v="14"/>
    <x v="5"/>
    <x v="2"/>
    <s v="C813_00000000000288"/>
    <x v="57"/>
    <s v="CALLE 19 # 28 - 89 PASTO NARIÑO"/>
    <x v="8"/>
    <x v="11"/>
    <s v="TRADITIONAL"/>
    <x v="14"/>
    <s v="NARIÑO"/>
    <x v="8"/>
    <s v="ALVAREZ LONDOÑO JOHNNY"/>
    <s v="ROMERO ARENAS DANNY MAURICIO"/>
    <x v="15"/>
    <x v="6"/>
    <n v="0"/>
    <n v="8.3333333333333329E-2"/>
    <d v="2025-01-02T00:00:00"/>
    <d v="2013-05-09T00:00:00"/>
    <n v="161"/>
    <s v="+24 Mounths"/>
    <s v="B"/>
    <s v="B"/>
    <x v="0"/>
    <n v="3102711641"/>
    <s v="OK LINEA"/>
    <s v="SI"/>
    <d v="1985-03-10T00:00:00"/>
    <n v="41"/>
    <s v="MASCULINO"/>
  </r>
  <r>
    <x v="0"/>
    <x v="0"/>
    <x v="0"/>
    <s v="87068177"/>
    <s v="CHILAMA CRUZ MILLER ARMANDO"/>
    <x v="14"/>
    <x v="5"/>
    <x v="2"/>
    <s v="C813_00000000005038"/>
    <x v="189"/>
    <s v="CRA 6 # 24 49 CC GRAN PLAZA IPIALES NARINO"/>
    <x v="8"/>
    <x v="11"/>
    <s v="TRADITIONAL"/>
    <x v="27"/>
    <s v="NARIÑO"/>
    <x v="8"/>
    <s v="ALVAREZ LONDOÑO JOHNNY"/>
    <s v="ROMERO ARENAS DANNY MAURICIO"/>
    <x v="15"/>
    <x v="6"/>
    <n v="0"/>
    <n v="8.3333333333333329E-2"/>
    <d v="2025-01-02T00:00:00"/>
    <d v="2013-05-09T00:00:00"/>
    <n v="161"/>
    <s v="+24 Mounths"/>
    <s v="A"/>
    <s v="A"/>
    <x v="0"/>
    <n v="3102711641"/>
    <s v="OK LINEA"/>
    <s v="SI"/>
    <d v="1985-03-10T00:00:00"/>
    <n v="41"/>
    <s v="MASCULINO"/>
  </r>
  <r>
    <x v="0"/>
    <x v="0"/>
    <x v="0"/>
    <s v="87068177"/>
    <s v="CHILAMA CRUZ MILLER ARMANDO"/>
    <x v="14"/>
    <x v="5"/>
    <x v="2"/>
    <s v="C813_00000000000287"/>
    <x v="38"/>
    <s v="CALLE 22 # 6-28 PASTO NARIÑO"/>
    <x v="8"/>
    <x v="11"/>
    <s v="TRADITIONAL"/>
    <x v="14"/>
    <s v="NARIÑO"/>
    <x v="8"/>
    <s v="ALVAREZ LONDOÑO JOHNNY"/>
    <s v="ROMERO ARENAS DANNY MAURICIO"/>
    <x v="15"/>
    <x v="6"/>
    <n v="0"/>
    <n v="8.3333333333333329E-2"/>
    <d v="2025-01-02T00:00:00"/>
    <d v="2013-05-09T00:00:00"/>
    <n v="161"/>
    <s v="+24 Mounths"/>
    <s v="A"/>
    <s v="A"/>
    <x v="0"/>
    <n v="3102711641"/>
    <s v="OK LINEA"/>
    <s v="SI"/>
    <d v="1985-03-10T00:00:00"/>
    <n v="41"/>
    <s v="MASCULINO"/>
  </r>
  <r>
    <x v="0"/>
    <x v="0"/>
    <x v="0"/>
    <s v="87068177"/>
    <s v="CHILAMA CRUZ MILLER ARMANDO"/>
    <x v="14"/>
    <x v="5"/>
    <x v="2"/>
    <s v="C813_00000000000288"/>
    <x v="57"/>
    <s v="CALLE 19 # 28 - 89 PASTO NARIÑO"/>
    <x v="8"/>
    <x v="11"/>
    <s v="TRADITIONAL"/>
    <x v="14"/>
    <s v="NARIÑO"/>
    <x v="8"/>
    <s v="ALVAREZ LONDOÑO JOHNNY"/>
    <s v="ROMERO ARENAS DANNY MAURICIO"/>
    <x v="15"/>
    <x v="6"/>
    <n v="0"/>
    <n v="8.3333333333333329E-2"/>
    <d v="2025-01-02T00:00:00"/>
    <d v="2013-05-09T00:00:00"/>
    <n v="161"/>
    <s v="+24 Mounths"/>
    <s v="B"/>
    <s v="B"/>
    <x v="0"/>
    <n v="3102711641"/>
    <s v="OK LINEA"/>
    <s v="SI"/>
    <d v="1985-03-10T00:00:00"/>
    <n v="41"/>
    <s v="MASCULINO"/>
  </r>
  <r>
    <x v="0"/>
    <x v="0"/>
    <x v="0"/>
    <s v="87068177"/>
    <s v="CHILAMA CRUZ MILLER ARMANDO"/>
    <x v="14"/>
    <x v="5"/>
    <x v="2"/>
    <s v="C813_00000000000287"/>
    <x v="38"/>
    <s v="CALLE 22 # 6-28 PASTO NARIÑO"/>
    <x v="8"/>
    <x v="11"/>
    <s v="TRADITIONAL"/>
    <x v="14"/>
    <s v="NARIÑO"/>
    <x v="8"/>
    <s v="ALVAREZ LONDOÑO JOHNNY"/>
    <s v="ROMERO ARENAS DANNY MAURICIO"/>
    <x v="15"/>
    <x v="6"/>
    <n v="0"/>
    <n v="8.3333333333333329E-2"/>
    <d v="2025-01-02T00:00:00"/>
    <d v="2013-05-09T00:00:00"/>
    <n v="161"/>
    <s v="+24 Mounths"/>
    <s v="A"/>
    <s v="A"/>
    <x v="0"/>
    <n v="3102711641"/>
    <s v="OK LINEA"/>
    <s v="SI"/>
    <d v="1985-03-10T00:00:00"/>
    <n v="41"/>
    <s v="MASCULINO"/>
  </r>
  <r>
    <x v="0"/>
    <x v="0"/>
    <x v="0"/>
    <s v="1024484467"/>
    <s v="ROMERO ARENAS DANNY MAURICIO"/>
    <x v="15"/>
    <x v="6"/>
    <x v="2"/>
    <s v="NO APLICA"/>
    <x v="0"/>
    <s v="NO APLICA"/>
    <x v="0"/>
    <x v="0"/>
    <s v="NO APLICA"/>
    <x v="2"/>
    <s v="ANTIOQUIA"/>
    <x v="2"/>
    <s v="NO APLICA"/>
    <s v="ROMERO ARENAS DANNY MAURICIO"/>
    <x v="0"/>
    <x v="0"/>
    <n v="1"/>
    <n v="1"/>
    <d v="2025-01-02T00:00:00"/>
    <d v="2025-01-02T00:00:00"/>
    <n v="21"/>
    <s v="12-24 Months"/>
    <s v="NO APLICA"/>
    <s v="NO APLICA"/>
    <x v="1"/>
    <n v="3102645315"/>
    <s v="OK LINEA"/>
    <s v="NO APLICA"/>
    <d v="1988-10-01T00:00:00"/>
    <n v="38"/>
    <s v="MASCULINO"/>
  </r>
  <r>
    <x v="0"/>
    <x v="0"/>
    <x v="0"/>
    <s v="1079186800"/>
    <s v="PASTUSO ACHICUE CLAUDIA PATRICIA"/>
    <x v="15"/>
    <x v="6"/>
    <x v="2"/>
    <s v="NO APLICA"/>
    <x v="0"/>
    <s v="NO APLICA"/>
    <x v="0"/>
    <x v="0"/>
    <s v="NO APLICA"/>
    <x v="0"/>
    <s v="CUNDINAMARCA"/>
    <x v="0"/>
    <s v="NO APLICA"/>
    <s v="PASTUSO ACHICUE CLAUDIA PATRICIA"/>
    <x v="0"/>
    <x v="0"/>
    <n v="1"/>
    <n v="1"/>
    <d v="2025-11-10T00:00:00"/>
    <d v="2023-02-09T00:00:00"/>
    <n v="44"/>
    <s v="+24 Mounths"/>
    <s v="NO APLICA"/>
    <s v="NO APLICA"/>
    <x v="0"/>
    <n v="3102692553"/>
    <s v="OK LINEA"/>
    <s v="NO APLICA"/>
    <d v="1999-04-06T00:00:00"/>
    <n v="27"/>
    <s v="FEMENINO"/>
  </r>
  <r>
    <x v="0"/>
    <x v="0"/>
    <x v="0"/>
    <s v="1043137275"/>
    <s v="GRANADOS NAVARRO YEFERSON ORLANDO"/>
    <x v="15"/>
    <x v="6"/>
    <x v="2"/>
    <s v="NO APLICA"/>
    <x v="0"/>
    <s v="NO APLICA"/>
    <x v="0"/>
    <x v="0"/>
    <s v="NO APLICA"/>
    <x v="3"/>
    <s v="ATLANTICO"/>
    <x v="3"/>
    <s v="NO APLICA"/>
    <s v="GRANADOS NAVARRO YEFERSON ORLANDO"/>
    <x v="0"/>
    <x v="0"/>
    <n v="1"/>
    <n v="1"/>
    <d v="2025-08-16T00:00:00"/>
    <d v="2023-07-13T00:00:00"/>
    <n v="39"/>
    <s v="+24 Mounths"/>
    <s v="NO APLICA"/>
    <s v="NO APLICA"/>
    <x v="0"/>
    <n v="3102696044"/>
    <s v="OK LINEA"/>
    <s v="NO APLICA"/>
    <d v="1996-09-06T00:00:00"/>
    <n v="30"/>
    <s v="MASCULI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E4570-6E71-4664-9485-8F363EDED71A}" name="TablaDinámica8" cacheId="194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9:C293" firstHeaderRow="1" firstDataRow="1" firstDataCol="2"/>
  <pivotFields count="37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9">
        <item h="1" m="1" x="13"/>
        <item h="1" x="0"/>
        <item h="1" m="1" x="12"/>
        <item x="1"/>
        <item h="1" x="2"/>
        <item h="1" m="1" x="7"/>
        <item h="1" m="1" x="14"/>
        <item h="1" m="1" x="8"/>
        <item h="1" m="1" x="9"/>
        <item h="1" x="3"/>
        <item h="1" x="4"/>
        <item h="1" m="1" x="10"/>
        <item h="1" m="1" x="11"/>
        <item h="1" x="5"/>
        <item h="1" m="1" x="15"/>
        <item h="1" m="1" x="16"/>
        <item h="1" m="1" x="17"/>
        <item h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7">
        <item h="1" m="1" x="5"/>
        <item h="1" x="1"/>
        <item h="1" m="1" x="4"/>
        <item h="1" m="1" x="3"/>
        <item h="1"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>
      <items count="1134">
        <item m="1" x="880"/>
        <item m="1" x="810"/>
        <item x="161"/>
        <item x="153"/>
        <item x="162"/>
        <item x="256"/>
        <item x="282"/>
        <item m="1" x="869"/>
        <item x="112"/>
        <item x="42"/>
        <item m="1" x="925"/>
        <item x="231"/>
        <item m="1" x="680"/>
        <item x="232"/>
        <item m="1" x="910"/>
        <item m="1" x="1109"/>
        <item x="43"/>
        <item m="1" x="972"/>
        <item m="1" x="964"/>
        <item x="228"/>
        <item m="1" x="1123"/>
        <item x="72"/>
        <item m="1" x="1110"/>
        <item x="229"/>
        <item x="44"/>
        <item x="230"/>
        <item x="169"/>
        <item x="198"/>
        <item m="1" x="314"/>
        <item x="197"/>
        <item m="1" x="472"/>
        <item x="134"/>
        <item m="1" x="284"/>
        <item x="36"/>
        <item x="132"/>
        <item m="1" x="796"/>
        <item x="233"/>
        <item m="1" x="348"/>
        <item m="1" x="305"/>
        <item m="1" x="567"/>
        <item x="187"/>
        <item x="227"/>
        <item x="249"/>
        <item x="103"/>
        <item m="1" x="403"/>
        <item m="1" x="471"/>
        <item x="121"/>
        <item x="93"/>
        <item x="89"/>
        <item x="126"/>
        <item m="1" x="604"/>
        <item x="131"/>
        <item x="246"/>
        <item x="194"/>
        <item m="1" x="473"/>
        <item x="80"/>
        <item x="147"/>
        <item x="71"/>
        <item m="1" x="1117"/>
        <item x="149"/>
        <item m="1" x="303"/>
        <item x="17"/>
        <item x="6"/>
        <item x="7"/>
        <item x="20"/>
        <item x="4"/>
        <item m="1" x="293"/>
        <item x="118"/>
        <item m="1" x="548"/>
        <item x="3"/>
        <item x="115"/>
        <item x="123"/>
        <item x="238"/>
        <item x="148"/>
        <item x="98"/>
        <item x="12"/>
        <item x="125"/>
        <item m="1" x="349"/>
        <item x="38"/>
        <item x="57"/>
        <item x="258"/>
        <item x="95"/>
        <item x="189"/>
        <item x="127"/>
        <item x="10"/>
        <item x="52"/>
        <item x="8"/>
        <item x="18"/>
        <item x="109"/>
        <item m="1" x="893"/>
        <item m="1" x="974"/>
        <item x="272"/>
        <item m="1" x="848"/>
        <item m="1" x="970"/>
        <item x="204"/>
        <item x="145"/>
        <item x="139"/>
        <item x="140"/>
        <item m="1" x="780"/>
        <item x="270"/>
        <item x="273"/>
        <item m="1" x="881"/>
        <item m="1" x="882"/>
        <item m="1" x="930"/>
        <item m="1" x="729"/>
        <item m="1" x="663"/>
        <item m="1" x="664"/>
        <item m="1" x="559"/>
        <item m="1" x="933"/>
        <item m="1" x="665"/>
        <item m="1" x="537"/>
        <item m="1" x="580"/>
        <item m="1" x="453"/>
        <item m="1" x="454"/>
        <item m="1" x="975"/>
        <item x="223"/>
        <item m="1" x="1056"/>
        <item x="164"/>
        <item m="1" x="596"/>
        <item x="150"/>
        <item m="1" x="400"/>
        <item m="1" x="1114"/>
        <item x="24"/>
        <item m="1" x="1057"/>
        <item m="1" x="679"/>
        <item x="219"/>
        <item m="1" x="741"/>
        <item m="1" x="743"/>
        <item m="1" x="467"/>
        <item m="1" x="438"/>
        <item m="1" x="576"/>
        <item m="1" x="683"/>
        <item m="1" x="709"/>
        <item m="1" x="694"/>
        <item m="1" x="695"/>
        <item m="1" x="685"/>
        <item m="1" x="701"/>
        <item m="1" x="289"/>
        <item m="1" x="352"/>
        <item m="1" x="570"/>
        <item m="1" x="688"/>
        <item m="1" x="449"/>
        <item m="1" x="478"/>
        <item m="1" x="693"/>
        <item m="1" x="712"/>
        <item m="1" x="684"/>
        <item m="1" x="463"/>
        <item m="1" x="481"/>
        <item m="1" x="640"/>
        <item m="1" x="681"/>
        <item m="1" x="370"/>
        <item m="1" x="687"/>
        <item m="1" x="583"/>
        <item m="1" x="707"/>
        <item m="1" x="628"/>
        <item m="1" x="468"/>
        <item m="1" x="368"/>
        <item m="1" x="434"/>
        <item m="1" x="705"/>
        <item m="1" x="697"/>
        <item m="1" x="502"/>
        <item m="1" x="877"/>
        <item m="1" x="876"/>
        <item m="1" x="843"/>
        <item m="1" x="844"/>
        <item x="152"/>
        <item m="1" x="872"/>
        <item m="1" x="769"/>
        <item m="1" x="878"/>
        <item x="129"/>
        <item m="1" x="775"/>
        <item m="1" x="879"/>
        <item m="1" x="849"/>
        <item m="1" x="816"/>
        <item m="1" x="820"/>
        <item m="1" x="846"/>
        <item x="122"/>
        <item m="1" x="773"/>
        <item m="1" x="815"/>
        <item m="1" x="770"/>
        <item m="1" x="873"/>
        <item x="173"/>
        <item m="1" x="870"/>
        <item x="77"/>
        <item m="1" x="776"/>
        <item x="146"/>
        <item m="1" x="845"/>
        <item x="247"/>
        <item x="130"/>
        <item x="53"/>
        <item m="1" x="1104"/>
        <item x="26"/>
        <item x="168"/>
        <item x="41"/>
        <item m="1" x="821"/>
        <item x="102"/>
        <item m="1" x="875"/>
        <item m="1" x="915"/>
        <item m="1" x="914"/>
        <item m="1" x="343"/>
        <item m="1" x="911"/>
        <item m="1" x="916"/>
        <item m="1" x="805"/>
        <item m="1" x="887"/>
        <item m="1" x="913"/>
        <item m="1" x="334"/>
        <item m="1" x="793"/>
        <item m="1" x="917"/>
        <item m="1" x="898"/>
        <item m="1" x="408"/>
        <item m="1" x="511"/>
        <item m="1" x="884"/>
        <item m="1" x="833"/>
        <item m="1" x="337"/>
        <item m="1" x="832"/>
        <item m="1" x="806"/>
        <item m="1" x="523"/>
        <item m="1" x="807"/>
        <item m="1" x="912"/>
        <item m="1" x="331"/>
        <item m="1" x="890"/>
        <item m="1" x="1043"/>
        <item m="1" x="329"/>
        <item m="1" x="407"/>
        <item m="1" x="965"/>
        <item m="1" x="1102"/>
        <item m="1" x="412"/>
        <item m="1" x="902"/>
        <item m="1" x="956"/>
        <item m="1" x="909"/>
        <item m="1" x="1090"/>
        <item m="1" x="1044"/>
        <item m="1" x="1083"/>
        <item m="1" x="885"/>
        <item m="1" x="969"/>
        <item m="1" x="966"/>
        <item m="1" x="1041"/>
        <item m="1" x="897"/>
        <item m="1" x="1018"/>
        <item m="1" x="413"/>
        <item m="1" x="908"/>
        <item m="1" x="892"/>
        <item x="27"/>
        <item x="66"/>
        <item m="1" x="726"/>
        <item m="1" x="538"/>
        <item x="85"/>
        <item m="1" x="932"/>
        <item x="203"/>
        <item m="1" x="563"/>
        <item m="1" x="934"/>
        <item m="1" x="561"/>
        <item m="1" x="730"/>
        <item m="1" x="1058"/>
        <item m="1" x="364"/>
        <item m="1" x="631"/>
        <item x="224"/>
        <item m="1" x="476"/>
        <item m="1" x="638"/>
        <item m="1" x="670"/>
        <item m="1" x="401"/>
        <item m="1" x="402"/>
        <item m="1" x="637"/>
        <item m="1" x="355"/>
        <item m="1" x="474"/>
        <item m="1" x="397"/>
        <item m="1" x="632"/>
        <item m="1" x="566"/>
        <item m="1" x="475"/>
        <item m="1" x="422"/>
        <item m="1" x="351"/>
        <item m="1" x="574"/>
        <item m="1" x="356"/>
        <item m="1" x="1001"/>
        <item m="1" x="554"/>
        <item m="1" x="371"/>
        <item m="1" x="674"/>
        <item m="1" x="479"/>
        <item m="1" x="549"/>
        <item m="1" x="489"/>
        <item x="166"/>
        <item m="1" x="358"/>
        <item m="1" x="418"/>
        <item m="1" x="661"/>
        <item m="1" x="667"/>
        <item m="1" x="669"/>
        <item m="1" x="461"/>
        <item m="1" x="608"/>
        <item m="1" x="460"/>
        <item m="1" x="494"/>
        <item m="1" x="569"/>
        <item m="1" x="634"/>
        <item m="1" x="573"/>
        <item x="167"/>
        <item m="1" x="577"/>
        <item m="1" x="999"/>
        <item m="1" x="991"/>
        <item m="1" x="995"/>
        <item m="1" x="997"/>
        <item m="1" x="992"/>
        <item m="1" x="1003"/>
        <item m="1" x="855"/>
        <item m="1" x="411"/>
        <item m="1" x="520"/>
        <item m="1" x="436"/>
        <item m="1" x="376"/>
        <item m="1" x="365"/>
        <item m="1" x="678"/>
        <item m="1" x="605"/>
        <item x="99"/>
        <item m="1" x="383"/>
        <item m="1" x="421"/>
        <item m="1" x="369"/>
        <item m="1" x="662"/>
        <item x="165"/>
        <item m="1" x="419"/>
        <item m="1" x="515"/>
        <item m="1" x="668"/>
        <item m="1" x="552"/>
        <item m="1" x="636"/>
        <item m="1" x="394"/>
        <item m="1" x="465"/>
        <item m="1" x="458"/>
        <item m="1" x="417"/>
        <item m="1" x="527"/>
        <item m="1" x="395"/>
        <item m="1" x="524"/>
        <item m="1" x="360"/>
        <item m="1" x="399"/>
        <item m="1" x="699"/>
        <item m="1" x="1006"/>
        <item m="1" x="450"/>
        <item m="1" x="560"/>
        <item x="202"/>
        <item m="1" x="409"/>
        <item m="1" x="359"/>
        <item m="1" x="470"/>
        <item m="1" x="381"/>
        <item x="192"/>
        <item x="78"/>
        <item m="1" x="526"/>
        <item m="1" x="500"/>
        <item m="1" x="415"/>
        <item m="1" x="375"/>
        <item m="1" x="469"/>
        <item x="157"/>
        <item m="1" x="575"/>
        <item m="1" x="553"/>
        <item m="1" x="414"/>
        <item m="1" x="510"/>
        <item x="79"/>
        <item m="1" x="556"/>
        <item x="23"/>
        <item x="193"/>
        <item x="222"/>
        <item m="1" x="673"/>
        <item m="1" x="571"/>
        <item m="1" x="547"/>
        <item m="1" x="457"/>
        <item m="1" x="448"/>
        <item m="1" x="521"/>
        <item x="156"/>
        <item m="1" x="501"/>
        <item m="1" x="354"/>
        <item m="1" x="565"/>
        <item m="1" x="1070"/>
        <item m="1" x="464"/>
        <item m="1" x="719"/>
        <item m="1" x="737"/>
        <item m="1" x="722"/>
        <item m="1" x="738"/>
        <item m="1" x="731"/>
        <item m="1" x="732"/>
        <item m="1" x="357"/>
        <item x="100"/>
        <item m="1" x="480"/>
        <item m="1" x="1075"/>
        <item m="1" x="734"/>
        <item m="1" x="393"/>
        <item m="1" x="1069"/>
        <item m="1" x="451"/>
        <item m="1" x="459"/>
        <item m="1" x="431"/>
        <item m="1" x="935"/>
        <item m="1" x="1063"/>
        <item m="1" x="1064"/>
        <item m="1" x="936"/>
        <item m="1" x="937"/>
        <item m="1" x="938"/>
        <item m="1" x="1065"/>
        <item m="1" x="939"/>
        <item m="1" x="1066"/>
        <item m="1" x="380"/>
        <item m="1" x="1080"/>
        <item m="1" x="733"/>
        <item m="1" x="736"/>
        <item m="1" x="590"/>
        <item m="1" x="647"/>
        <item m="1" x="648"/>
        <item m="1" x="644"/>
        <item m="1" x="645"/>
        <item m="1" x="650"/>
        <item m="1" x="643"/>
        <item m="1" x="646"/>
        <item m="1" x="642"/>
        <item m="1" x="649"/>
        <item m="1" x="804"/>
        <item m="1" x="427"/>
        <item m="1" x="516"/>
        <item m="1" x="725"/>
        <item m="1" x="727"/>
        <item m="1" x="428"/>
        <item m="1" x="718"/>
        <item m="1" x="671"/>
        <item m="1" x="568"/>
        <item m="1" x="1062"/>
        <item m="1" x="735"/>
        <item m="1" x="404"/>
        <item m="1" x="517"/>
        <item m="1" x="405"/>
        <item m="1" x="940"/>
        <item m="1" x="1072"/>
        <item m="1" x="1071"/>
        <item m="1" x="361"/>
        <item m="1" x="416"/>
        <item m="1" x="626"/>
        <item m="1" x="941"/>
        <item m="1" x="611"/>
        <item m="1" x="584"/>
        <item m="1" x="621"/>
        <item m="1" x="1081"/>
        <item m="1" x="373"/>
        <item m="1" x="717"/>
        <item m="1" x="540"/>
        <item m="1" x="1078"/>
        <item m="1" x="372"/>
        <item m="1" x="942"/>
        <item m="1" x="943"/>
        <item m="1" x="944"/>
        <item m="1" x="945"/>
        <item m="1" x="1079"/>
        <item m="1" x="946"/>
        <item m="1" x="506"/>
        <item m="1" x="623"/>
        <item m="1" x="426"/>
        <item m="1" x="484"/>
        <item m="1" x="485"/>
        <item m="1" x="483"/>
        <item m="1" x="482"/>
        <item m="1" x="1096"/>
        <item m="1" x="1094"/>
        <item m="1" x="1095"/>
        <item m="1" x="1076"/>
        <item m="1" x="1074"/>
        <item m="1" x="1093"/>
        <item m="1" x="362"/>
        <item m="1" x="392"/>
        <item m="1" x="593"/>
        <item m="1" x="385"/>
        <item m="1" x="721"/>
        <item m="1" x="723"/>
        <item m="1" x="424"/>
        <item m="1" x="437"/>
        <item m="1" x="651"/>
        <item m="1" x="1073"/>
        <item m="1" x="594"/>
        <item m="1" x="588"/>
        <item m="1" x="387"/>
        <item m="1" x="386"/>
        <item m="1" x="724"/>
        <item m="1" x="1067"/>
        <item m="1" x="529"/>
        <item m="1" x="716"/>
        <item m="1" x="582"/>
        <item m="1" x="1068"/>
        <item m="1" x="947"/>
        <item m="1" x="1077"/>
        <item m="1" x="598"/>
        <item m="1" x="599"/>
        <item m="1" x="739"/>
        <item m="1" x="600"/>
        <item m="1" x="519"/>
        <item m="1" x="508"/>
        <item m="1" x="797"/>
        <item m="1" x="666"/>
        <item m="1" x="837"/>
        <item m="1" x="539"/>
        <item m="1" x="961"/>
        <item x="269"/>
        <item m="1" x="891"/>
        <item x="266"/>
        <item x="268"/>
        <item x="267"/>
        <item m="1" x="901"/>
        <item m="1" x="973"/>
        <item x="186"/>
        <item m="1" x="801"/>
        <item m="1" x="446"/>
        <item m="1" x="800"/>
        <item m="1" x="799"/>
        <item x="274"/>
        <item m="1" x="652"/>
        <item m="1" x="782"/>
        <item m="1" x="653"/>
        <item m="1" x="654"/>
        <item m="1" x="783"/>
        <item m="1" x="921"/>
        <item m="1" x="784"/>
        <item m="1" x="655"/>
        <item m="1" x="785"/>
        <item m="1" x="656"/>
        <item x="31"/>
        <item m="1" x="927"/>
        <item x="73"/>
        <item x="92"/>
        <item m="1" x="960"/>
        <item x="91"/>
        <item m="1" x="958"/>
        <item m="1" x="871"/>
        <item x="135"/>
        <item m="1" x="745"/>
        <item x="136"/>
        <item x="137"/>
        <item x="138"/>
        <item x="248"/>
        <item m="1" x="316"/>
        <item x="253"/>
        <item x="210"/>
        <item m="1" x="835"/>
        <item x="209"/>
        <item x="212"/>
        <item m="1" x="836"/>
        <item m="1" x="977"/>
        <item m="1" x="978"/>
        <item x="211"/>
        <item m="1" x="889"/>
        <item m="1" x="1091"/>
        <item m="1" x="318"/>
        <item x="143"/>
        <item m="1" x="787"/>
        <item m="1" x="781"/>
        <item x="159"/>
        <item x="275"/>
        <item x="215"/>
        <item m="1" x="794"/>
        <item m="1" x="928"/>
        <item m="1" x="388"/>
        <item m="1" x="1049"/>
        <item m="1" x="742"/>
        <item m="1" x="976"/>
        <item m="1" x="1020"/>
        <item m="1" x="962"/>
        <item x="111"/>
        <item x="245"/>
        <item m="1" x="854"/>
        <item m="1" x="1014"/>
        <item x="261"/>
        <item x="154"/>
        <item x="199"/>
        <item x="34"/>
        <item x="25"/>
        <item x="242"/>
        <item x="97"/>
        <item x="181"/>
        <item m="1" x="296"/>
        <item x="144"/>
        <item m="1" x="757"/>
        <item m="1" x="825"/>
        <item m="1" x="826"/>
        <item x="151"/>
        <item x="124"/>
        <item x="243"/>
        <item x="177"/>
        <item m="1" x="822"/>
        <item m="1" x="824"/>
        <item m="1" x="558"/>
        <item m="1" x="610"/>
        <item x="81"/>
        <item x="67"/>
        <item x="75"/>
        <item x="35"/>
        <item x="47"/>
        <item m="1" x="861"/>
        <item m="1" x="572"/>
        <item m="1" x="1098"/>
        <item m="1" x="863"/>
        <item m="1" x="1121"/>
        <item x="37"/>
        <item x="87"/>
        <item x="86"/>
        <item m="1" x="367"/>
        <item m="1" x="817"/>
        <item m="1" x="754"/>
        <item m="1" x="864"/>
        <item m="1" x="756"/>
        <item x="33"/>
        <item x="46"/>
        <item m="1" x="860"/>
        <item x="39"/>
        <item x="172"/>
        <item x="174"/>
        <item m="1" x="759"/>
        <item x="107"/>
        <item m="1" x="764"/>
        <item m="1" x="746"/>
        <item m="1" x="477"/>
        <item m="1" x="606"/>
        <item m="1" x="865"/>
        <item m="1" x="828"/>
        <item m="1" x="840"/>
        <item m="1" x="1040"/>
        <item m="1" x="823"/>
        <item m="1" x="866"/>
        <item x="260"/>
        <item m="1" x="786"/>
        <item m="1" x="377"/>
        <item m="1" x="749"/>
        <item m="1" x="867"/>
        <item m="1" x="777"/>
        <item x="21"/>
        <item x="226"/>
        <item x="45"/>
        <item x="128"/>
        <item x="94"/>
        <item m="1" x="541"/>
        <item x="88"/>
        <item m="1" x="752"/>
        <item x="49"/>
        <item m="1" x="1082"/>
        <item m="1" x="948"/>
        <item m="1" x="751"/>
        <item x="40"/>
        <item m="1" x="859"/>
        <item m="1" x="750"/>
        <item x="28"/>
        <item x="110"/>
        <item m="1" x="753"/>
        <item x="191"/>
        <item m="1" x="758"/>
        <item x="68"/>
        <item m="1" x="747"/>
        <item m="1" x="748"/>
        <item x="240"/>
        <item x="155"/>
        <item x="160"/>
        <item x="22"/>
        <item x="259"/>
        <item x="176"/>
        <item m="1" x="755"/>
        <item m="1" x="827"/>
        <item m="1" x="1042"/>
        <item x="101"/>
        <item m="1" x="920"/>
        <item x="90"/>
        <item x="208"/>
        <item m="1" x="335"/>
        <item m="1" x="308"/>
        <item m="1" x="295"/>
        <item m="1" x="304"/>
        <item m="1" x="286"/>
        <item m="1" x="1105"/>
        <item m="1" x="967"/>
        <item m="1" x="302"/>
        <item m="1" x="333"/>
        <item m="1" x="291"/>
        <item m="1" x="363"/>
        <item m="1" x="862"/>
        <item m="1" x="1103"/>
        <item x="244"/>
        <item x="50"/>
        <item x="175"/>
        <item m="1" x="353"/>
        <item m="1" x="542"/>
        <item x="213"/>
        <item x="262"/>
        <item m="1" x="328"/>
        <item x="30"/>
        <item x="264"/>
        <item m="1" x="488"/>
        <item x="216"/>
        <item x="218"/>
        <item x="70"/>
        <item m="1" x="633"/>
        <item x="271"/>
        <item m="1" x="455"/>
        <item m="1" x="551"/>
        <item m="1" x="433"/>
        <item m="1" x="379"/>
        <item m="1" x="602"/>
        <item x="257"/>
        <item x="276"/>
        <item x="255"/>
        <item x="158"/>
        <item x="265"/>
        <item x="58"/>
        <item m="1" x="1107"/>
        <item m="1" x="1050"/>
        <item x="207"/>
        <item x="205"/>
        <item x="206"/>
        <item m="1" x="1126"/>
        <item m="1" x="808"/>
        <item m="1" x="581"/>
        <item m="1" x="720"/>
        <item x="182"/>
        <item m="1" x="323"/>
        <item m="1" x="1112"/>
        <item m="1" x="339"/>
        <item m="1" x="332"/>
        <item m="1" x="342"/>
        <item m="1" x="319"/>
        <item m="1" x="294"/>
        <item m="1" x="300"/>
        <item m="1" x="336"/>
        <item m="1" x="839"/>
        <item m="1" x="1125"/>
        <item m="1" x="307"/>
        <item m="1" x="1127"/>
        <item m="1" x="292"/>
        <item m="1" x="1113"/>
        <item m="1" x="1119"/>
        <item m="1" x="762"/>
        <item m="1" x="1122"/>
        <item m="1" x="1115"/>
        <item m="1" x="322"/>
        <item m="1" x="315"/>
        <item m="1" x="312"/>
        <item m="1" x="310"/>
        <item m="1" x="1097"/>
        <item m="1" x="790"/>
        <item m="1" x="660"/>
        <item m="1" x="301"/>
        <item m="1" x="895"/>
        <item x="32"/>
        <item m="1" x="1034"/>
        <item m="1" x="1035"/>
        <item m="1" x="1036"/>
        <item m="1" x="1129"/>
        <item m="1" x="1130"/>
        <item m="1" x="1128"/>
        <item m="1" x="1132"/>
        <item m="1" x="918"/>
        <item m="1" x="1031"/>
        <item m="1" x="1037"/>
        <item m="1" x="1118"/>
        <item m="1" x="1131"/>
        <item m="1" x="1038"/>
        <item m="1" x="1032"/>
        <item x="279"/>
        <item m="1" x="1087"/>
        <item m="1" x="1086"/>
        <item m="1" x="904"/>
        <item x="281"/>
        <item x="280"/>
        <item m="1" x="1033"/>
        <item m="1" x="1039"/>
        <item x="278"/>
        <item m="1" x="288"/>
        <item m="1" x="698"/>
        <item m="1" x="708"/>
        <item m="1" x="579"/>
        <item m="1" x="639"/>
        <item m="1" x="696"/>
        <item m="1" x="682"/>
        <item m="1" x="702"/>
        <item m="1" x="578"/>
        <item m="1" x="613"/>
        <item m="1" x="706"/>
        <item m="1" x="630"/>
        <item m="1" x="287"/>
        <item m="1" x="838"/>
        <item m="1" x="994"/>
        <item m="1" x="525"/>
        <item m="1" x="714"/>
        <item m="1" x="713"/>
        <item m="1" x="691"/>
        <item m="1" x="550"/>
        <item m="1" x="603"/>
        <item m="1" x="398"/>
        <item m="1" x="690"/>
        <item m="1" x="285"/>
        <item m="1" x="711"/>
        <item m="1" x="513"/>
        <item m="1" x="498"/>
        <item m="1" x="704"/>
        <item m="1" x="545"/>
        <item m="1" x="686"/>
        <item m="1" x="700"/>
        <item m="1" x="564"/>
        <item m="1" x="715"/>
        <item m="1" x="868"/>
        <item m="1" x="544"/>
        <item m="1" x="993"/>
        <item m="1" x="629"/>
        <item m="1" x="919"/>
        <item m="1" x="874"/>
        <item x="84"/>
        <item x="54"/>
        <item m="1" x="926"/>
        <item x="55"/>
        <item x="56"/>
        <item m="1" x="798"/>
        <item x="251"/>
        <item x="250"/>
        <item m="1" x="297"/>
        <item m="1" x="507"/>
        <item m="1" x="627"/>
        <item x="252"/>
        <item m="1" x="1055"/>
        <item m="1" x="493"/>
        <item m="1" x="346"/>
        <item m="1" x="767"/>
        <item x="1"/>
        <item x="113"/>
        <item x="254"/>
        <item x="14"/>
        <item x="5"/>
        <item x="13"/>
        <item x="16"/>
        <item x="171"/>
        <item x="15"/>
        <item x="11"/>
        <item x="2"/>
        <item x="76"/>
        <item m="1" x="853"/>
        <item x="9"/>
        <item x="19"/>
        <item m="1" x="512"/>
        <item m="1" x="774"/>
        <item m="1" x="324"/>
        <item m="1" x="350"/>
        <item m="1" x="290"/>
        <item m="1" x="497"/>
        <item m="1" x="309"/>
        <item m="1" x="341"/>
        <item m="1" x="317"/>
        <item m="1" x="325"/>
        <item m="1" x="306"/>
        <item m="1" x="326"/>
        <item m="1" x="298"/>
        <item m="1" x="366"/>
        <item m="1" x="384"/>
        <item m="1" x="601"/>
        <item m="1" x="320"/>
        <item m="1" x="344"/>
        <item m="1" x="321"/>
        <item m="1" x="340"/>
        <item m="1" x="347"/>
        <item m="1" x="299"/>
        <item m="1" x="435"/>
        <item m="1" x="338"/>
        <item m="1" x="856"/>
        <item m="1" x="1116"/>
        <item m="1" x="509"/>
        <item x="178"/>
        <item m="1" x="313"/>
        <item m="1" x="778"/>
        <item m="1" x="779"/>
        <item x="241"/>
        <item x="63"/>
        <item x="64"/>
        <item m="1" x="330"/>
        <item x="184"/>
        <item x="65"/>
        <item m="1" x="1101"/>
        <item x="69"/>
        <item m="1" x="894"/>
        <item m="1" x="311"/>
        <item x="183"/>
        <item x="214"/>
        <item m="1" x="888"/>
        <item m="1" x="957"/>
        <item x="220"/>
        <item x="59"/>
        <item x="234"/>
        <item x="196"/>
        <item x="263"/>
        <item x="60"/>
        <item m="1" x="795"/>
        <item m="1" x="672"/>
        <item m="1" x="466"/>
        <item m="1" x="949"/>
        <item m="1" x="616"/>
        <item m="1" x="597"/>
        <item m="1" x="831"/>
        <item m="1" x="1004"/>
        <item m="1" x="1000"/>
        <item m="1" x="998"/>
        <item m="1" x="1009"/>
        <item m="1" x="1026"/>
        <item m="1" x="1085"/>
        <item m="1" x="1007"/>
        <item m="1" x="1023"/>
        <item m="1" x="1025"/>
        <item m="1" x="1054"/>
        <item m="1" x="496"/>
        <item m="1" x="396"/>
        <item m="1" x="676"/>
        <item m="1" x="1017"/>
        <item m="1" x="1015"/>
        <item m="1" x="1016"/>
        <item m="1" x="950"/>
        <item m="1" x="1053"/>
        <item m="1" x="951"/>
        <item m="1" x="1092"/>
        <item m="1" x="641"/>
        <item m="1" x="677"/>
        <item m="1" x="1030"/>
        <item m="1" x="635"/>
        <item m="1" x="996"/>
        <item m="1" x="1011"/>
        <item m="1" x="1010"/>
        <item m="1" x="1013"/>
        <item m="1" x="952"/>
        <item m="1" x="1028"/>
        <item m="1" x="490"/>
        <item m="1" x="1021"/>
        <item m="1" x="1024"/>
        <item m="1" x="1012"/>
        <item m="1" x="1027"/>
        <item m="1" x="1084"/>
        <item m="1" x="1029"/>
        <item m="1" x="378"/>
        <item m="1" x="1022"/>
        <item m="1" x="953"/>
        <item m="1" x="954"/>
        <item m="1" x="1008"/>
        <item x="106"/>
        <item m="1" x="922"/>
        <item m="1" x="788"/>
        <item m="1" x="923"/>
        <item m="1" x="1019"/>
        <item m="1" x="924"/>
        <item m="1" x="959"/>
        <item x="117"/>
        <item x="116"/>
        <item m="1" x="858"/>
        <item m="1" x="789"/>
        <item x="0"/>
        <item m="1" x="811"/>
        <item x="61"/>
        <item m="1" x="968"/>
        <item m="1" x="847"/>
        <item m="1" x="850"/>
        <item m="1" x="905"/>
        <item m="1" x="1089"/>
        <item m="1" x="813"/>
        <item x="29"/>
        <item m="1" x="834"/>
        <item m="1" x="1099"/>
        <item x="188"/>
        <item m="1" x="963"/>
        <item m="1" x="814"/>
        <item m="1" x="1088"/>
        <item x="83"/>
        <item m="1" x="819"/>
        <item m="1" x="765"/>
        <item m="1" x="955"/>
        <item m="1" x="1059"/>
        <item x="221"/>
        <item m="1" x="1046"/>
        <item x="170"/>
        <item m="1" x="896"/>
        <item m="1" x="931"/>
        <item x="82"/>
        <item m="1" x="345"/>
        <item x="62"/>
        <item m="1" x="907"/>
        <item x="195"/>
        <item m="1" x="327"/>
        <item m="1" x="906"/>
        <item m="1" x="1061"/>
        <item m="1" x="1045"/>
        <item x="239"/>
        <item m="1" x="791"/>
        <item m="1" x="760"/>
        <item m="1" x="851"/>
        <item m="1" x="1106"/>
        <item x="51"/>
        <item m="1" x="792"/>
        <item m="1" x="971"/>
        <item m="1" x="1100"/>
        <item m="1" x="852"/>
        <item m="1" x="728"/>
        <item x="163"/>
        <item m="1" x="903"/>
        <item x="119"/>
        <item x="114"/>
        <item x="141"/>
        <item x="200"/>
        <item m="1" x="899"/>
        <item x="142"/>
        <item x="120"/>
        <item m="1" x="900"/>
        <item x="217"/>
        <item m="1" x="771"/>
        <item m="1" x="883"/>
        <item m="1" x="1048"/>
        <item m="1" x="1047"/>
        <item m="1" x="841"/>
        <item x="133"/>
        <item m="1" x="929"/>
        <item m="1" x="410"/>
        <item x="277"/>
        <item x="185"/>
        <item m="1" x="546"/>
        <item m="1" x="1002"/>
        <item m="1" x="557"/>
        <item m="1" x="456"/>
        <item m="1" x="857"/>
        <item m="1" x="447"/>
        <item m="1" x="486"/>
        <item m="1" x="374"/>
        <item m="1" x="703"/>
        <item m="1" x="710"/>
        <item m="1" x="382"/>
        <item m="1" x="607"/>
        <item m="1" x="555"/>
        <item m="1" x="495"/>
        <item m="1" x="283"/>
        <item m="1" x="692"/>
        <item m="1" x="614"/>
        <item m="1" x="514"/>
        <item m="1" x="615"/>
        <item m="1" x="499"/>
        <item m="1" x="829"/>
        <item m="1" x="492"/>
        <item m="1" x="543"/>
        <item m="1" x="452"/>
        <item m="1" x="689"/>
        <item m="1" x="462"/>
        <item m="1" x="812"/>
        <item x="225"/>
        <item m="1" x="768"/>
        <item x="201"/>
        <item x="105"/>
        <item x="104"/>
        <item m="1" x="818"/>
        <item x="108"/>
        <item m="1" x="766"/>
        <item m="1" x="1120"/>
        <item x="179"/>
        <item x="180"/>
        <item x="74"/>
        <item m="1" x="772"/>
        <item x="96"/>
        <item m="1" x="842"/>
        <item x="235"/>
        <item m="1" x="657"/>
        <item m="1" x="1108"/>
        <item m="1" x="1111"/>
        <item m="1" x="658"/>
        <item x="236"/>
        <item m="1" x="659"/>
        <item m="1" x="886"/>
        <item x="237"/>
        <item m="1" x="1060"/>
        <item m="1" x="389"/>
        <item m="1" x="595"/>
        <item m="1" x="487"/>
        <item m="1" x="406"/>
        <item m="1" x="609"/>
        <item m="1" x="803"/>
        <item m="1" x="802"/>
        <item m="1" x="675"/>
        <item m="1" x="491"/>
        <item m="1" x="983"/>
        <item m="1" x="985"/>
        <item m="1" x="1005"/>
        <item m="1" x="420"/>
        <item m="1" x="432"/>
        <item m="1" x="980"/>
        <item m="1" x="989"/>
        <item m="1" x="522"/>
        <item m="1" x="981"/>
        <item m="1" x="1052"/>
        <item m="1" x="987"/>
        <item m="1" x="744"/>
        <item m="1" x="979"/>
        <item m="1" x="986"/>
        <item m="1" x="990"/>
        <item m="1" x="988"/>
        <item m="1" x="1051"/>
        <item m="1" x="984"/>
        <item m="1" x="982"/>
        <item m="1" x="809"/>
        <item m="1" x="830"/>
        <item m="1" x="740"/>
        <item m="1" x="1124"/>
        <item m="1" x="761"/>
        <item m="1" x="763"/>
        <item m="1" x="425"/>
        <item m="1" x="429"/>
        <item m="1" x="430"/>
        <item m="1" x="503"/>
        <item m="1" x="504"/>
        <item m="1" x="505"/>
        <item m="1" x="518"/>
        <item m="1" x="533"/>
        <item m="1" x="534"/>
        <item m="1" x="585"/>
        <item m="1" x="586"/>
        <item m="1" x="589"/>
        <item m="1" x="622"/>
        <item m="1" x="624"/>
        <item m="1" x="625"/>
        <item m="1" x="591"/>
        <item m="1" x="592"/>
        <item m="1" x="390"/>
        <item m="1" x="391"/>
        <item m="1" x="423"/>
        <item m="1" x="439"/>
        <item m="1" x="440"/>
        <item m="1" x="441"/>
        <item m="1" x="442"/>
        <item m="1" x="443"/>
        <item m="1" x="444"/>
        <item m="1" x="445"/>
        <item m="1" x="528"/>
        <item m="1" x="530"/>
        <item m="1" x="531"/>
        <item m="1" x="532"/>
        <item m="1" x="535"/>
        <item m="1" x="536"/>
        <item m="1" x="562"/>
        <item m="1" x="587"/>
        <item m="1" x="617"/>
        <item m="1" x="618"/>
        <item m="1" x="619"/>
        <item m="1" x="620"/>
        <item x="48"/>
        <item x="190"/>
        <item m="1" x="6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>
      <items count="24">
        <item x="1"/>
        <item m="1" x="18"/>
        <item m="1" x="20"/>
        <item x="4"/>
        <item x="3"/>
        <item m="1" x="14"/>
        <item m="1" x="15"/>
        <item m="1" x="21"/>
        <item m="1" x="22"/>
        <item x="2"/>
        <item x="6"/>
        <item m="1" x="13"/>
        <item x="10"/>
        <item x="7"/>
        <item x="8"/>
        <item m="1" x="16"/>
        <item x="0"/>
        <item x="5"/>
        <item m="1" x="12"/>
        <item x="9"/>
        <item m="1" x="17"/>
        <item x="11"/>
        <item m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60">
        <item x="19"/>
        <item x="12"/>
        <item x="10"/>
        <item x="2"/>
        <item x="11"/>
        <item x="13"/>
        <item x="34"/>
        <item m="1" x="46"/>
        <item x="33"/>
        <item m="1" x="53"/>
        <item m="1" x="50"/>
        <item x="5"/>
        <item m="1" x="41"/>
        <item m="1" x="42"/>
        <item m="1" x="43"/>
        <item x="23"/>
        <item m="1" x="55"/>
        <item x="32"/>
        <item x="25"/>
        <item x="35"/>
        <item m="1" x="54"/>
        <item m="1" x="38"/>
        <item x="8"/>
        <item x="17"/>
        <item x="22"/>
        <item x="24"/>
        <item m="1" x="57"/>
        <item x="27"/>
        <item m="1" x="48"/>
        <item m="1" x="56"/>
        <item x="3"/>
        <item x="7"/>
        <item m="1" x="58"/>
        <item x="26"/>
        <item x="36"/>
        <item x="37"/>
        <item x="9"/>
        <item m="1" x="40"/>
        <item m="1" x="49"/>
        <item x="30"/>
        <item x="31"/>
        <item x="1"/>
        <item m="1" x="47"/>
        <item x="15"/>
        <item x="28"/>
        <item x="14"/>
        <item m="1" x="44"/>
        <item m="1" x="52"/>
        <item x="18"/>
        <item x="21"/>
        <item x="0"/>
        <item x="6"/>
        <item x="20"/>
        <item m="1" x="51"/>
        <item x="4"/>
        <item x="16"/>
        <item x="29"/>
        <item m="1" x="39"/>
        <item m="1" x="4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00">
        <item x="43"/>
        <item m="1" x="62"/>
        <item x="45"/>
        <item x="51"/>
        <item x="44"/>
        <item x="36"/>
        <item x="3"/>
        <item x="13"/>
        <item x="0"/>
        <item x="1"/>
        <item x="21"/>
        <item x="34"/>
        <item x="38"/>
        <item m="1" x="60"/>
        <item m="1" x="70"/>
        <item x="4"/>
        <item x="31"/>
        <item x="53"/>
        <item x="56"/>
        <item m="1" x="66"/>
        <item x="7"/>
        <item m="1" x="94"/>
        <item m="1" x="78"/>
        <item x="11"/>
        <item x="35"/>
        <item x="20"/>
        <item m="1" x="88"/>
        <item x="37"/>
        <item x="58"/>
        <item m="1" x="80"/>
        <item m="1" x="76"/>
        <item x="23"/>
        <item x="15"/>
        <item m="1" x="90"/>
        <item x="59"/>
        <item x="30"/>
        <item x="55"/>
        <item x="50"/>
        <item x="39"/>
        <item m="1" x="68"/>
        <item x="12"/>
        <item x="27"/>
        <item x="16"/>
        <item x="47"/>
        <item m="1" x="98"/>
        <item m="1" x="71"/>
        <item m="1" x="64"/>
        <item m="1" x="85"/>
        <item m="1" x="82"/>
        <item x="8"/>
        <item m="1" x="83"/>
        <item m="1" x="87"/>
        <item x="2"/>
        <item m="1" x="93"/>
        <item x="25"/>
        <item x="32"/>
        <item x="29"/>
        <item m="1" x="89"/>
        <item x="57"/>
        <item m="1" x="77"/>
        <item x="46"/>
        <item x="14"/>
        <item x="5"/>
        <item x="54"/>
        <item x="52"/>
        <item x="26"/>
        <item m="1" x="73"/>
        <item m="1" x="69"/>
        <item m="1" x="65"/>
        <item x="24"/>
        <item x="17"/>
        <item m="1" x="61"/>
        <item x="42"/>
        <item m="1" x="74"/>
        <item x="18"/>
        <item m="1" x="86"/>
        <item x="48"/>
        <item m="1" x="91"/>
        <item x="19"/>
        <item x="10"/>
        <item m="1" x="63"/>
        <item m="1" x="72"/>
        <item m="1" x="84"/>
        <item m="1" x="79"/>
        <item x="41"/>
        <item m="1" x="75"/>
        <item x="6"/>
        <item x="33"/>
        <item m="1" x="67"/>
        <item m="1" x="81"/>
        <item m="1" x="92"/>
        <item x="40"/>
        <item m="1" x="97"/>
        <item x="9"/>
        <item m="1" x="96"/>
        <item x="28"/>
        <item x="49"/>
        <item x="22"/>
        <item m="1" x="9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3">
        <item x="2"/>
        <item x="0"/>
        <item m="1" x="20"/>
        <item x="6"/>
        <item m="1" x="18"/>
        <item x="3"/>
        <item m="1" x="11"/>
        <item m="1" x="13"/>
        <item m="1" x="14"/>
        <item m="1" x="19"/>
        <item m="1" x="15"/>
        <item x="5"/>
        <item m="1" x="17"/>
        <item x="4"/>
        <item m="1" x="9"/>
        <item m="1" x="10"/>
        <item x="1"/>
        <item x="8"/>
        <item m="1" x="16"/>
        <item m="1" x="12"/>
        <item x="7"/>
        <item m="1" x="2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51">
        <item m="1" x="121"/>
        <item m="1" x="104"/>
        <item m="1" x="109"/>
        <item m="1" x="30"/>
        <item x="10"/>
        <item x="18"/>
        <item x="17"/>
        <item m="1" x="42"/>
        <item m="1" x="29"/>
        <item m="1" x="41"/>
        <item m="1" x="47"/>
        <item m="1" x="92"/>
        <item m="1" x="65"/>
        <item m="1" x="125"/>
        <item m="1" x="105"/>
        <item m="1" x="26"/>
        <item m="1" x="21"/>
        <item m="1" x="33"/>
        <item x="16"/>
        <item m="1" x="135"/>
        <item m="1" x="82"/>
        <item m="1" x="51"/>
        <item m="1" x="83"/>
        <item m="1" x="136"/>
        <item m="1" x="128"/>
        <item m="1" x="22"/>
        <item m="1" x="76"/>
        <item m="1" x="66"/>
        <item x="15"/>
        <item x="6"/>
        <item m="1" x="48"/>
        <item m="1" x="91"/>
        <item m="1" x="103"/>
        <item x="8"/>
        <item m="1" x="62"/>
        <item m="1" x="74"/>
        <item m="1" x="52"/>
        <item m="1" x="44"/>
        <item m="1" x="102"/>
        <item m="1" x="117"/>
        <item x="0"/>
        <item m="1" x="39"/>
        <item m="1" x="138"/>
        <item m="1" x="145"/>
        <item m="1" x="140"/>
        <item m="1" x="77"/>
        <item m="1" x="131"/>
        <item x="2"/>
        <item x="12"/>
        <item m="1" x="85"/>
        <item m="1" x="99"/>
        <item m="1" x="50"/>
        <item m="1" x="86"/>
        <item m="1" x="114"/>
        <item m="1" x="79"/>
        <item m="1" x="87"/>
        <item m="1" x="139"/>
        <item x="9"/>
        <item m="1" x="55"/>
        <item m="1" x="93"/>
        <item m="1" x="73"/>
        <item m="1" x="98"/>
        <item m="1" x="46"/>
        <item m="1" x="37"/>
        <item m="1" x="23"/>
        <item m="1" x="80"/>
        <item m="1" x="88"/>
        <item m="1" x="118"/>
        <item m="1" x="100"/>
        <item x="4"/>
        <item m="1" x="148"/>
        <item m="1" x="113"/>
        <item m="1" x="115"/>
        <item x="11"/>
        <item m="1" x="40"/>
        <item m="1" x="120"/>
        <item m="1" x="43"/>
        <item m="1" x="111"/>
        <item m="1" x="54"/>
        <item m="1" x="28"/>
        <item m="1" x="24"/>
        <item x="1"/>
        <item x="5"/>
        <item m="1" x="45"/>
        <item m="1" x="35"/>
        <item m="1" x="31"/>
        <item m="1" x="137"/>
        <item m="1" x="95"/>
        <item x="14"/>
        <item m="1" x="67"/>
        <item m="1" x="106"/>
        <item m="1" x="59"/>
        <item x="20"/>
        <item m="1" x="101"/>
        <item m="1" x="53"/>
        <item m="1" x="58"/>
        <item m="1" x="127"/>
        <item m="1" x="75"/>
        <item m="1" x="49"/>
        <item m="1" x="38"/>
        <item m="1" x="149"/>
        <item m="1" x="81"/>
        <item m="1" x="27"/>
        <item x="13"/>
        <item m="1" x="130"/>
        <item m="1" x="25"/>
        <item m="1" x="36"/>
        <item m="1" x="123"/>
        <item m="1" x="107"/>
        <item m="1" x="32"/>
        <item m="1" x="56"/>
        <item m="1" x="90"/>
        <item m="1" x="61"/>
        <item m="1" x="78"/>
        <item x="19"/>
        <item m="1" x="142"/>
        <item m="1" x="141"/>
        <item m="1" x="143"/>
        <item m="1" x="64"/>
        <item m="1" x="124"/>
        <item m="1" x="68"/>
        <item m="1" x="133"/>
        <item m="1" x="126"/>
        <item m="1" x="63"/>
        <item m="1" x="72"/>
        <item m="1" x="94"/>
        <item m="1" x="97"/>
        <item m="1" x="144"/>
        <item m="1" x="112"/>
        <item m="1" x="116"/>
        <item m="1" x="96"/>
        <item m="1" x="134"/>
        <item m="1" x="57"/>
        <item m="1" x="70"/>
        <item m="1" x="146"/>
        <item m="1" x="119"/>
        <item m="1" x="147"/>
        <item m="1" x="69"/>
        <item m="1" x="60"/>
        <item m="1" x="129"/>
        <item m="1" x="71"/>
        <item m="1" x="34"/>
        <item m="1" x="132"/>
        <item m="1" x="89"/>
        <item m="1" x="84"/>
        <item x="7"/>
        <item m="1" x="108"/>
        <item m="1" x="110"/>
        <item x="3"/>
        <item m="1" x="12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59">
        <item m="1" x="49"/>
        <item m="1" x="14"/>
        <item x="5"/>
        <item m="1" x="56"/>
        <item m="1" x="8"/>
        <item m="1" x="17"/>
        <item m="1" x="33"/>
        <item m="1" x="42"/>
        <item x="2"/>
        <item m="1" x="52"/>
        <item m="1" x="21"/>
        <item m="1" x="9"/>
        <item m="1" x="34"/>
        <item x="0"/>
        <item m="1" x="54"/>
        <item m="1" x="11"/>
        <item x="4"/>
        <item m="1" x="35"/>
        <item m="1" x="28"/>
        <item m="1" x="23"/>
        <item m="1" x="38"/>
        <item m="1" x="37"/>
        <item m="1" x="40"/>
        <item x="1"/>
        <item m="1" x="41"/>
        <item m="1" x="27"/>
        <item x="7"/>
        <item m="1" x="19"/>
        <item m="1" x="10"/>
        <item m="1" x="20"/>
        <item m="1" x="24"/>
        <item m="1" x="53"/>
        <item m="1" x="13"/>
        <item m="1" x="22"/>
        <item m="1" x="16"/>
        <item m="1" x="26"/>
        <item m="1" x="39"/>
        <item m="1" x="48"/>
        <item x="3"/>
        <item m="1" x="51"/>
        <item m="1" x="18"/>
        <item m="1" x="15"/>
        <item m="1" x="12"/>
        <item m="1" x="44"/>
        <item m="1" x="55"/>
        <item m="1" x="31"/>
        <item m="1" x="29"/>
        <item m="1" x="57"/>
        <item m="1" x="45"/>
        <item m="1" x="30"/>
        <item m="1" x="47"/>
        <item m="1" x="36"/>
        <item m="1" x="25"/>
        <item m="1" x="46"/>
        <item m="1" x="43"/>
        <item m="1" x="32"/>
        <item x="6"/>
        <item m="1" x="5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1"/>
    <field x="9"/>
  </rowFields>
  <rowItems count="284">
    <i>
      <x/>
      <x v="86"/>
    </i>
    <i r="1">
      <x v="61"/>
    </i>
    <i r="1">
      <x v="63"/>
    </i>
    <i r="1">
      <x v="62"/>
    </i>
    <i r="1">
      <x v="65"/>
    </i>
    <i r="1">
      <x v="87"/>
    </i>
    <i r="1">
      <x v="64"/>
    </i>
    <i r="1">
      <x v="67"/>
    </i>
    <i r="1">
      <x v="84"/>
    </i>
    <i r="1">
      <x v="69"/>
    </i>
    <i r="1">
      <x v="55"/>
    </i>
    <i r="1">
      <x v="59"/>
    </i>
    <i r="1">
      <x v="817"/>
    </i>
    <i r="1">
      <x v="812"/>
    </i>
    <i r="1">
      <x v="76"/>
    </i>
    <i r="1">
      <x v="85"/>
    </i>
    <i r="1">
      <x v="88"/>
    </i>
    <i r="1">
      <x v="29"/>
    </i>
    <i r="1">
      <x v="815"/>
    </i>
    <i r="1">
      <x v="825"/>
    </i>
    <i r="1">
      <x v="818"/>
    </i>
    <i r="1">
      <x v="74"/>
    </i>
    <i r="1">
      <x v="822"/>
    </i>
    <i r="1">
      <x v="36"/>
    </i>
    <i r="1">
      <x v="47"/>
    </i>
    <i r="1">
      <x v="813"/>
    </i>
    <i r="1">
      <x v="31"/>
    </i>
    <i r="1">
      <x v="48"/>
    </i>
    <i r="1">
      <x v="33"/>
    </i>
    <i r="1">
      <x v="46"/>
    </i>
    <i r="1">
      <x v="34"/>
    </i>
    <i r="1">
      <x v="57"/>
    </i>
    <i r="1">
      <x v="26"/>
    </i>
    <i r="1">
      <x v="819"/>
    </i>
    <i r="1">
      <x v="821"/>
    </i>
    <i r="1">
      <x v="53"/>
    </i>
    <i r="1">
      <x v="43"/>
    </i>
    <i r="1">
      <x v="40"/>
    </i>
    <i r="1">
      <x v="49"/>
    </i>
    <i r="1">
      <x v="56"/>
    </i>
    <i r="1">
      <x v="41"/>
    </i>
    <i r="1">
      <x v="814"/>
    </i>
    <i r="1">
      <x v="73"/>
    </i>
    <i r="1">
      <x v="816"/>
    </i>
    <i r="1">
      <x v="51"/>
    </i>
    <i r="1">
      <x v="27"/>
    </i>
    <i r="1">
      <x v="75"/>
    </i>
    <i r="1">
      <x v="820"/>
    </i>
    <i r="1">
      <x v="52"/>
    </i>
    <i r="1">
      <x v="42"/>
    </i>
    <i r="1">
      <x v="823"/>
    </i>
    <i r="1">
      <x v="70"/>
    </i>
    <i r="1">
      <x v="826"/>
    </i>
    <i r="1">
      <x v="71"/>
    </i>
    <i r="1">
      <x v="72"/>
    </i>
    <i t="default">
      <x/>
    </i>
    <i>
      <x v="9"/>
      <x v="587"/>
    </i>
    <i r="1">
      <x v="627"/>
    </i>
    <i r="1">
      <x v="558"/>
    </i>
    <i r="1">
      <x v="572"/>
    </i>
    <i r="1">
      <x v="560"/>
    </i>
    <i r="1">
      <x v="580"/>
    </i>
    <i r="1">
      <x v="634"/>
    </i>
    <i r="1">
      <x v="622"/>
    </i>
    <i r="1">
      <x v="602"/>
    </i>
    <i r="1">
      <x v="577"/>
    </i>
    <i r="1">
      <x v="570"/>
    </i>
    <i r="1">
      <x v="578"/>
    </i>
    <i r="1">
      <x v="600"/>
    </i>
    <i r="1">
      <x v="579"/>
    </i>
    <i r="1">
      <x v="619"/>
    </i>
    <i r="1">
      <x v="635"/>
    </i>
    <i r="1">
      <x v="623"/>
    </i>
    <i r="1">
      <x v="562"/>
    </i>
    <i r="1">
      <x v="631"/>
    </i>
    <i r="1">
      <x v="598"/>
    </i>
    <i r="1">
      <x v="557"/>
    </i>
    <i r="1">
      <x v="552"/>
    </i>
    <i r="1">
      <x v="595"/>
    </i>
    <i r="1">
      <x v="643"/>
    </i>
    <i r="1">
      <x v="654"/>
    </i>
    <i r="1">
      <x v="651"/>
    </i>
    <i r="1">
      <x v="561"/>
    </i>
    <i r="1">
      <x v="639"/>
    </i>
    <i r="1">
      <x v="556"/>
    </i>
    <i r="1">
      <x v="646"/>
    </i>
    <i r="1">
      <x v="613"/>
    </i>
    <i r="1">
      <x v="553"/>
    </i>
    <i r="1">
      <x v="563"/>
    </i>
    <i r="1">
      <x v="571"/>
    </i>
    <i r="1">
      <x v="620"/>
    </i>
    <i r="1">
      <x v="642"/>
    </i>
    <i r="1">
      <x v="569"/>
    </i>
    <i r="1">
      <x v="645"/>
    </i>
    <i r="1">
      <x v="559"/>
    </i>
    <i r="1">
      <x v="647"/>
    </i>
    <i r="1">
      <x v="625"/>
    </i>
    <i r="1">
      <x v="653"/>
    </i>
    <i r="1">
      <x v="588"/>
    </i>
    <i r="1">
      <x v="589"/>
    </i>
    <i r="1">
      <x v="599"/>
    </i>
    <i r="1">
      <x v="644"/>
    </i>
    <i r="1">
      <x v="1131"/>
    </i>
    <i r="1">
      <x v="637"/>
    </i>
    <i r="1">
      <x v="565"/>
    </i>
    <i r="1">
      <x v="596"/>
    </i>
    <i r="1">
      <x v="1130"/>
    </i>
    <i r="1">
      <x v="621"/>
    </i>
    <i r="1">
      <x v="581"/>
    </i>
    <i t="default">
      <x v="9"/>
    </i>
    <i>
      <x v="14"/>
      <x v="78"/>
    </i>
    <i r="1">
      <x v="79"/>
    </i>
    <i r="1">
      <x v="875"/>
    </i>
    <i r="1">
      <x v="524"/>
    </i>
    <i r="1">
      <x v="81"/>
    </i>
    <i r="1">
      <x v="82"/>
    </i>
    <i r="1">
      <x v="874"/>
    </i>
    <i r="1">
      <x v="807"/>
    </i>
    <i r="1">
      <x v="80"/>
    </i>
    <i r="1">
      <x v="876"/>
    </i>
    <i r="1">
      <x v="83"/>
    </i>
    <i r="1">
      <x v="529"/>
    </i>
    <i r="1">
      <x v="526"/>
    </i>
    <i r="1">
      <x v="527"/>
    </i>
    <i r="1">
      <x v="538"/>
    </i>
    <i r="1">
      <x v="99"/>
    </i>
    <i r="1">
      <x v="877"/>
    </i>
    <i r="1">
      <x v="534"/>
    </i>
    <i r="1">
      <x v="873"/>
    </i>
    <i r="1">
      <x v="541"/>
    </i>
    <i r="1">
      <x v="530"/>
    </i>
    <i t="default">
      <x v="14"/>
    </i>
    <i>
      <x v="19"/>
      <x v="858"/>
    </i>
    <i r="1">
      <x v="868"/>
    </i>
    <i r="1">
      <x v="1032"/>
    </i>
    <i r="1">
      <x v="1045"/>
    </i>
    <i r="1">
      <x v="987"/>
    </i>
    <i r="1">
      <x v="865"/>
    </i>
    <i r="1">
      <x v="994"/>
    </i>
    <i r="1">
      <x v="1038"/>
    </i>
    <i r="1">
      <x v="862"/>
    </i>
    <i r="1">
      <x v="869"/>
    </i>
    <i r="1">
      <x v="1043"/>
    </i>
    <i r="1">
      <x v="1036"/>
    </i>
    <i r="1">
      <x v="1041"/>
    </i>
    <i r="1">
      <x v="1034"/>
    </i>
    <i r="1">
      <x v="992"/>
    </i>
    <i r="1">
      <x v="986"/>
    </i>
    <i r="1">
      <x v="859"/>
    </i>
    <i r="1">
      <x v="991"/>
    </i>
    <i r="1">
      <x v="1042"/>
    </i>
    <i r="1">
      <x v="988"/>
    </i>
    <i r="1">
      <x v="704"/>
    </i>
    <i r="1">
      <x v="989"/>
    </i>
    <i r="1">
      <x v="860"/>
    </i>
    <i r="1">
      <x v="1035"/>
    </i>
    <i r="1">
      <x v="863"/>
    </i>
    <i t="default">
      <x v="19"/>
    </i>
    <i>
      <x v="10"/>
      <x v="689"/>
    </i>
    <i r="1">
      <x v="691"/>
    </i>
    <i r="1">
      <x v="680"/>
    </i>
    <i r="1">
      <x v="683"/>
    </i>
    <i r="1">
      <x v="693"/>
    </i>
    <i r="1">
      <x v="670"/>
    </i>
    <i r="1">
      <x v="674"/>
    </i>
    <i r="1">
      <x v="694"/>
    </i>
    <i r="1">
      <x v="676"/>
    </i>
    <i r="1">
      <x v="669"/>
    </i>
    <i r="1">
      <x v="677"/>
    </i>
    <i r="1">
      <x v="692"/>
    </i>
    <i r="1">
      <x v="679"/>
    </i>
    <i r="1">
      <x v="668"/>
    </i>
    <i r="1">
      <x v="673"/>
    </i>
    <i r="1">
      <x v="690"/>
    </i>
    <i r="1">
      <x v="681"/>
    </i>
    <i t="default">
      <x v="10"/>
    </i>
    <i>
      <x v="3"/>
      <x v="169"/>
    </i>
    <i r="1">
      <x v="195"/>
    </i>
    <i r="1">
      <x v="193"/>
    </i>
    <i r="1">
      <x v="187"/>
    </i>
    <i r="1">
      <x v="189"/>
    </i>
    <i r="1">
      <x v="165"/>
    </i>
    <i r="1">
      <x v="192"/>
    </i>
    <i r="1">
      <x v="181"/>
    </i>
    <i r="1">
      <x v="176"/>
    </i>
    <i r="1">
      <x v="183"/>
    </i>
    <i r="1">
      <x v="243"/>
    </i>
    <i r="1">
      <x v="185"/>
    </i>
    <i r="1">
      <x v="188"/>
    </i>
    <i r="1">
      <x v="191"/>
    </i>
    <i r="1">
      <x v="242"/>
    </i>
    <i t="default">
      <x v="3"/>
    </i>
    <i>
      <x v="4"/>
      <x v="495"/>
    </i>
    <i r="1">
      <x v="1004"/>
    </i>
    <i r="1">
      <x v="1000"/>
    </i>
    <i r="1">
      <x v="95"/>
    </i>
    <i r="1">
      <x v="119"/>
    </i>
    <i r="1">
      <x v="984"/>
    </i>
    <i r="1">
      <x v="339"/>
    </i>
    <i r="1">
      <x v="280"/>
    </i>
    <i r="1">
      <x v="352"/>
    </i>
    <i r="1">
      <x v="246"/>
    </i>
    <i r="1">
      <x v="338"/>
    </i>
    <i r="1">
      <x v="309"/>
    </i>
    <i r="1">
      <x v="256"/>
    </i>
    <i r="1">
      <x v="361"/>
    </i>
    <i r="1">
      <x v="345"/>
    </i>
    <i r="1">
      <x v="248"/>
    </i>
    <i r="1">
      <x v="314"/>
    </i>
    <i r="1">
      <x v="94"/>
    </i>
    <i r="1">
      <x v="115"/>
    </i>
    <i r="1">
      <x v="117"/>
    </i>
    <i r="1">
      <x v="122"/>
    </i>
    <i r="1">
      <x v="353"/>
    </i>
    <i r="1">
      <x v="796"/>
    </i>
    <i r="1">
      <x v="354"/>
    </i>
    <i r="1">
      <x v="350"/>
    </i>
    <i r="1">
      <x v="293"/>
    </i>
    <i r="1">
      <x v="374"/>
    </i>
    <i r="1">
      <x v="333"/>
    </i>
    <i t="default">
      <x v="4"/>
    </i>
    <i>
      <x v="17"/>
      <x v="968"/>
    </i>
    <i r="1">
      <x v="964"/>
    </i>
    <i r="1">
      <x v="950"/>
    </i>
    <i r="1">
      <x v="973"/>
    </i>
    <i r="1">
      <x v="947"/>
    </i>
    <i r="1">
      <x v="959"/>
    </i>
    <i r="1">
      <x v="978"/>
    </i>
    <i r="1">
      <x v="954"/>
    </i>
    <i r="1">
      <x v="961"/>
    </i>
    <i r="1">
      <x v="940"/>
    </i>
    <i r="1">
      <x v="966"/>
    </i>
    <i t="default">
      <x v="17"/>
    </i>
    <i>
      <x v="13"/>
      <x v="543"/>
    </i>
    <i r="1">
      <x v="96"/>
    </i>
    <i r="1">
      <x v="733"/>
    </i>
    <i r="1">
      <x v="11"/>
    </i>
    <i r="1">
      <x v="513"/>
    </i>
    <i r="1">
      <x v="13"/>
    </i>
    <i r="1">
      <x v="872"/>
    </i>
    <i r="1">
      <x v="21"/>
    </i>
    <i r="1">
      <x v="125"/>
    </i>
    <i r="1">
      <x v="800"/>
    </i>
    <i r="1">
      <x v="1055"/>
    </i>
    <i r="1">
      <x v="1047"/>
    </i>
    <i r="1">
      <x v="9"/>
    </i>
    <i r="1">
      <x v="799"/>
    </i>
    <i r="1">
      <x v="16"/>
    </i>
    <i r="1">
      <x v="25"/>
    </i>
    <i r="1">
      <x v="23"/>
    </i>
    <i r="1">
      <x v="1052"/>
    </i>
    <i r="1">
      <x v="19"/>
    </i>
    <i r="1">
      <x v="797"/>
    </i>
    <i r="1">
      <x v="24"/>
    </i>
    <i r="1">
      <x v="511"/>
    </i>
    <i r="1">
      <x v="97"/>
    </i>
    <i t="default">
      <x v="13"/>
    </i>
    <i>
      <x v="12"/>
      <x v="854"/>
    </i>
    <i r="1">
      <x v="5"/>
    </i>
    <i r="1">
      <x v="3"/>
    </i>
    <i r="1">
      <x v="8"/>
    </i>
    <i r="1">
      <x v="934"/>
    </i>
    <i r="1">
      <x v="802"/>
    </i>
    <i r="1">
      <x v="2"/>
    </i>
    <i r="1">
      <x v="4"/>
    </i>
    <i r="1">
      <x v="803"/>
    </i>
    <i r="1">
      <x v="516"/>
    </i>
    <i r="1">
      <x v="514"/>
    </i>
    <i r="1">
      <x v="935"/>
    </i>
    <i r="1">
      <x v="697"/>
    </i>
    <i r="1">
      <x v="698"/>
    </i>
    <i r="1">
      <x v="699"/>
    </i>
    <i r="1">
      <x v="523"/>
    </i>
    <i r="1">
      <x v="519"/>
    </i>
    <i r="1">
      <x v="521"/>
    </i>
    <i r="1">
      <x v="522"/>
    </i>
    <i t="default">
      <x v="12"/>
    </i>
    <i>
      <x v="21"/>
      <x v="490"/>
    </i>
    <i r="1">
      <x v="927"/>
    </i>
    <i r="1">
      <x v="492"/>
    </i>
    <i r="1">
      <x v="488"/>
    </i>
    <i r="1">
      <x v="491"/>
    </i>
    <i t="default">
      <x v="21"/>
    </i>
    <i t="grand">
      <x/>
    </i>
  </rowItems>
  <colItems count="1">
    <i/>
  </colItems>
  <dataFields count="1">
    <dataField name=" CUPOS" fld="22" baseField="0" baseItem="0" numFmtId="2"/>
  </dataFields>
  <formats count="4">
    <format dxfId="467">
      <pivotArea outline="0" fieldPosition="0">
        <references count="1">
          <reference field="11" count="0" selected="0" defaultSubtotal="1"/>
        </references>
      </pivotArea>
    </format>
    <format dxfId="466">
      <pivotArea outline="0" collapsedLevelsAreSubtotals="1" fieldPosition="0"/>
    </format>
    <format dxfId="465">
      <pivotArea outline="0" collapsedLevelsAreSubtotals="1" fieldPosition="0"/>
    </format>
    <format dxfId="464">
      <pivotArea dataOnly="0" labelOnly="1" outline="0" axis="axisValues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0B616-BC01-4358-8DAF-415004DF358E}" name="TablaDinámica1" cacheId="194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F17:L21" firstHeaderRow="1" firstDataRow="1" firstDataCol="6" rowPageCount="3" colPageCount="1"/>
  <pivotFields count="37">
    <pivotField axis="axisPage" compact="0" outline="0" multipleItemSelectionAllowed="1" showAll="0" defaultSubtotal="0">
      <items count="3">
        <item h="1" x="0"/>
        <item m="1"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m="1" x="8"/>
        <item m="1" x="5"/>
        <item m="1" x="3"/>
        <item x="0"/>
        <item x="2"/>
        <item m="1" x="11"/>
        <item m="1" x="10"/>
        <item m="1" x="9"/>
        <item x="1"/>
        <item m="1" x="4"/>
        <item m="1" x="7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4"/>
        <item x="5"/>
        <item x="0"/>
        <item x="1"/>
        <item m="1" x="6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x="0"/>
        <item m="1" x="30"/>
        <item m="1" x="23"/>
        <item m="1" x="24"/>
        <item m="1" x="25"/>
        <item x="1"/>
        <item m="1" x="33"/>
        <item x="3"/>
        <item x="4"/>
        <item m="1" x="31"/>
        <item m="1" x="28"/>
        <item x="5"/>
        <item m="1" x="17"/>
        <item x="6"/>
        <item m="1" x="18"/>
        <item m="1" x="19"/>
        <item m="1" x="20"/>
        <item x="7"/>
        <item m="1" x="21"/>
        <item m="1" x="32"/>
        <item x="8"/>
        <item x="9"/>
        <item x="10"/>
        <item x="11"/>
        <item m="1" x="22"/>
        <item x="12"/>
        <item x="13"/>
        <item x="14"/>
        <item m="1" x="27"/>
        <item m="1" x="29"/>
        <item x="15"/>
        <item m="1" x="26"/>
        <item m="1" x="16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8">
        <item x="1"/>
        <item h="1" x="2"/>
        <item h="1" m="1" x="14"/>
        <item h="1" x="3"/>
        <item h="1" x="4"/>
        <item h="1" m="1" x="10"/>
        <item h="1" m="1" x="11"/>
        <item h="1" x="5"/>
        <item m="1" x="15"/>
        <item m="1" x="16"/>
        <item m="1" x="17"/>
        <item h="1" x="6"/>
        <item h="1" x="0"/>
        <item h="1" m="1" x="7"/>
        <item h="1" m="1" x="8"/>
        <item h="1" m="1" x="9"/>
        <item h="1" m="1" x="12"/>
        <item h="1" m="1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m="1" x="5"/>
        <item x="1"/>
        <item m="1" x="4"/>
        <item m="1" x="3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133">
        <item m="1" x="880"/>
        <item m="1" x="810"/>
        <item x="161"/>
        <item x="153"/>
        <item x="162"/>
        <item x="256"/>
        <item x="282"/>
        <item m="1" x="869"/>
        <item x="112"/>
        <item x="42"/>
        <item m="1" x="925"/>
        <item x="231"/>
        <item m="1" x="680"/>
        <item x="232"/>
        <item m="1" x="910"/>
        <item m="1" x="1109"/>
        <item x="43"/>
        <item m="1" x="972"/>
        <item m="1" x="964"/>
        <item x="228"/>
        <item m="1" x="1123"/>
        <item x="72"/>
        <item m="1" x="1110"/>
        <item x="229"/>
        <item x="44"/>
        <item x="230"/>
        <item x="169"/>
        <item x="198"/>
        <item m="1" x="314"/>
        <item x="197"/>
        <item m="1" x="472"/>
        <item x="134"/>
        <item m="1" x="284"/>
        <item x="36"/>
        <item x="132"/>
        <item m="1" x="796"/>
        <item x="233"/>
        <item m="1" x="348"/>
        <item m="1" x="305"/>
        <item m="1" x="567"/>
        <item x="187"/>
        <item x="227"/>
        <item x="249"/>
        <item x="103"/>
        <item m="1" x="403"/>
        <item m="1" x="471"/>
        <item x="121"/>
        <item x="93"/>
        <item x="89"/>
        <item x="126"/>
        <item m="1" x="604"/>
        <item x="131"/>
        <item x="246"/>
        <item x="194"/>
        <item m="1" x="473"/>
        <item x="80"/>
        <item x="147"/>
        <item x="71"/>
        <item m="1" x="1117"/>
        <item x="149"/>
        <item m="1" x="303"/>
        <item x="17"/>
        <item x="6"/>
        <item x="7"/>
        <item x="20"/>
        <item x="4"/>
        <item m="1" x="293"/>
        <item x="118"/>
        <item m="1" x="548"/>
        <item x="3"/>
        <item x="115"/>
        <item x="123"/>
        <item x="238"/>
        <item x="148"/>
        <item x="98"/>
        <item x="12"/>
        <item x="125"/>
        <item m="1" x="349"/>
        <item x="38"/>
        <item x="57"/>
        <item x="258"/>
        <item x="95"/>
        <item x="189"/>
        <item x="127"/>
        <item x="10"/>
        <item x="52"/>
        <item x="8"/>
        <item x="18"/>
        <item x="109"/>
        <item m="1" x="893"/>
        <item m="1" x="974"/>
        <item x="272"/>
        <item m="1" x="848"/>
        <item m="1" x="970"/>
        <item x="204"/>
        <item m="1" x="612"/>
        <item x="145"/>
        <item x="139"/>
        <item x="140"/>
        <item m="1" x="780"/>
        <item x="270"/>
        <item x="273"/>
        <item m="1" x="881"/>
        <item m="1" x="882"/>
        <item m="1" x="930"/>
        <item m="1" x="729"/>
        <item m="1" x="761"/>
        <item m="1" x="663"/>
        <item m="1" x="664"/>
        <item m="1" x="559"/>
        <item m="1" x="933"/>
        <item m="1" x="665"/>
        <item m="1" x="537"/>
        <item m="1" x="580"/>
        <item m="1" x="453"/>
        <item m="1" x="763"/>
        <item m="1" x="454"/>
        <item m="1" x="975"/>
        <item x="223"/>
        <item m="1" x="1056"/>
        <item x="164"/>
        <item m="1" x="596"/>
        <item x="150"/>
        <item m="1" x="400"/>
        <item m="1" x="1114"/>
        <item x="24"/>
        <item m="1" x="1057"/>
        <item m="1" x="679"/>
        <item x="219"/>
        <item m="1" x="741"/>
        <item m="1" x="743"/>
        <item m="1" x="467"/>
        <item m="1" x="438"/>
        <item m="1" x="576"/>
        <item m="1" x="683"/>
        <item m="1" x="709"/>
        <item m="1" x="694"/>
        <item m="1" x="695"/>
        <item m="1" x="685"/>
        <item m="1" x="701"/>
        <item m="1" x="289"/>
        <item m="1" x="352"/>
        <item m="1" x="570"/>
        <item m="1" x="688"/>
        <item m="1" x="449"/>
        <item m="1" x="478"/>
        <item m="1" x="693"/>
        <item m="1" x="712"/>
        <item m="1" x="684"/>
        <item m="1" x="463"/>
        <item m="1" x="481"/>
        <item m="1" x="640"/>
        <item m="1" x="681"/>
        <item m="1" x="370"/>
        <item m="1" x="687"/>
        <item m="1" x="583"/>
        <item m="1" x="707"/>
        <item m="1" x="628"/>
        <item m="1" x="468"/>
        <item m="1" x="368"/>
        <item m="1" x="434"/>
        <item m="1" x="705"/>
        <item m="1" x="697"/>
        <item m="1" x="502"/>
        <item m="1" x="877"/>
        <item m="1" x="876"/>
        <item m="1" x="843"/>
        <item m="1" x="844"/>
        <item x="152"/>
        <item m="1" x="872"/>
        <item m="1" x="769"/>
        <item m="1" x="878"/>
        <item x="129"/>
        <item m="1" x="775"/>
        <item m="1" x="879"/>
        <item m="1" x="849"/>
        <item m="1" x="816"/>
        <item m="1" x="820"/>
        <item m="1" x="846"/>
        <item x="122"/>
        <item m="1" x="773"/>
        <item m="1" x="815"/>
        <item m="1" x="770"/>
        <item m="1" x="873"/>
        <item x="173"/>
        <item m="1" x="870"/>
        <item x="77"/>
        <item m="1" x="776"/>
        <item x="146"/>
        <item m="1" x="845"/>
        <item x="247"/>
        <item x="130"/>
        <item x="53"/>
        <item m="1" x="1104"/>
        <item x="26"/>
        <item x="168"/>
        <item x="41"/>
        <item m="1" x="821"/>
        <item x="102"/>
        <item m="1" x="875"/>
        <item m="1" x="915"/>
        <item m="1" x="914"/>
        <item m="1" x="343"/>
        <item m="1" x="911"/>
        <item m="1" x="916"/>
        <item m="1" x="805"/>
        <item m="1" x="887"/>
        <item m="1" x="913"/>
        <item m="1" x="334"/>
        <item m="1" x="793"/>
        <item m="1" x="917"/>
        <item m="1" x="898"/>
        <item m="1" x="408"/>
        <item m="1" x="511"/>
        <item m="1" x="884"/>
        <item m="1" x="833"/>
        <item m="1" x="337"/>
        <item m="1" x="832"/>
        <item m="1" x="806"/>
        <item m="1" x="523"/>
        <item m="1" x="807"/>
        <item m="1" x="912"/>
        <item m="1" x="331"/>
        <item m="1" x="890"/>
        <item m="1" x="1043"/>
        <item m="1" x="329"/>
        <item m="1" x="407"/>
        <item m="1" x="965"/>
        <item m="1" x="1102"/>
        <item m="1" x="412"/>
        <item m="1" x="902"/>
        <item m="1" x="956"/>
        <item m="1" x="909"/>
        <item m="1" x="1090"/>
        <item m="1" x="1044"/>
        <item m="1" x="1083"/>
        <item m="1" x="885"/>
        <item m="1" x="969"/>
        <item m="1" x="966"/>
        <item m="1" x="1041"/>
        <item m="1" x="897"/>
        <item m="1" x="1018"/>
        <item m="1" x="413"/>
        <item m="1" x="908"/>
        <item m="1" x="892"/>
        <item x="27"/>
        <item x="66"/>
        <item m="1" x="726"/>
        <item m="1" x="538"/>
        <item x="85"/>
        <item m="1" x="932"/>
        <item x="203"/>
        <item m="1" x="563"/>
        <item m="1" x="934"/>
        <item m="1" x="561"/>
        <item m="1" x="730"/>
        <item m="1" x="1058"/>
        <item m="1" x="364"/>
        <item m="1" x="631"/>
        <item x="224"/>
        <item m="1" x="476"/>
        <item m="1" x="638"/>
        <item m="1" x="670"/>
        <item m="1" x="401"/>
        <item m="1" x="402"/>
        <item m="1" x="637"/>
        <item m="1" x="355"/>
        <item m="1" x="474"/>
        <item m="1" x="397"/>
        <item m="1" x="632"/>
        <item m="1" x="566"/>
        <item m="1" x="475"/>
        <item m="1" x="422"/>
        <item m="1" x="351"/>
        <item m="1" x="574"/>
        <item m="1" x="356"/>
        <item m="1" x="1001"/>
        <item m="1" x="554"/>
        <item m="1" x="371"/>
        <item m="1" x="674"/>
        <item m="1" x="479"/>
        <item m="1" x="549"/>
        <item m="1" x="489"/>
        <item x="166"/>
        <item m="1" x="358"/>
        <item m="1" x="418"/>
        <item m="1" x="661"/>
        <item m="1" x="667"/>
        <item m="1" x="669"/>
        <item m="1" x="461"/>
        <item m="1" x="608"/>
        <item m="1" x="460"/>
        <item m="1" x="494"/>
        <item m="1" x="569"/>
        <item m="1" x="634"/>
        <item m="1" x="573"/>
        <item x="167"/>
        <item m="1" x="577"/>
        <item m="1" x="999"/>
        <item m="1" x="991"/>
        <item m="1" x="995"/>
        <item m="1" x="997"/>
        <item m="1" x="992"/>
        <item m="1" x="1003"/>
        <item m="1" x="855"/>
        <item m="1" x="411"/>
        <item m="1" x="520"/>
        <item m="1" x="436"/>
        <item m="1" x="376"/>
        <item m="1" x="365"/>
        <item m="1" x="678"/>
        <item m="1" x="605"/>
        <item x="99"/>
        <item m="1" x="383"/>
        <item m="1" x="421"/>
        <item m="1" x="369"/>
        <item m="1" x="662"/>
        <item x="165"/>
        <item m="1" x="419"/>
        <item m="1" x="515"/>
        <item m="1" x="668"/>
        <item m="1" x="552"/>
        <item m="1" x="636"/>
        <item m="1" x="394"/>
        <item m="1" x="465"/>
        <item m="1" x="458"/>
        <item m="1" x="417"/>
        <item m="1" x="527"/>
        <item m="1" x="395"/>
        <item m="1" x="524"/>
        <item m="1" x="360"/>
        <item m="1" x="399"/>
        <item m="1" x="699"/>
        <item m="1" x="1006"/>
        <item m="1" x="450"/>
        <item m="1" x="560"/>
        <item x="202"/>
        <item m="1" x="409"/>
        <item m="1" x="359"/>
        <item m="1" x="470"/>
        <item m="1" x="381"/>
        <item x="192"/>
        <item x="78"/>
        <item m="1" x="526"/>
        <item m="1" x="500"/>
        <item m="1" x="415"/>
        <item m="1" x="375"/>
        <item m="1" x="469"/>
        <item x="157"/>
        <item m="1" x="575"/>
        <item m="1" x="553"/>
        <item m="1" x="414"/>
        <item m="1" x="510"/>
        <item x="79"/>
        <item m="1" x="556"/>
        <item x="23"/>
        <item x="193"/>
        <item x="222"/>
        <item m="1" x="673"/>
        <item m="1" x="571"/>
        <item m="1" x="547"/>
        <item m="1" x="457"/>
        <item m="1" x="448"/>
        <item m="1" x="521"/>
        <item x="156"/>
        <item m="1" x="501"/>
        <item m="1" x="354"/>
        <item m="1" x="565"/>
        <item m="1" x="1070"/>
        <item m="1" x="534"/>
        <item m="1" x="464"/>
        <item m="1" x="719"/>
        <item m="1" x="737"/>
        <item m="1" x="722"/>
        <item m="1" x="738"/>
        <item m="1" x="731"/>
        <item m="1" x="732"/>
        <item m="1" x="504"/>
        <item m="1" x="357"/>
        <item x="100"/>
        <item m="1" x="480"/>
        <item m="1" x="1075"/>
        <item m="1" x="734"/>
        <item m="1" x="439"/>
        <item m="1" x="393"/>
        <item m="1" x="1069"/>
        <item m="1" x="451"/>
        <item m="1" x="459"/>
        <item m="1" x="431"/>
        <item m="1" x="935"/>
        <item m="1" x="1063"/>
        <item m="1" x="1064"/>
        <item m="1" x="936"/>
        <item m="1" x="937"/>
        <item m="1" x="938"/>
        <item m="1" x="1065"/>
        <item m="1" x="939"/>
        <item m="1" x="1066"/>
        <item m="1" x="624"/>
        <item m="1" x="380"/>
        <item m="1" x="1080"/>
        <item m="1" x="733"/>
        <item m="1" x="736"/>
        <item m="1" x="505"/>
        <item m="1" x="590"/>
        <item m="1" x="647"/>
        <item m="1" x="648"/>
        <item m="1" x="644"/>
        <item m="1" x="645"/>
        <item m="1" x="650"/>
        <item m="1" x="643"/>
        <item m="1" x="646"/>
        <item m="1" x="642"/>
        <item m="1" x="649"/>
        <item m="1" x="804"/>
        <item m="1" x="427"/>
        <item m="1" x="516"/>
        <item m="1" x="442"/>
        <item m="1" x="535"/>
        <item m="1" x="725"/>
        <item m="1" x="727"/>
        <item m="1" x="429"/>
        <item m="1" x="428"/>
        <item m="1" x="622"/>
        <item m="1" x="718"/>
        <item m="1" x="671"/>
        <item m="1" x="444"/>
        <item m="1" x="568"/>
        <item m="1" x="1062"/>
        <item m="1" x="735"/>
        <item m="1" x="404"/>
        <item m="1" x="518"/>
        <item m="1" x="517"/>
        <item m="1" x="405"/>
        <item m="1" x="940"/>
        <item m="1" x="503"/>
        <item m="1" x="1072"/>
        <item m="1" x="1071"/>
        <item m="1" x="361"/>
        <item m="1" x="416"/>
        <item m="1" x="626"/>
        <item m="1" x="941"/>
        <item m="1" x="611"/>
        <item m="1" x="584"/>
        <item m="1" x="621"/>
        <item m="1" x="1081"/>
        <item m="1" x="373"/>
        <item m="1" x="717"/>
        <item m="1" x="540"/>
        <item m="1" x="1078"/>
        <item m="1" x="372"/>
        <item m="1" x="942"/>
        <item m="1" x="943"/>
        <item m="1" x="944"/>
        <item m="1" x="945"/>
        <item m="1" x="1079"/>
        <item m="1" x="441"/>
        <item m="1" x="946"/>
        <item m="1" x="506"/>
        <item m="1" x="623"/>
        <item m="1" x="426"/>
        <item m="1" x="591"/>
        <item m="1" x="530"/>
        <item m="1" x="484"/>
        <item m="1" x="485"/>
        <item m="1" x="483"/>
        <item m="1" x="482"/>
        <item m="1" x="1096"/>
        <item m="1" x="1094"/>
        <item m="1" x="1095"/>
        <item m="1" x="1076"/>
        <item m="1" x="1074"/>
        <item m="1" x="1093"/>
        <item m="1" x="362"/>
        <item m="1" x="392"/>
        <item m="1" x="593"/>
        <item m="1" x="385"/>
        <item m="1" x="721"/>
        <item m="1" x="723"/>
        <item m="1" x="533"/>
        <item m="1" x="424"/>
        <item m="1" x="437"/>
        <item m="1" x="651"/>
        <item m="1" x="1073"/>
        <item m="1" x="594"/>
        <item m="1" x="588"/>
        <item m="1" x="387"/>
        <item m="1" x="386"/>
        <item m="1" x="724"/>
        <item m="1" x="1067"/>
        <item m="1" x="529"/>
        <item m="1" x="716"/>
        <item m="1" x="582"/>
        <item m="1" x="1068"/>
        <item m="1" x="947"/>
        <item m="1" x="1077"/>
        <item m="1" x="585"/>
        <item m="1" x="562"/>
        <item m="1" x="598"/>
        <item m="1" x="599"/>
        <item m="1" x="739"/>
        <item m="1" x="600"/>
        <item m="1" x="625"/>
        <item m="1" x="586"/>
        <item m="1" x="519"/>
        <item m="1" x="508"/>
        <item m="1" x="797"/>
        <item m="1" x="528"/>
        <item m="1" x="666"/>
        <item m="1" x="837"/>
        <item m="1" x="539"/>
        <item m="1" x="961"/>
        <item x="269"/>
        <item m="1" x="891"/>
        <item x="266"/>
        <item x="268"/>
        <item x="267"/>
        <item m="1" x="901"/>
        <item m="1" x="973"/>
        <item x="186"/>
        <item m="1" x="619"/>
        <item m="1" x="801"/>
        <item m="1" x="536"/>
        <item m="1" x="425"/>
        <item m="1" x="391"/>
        <item m="1" x="618"/>
        <item m="1" x="390"/>
        <item m="1" x="446"/>
        <item m="1" x="423"/>
        <item m="1" x="800"/>
        <item m="1" x="799"/>
        <item x="274"/>
        <item m="1" x="652"/>
        <item m="1" x="782"/>
        <item m="1" x="653"/>
        <item m="1" x="654"/>
        <item m="1" x="783"/>
        <item m="1" x="921"/>
        <item m="1" x="784"/>
        <item m="1" x="655"/>
        <item m="1" x="785"/>
        <item m="1" x="656"/>
        <item m="1" x="592"/>
        <item x="31"/>
        <item m="1" x="927"/>
        <item x="73"/>
        <item x="92"/>
        <item m="1" x="960"/>
        <item x="91"/>
        <item m="1" x="958"/>
        <item m="1" x="871"/>
        <item x="135"/>
        <item m="1" x="745"/>
        <item x="136"/>
        <item x="137"/>
        <item x="138"/>
        <item x="248"/>
        <item m="1" x="316"/>
        <item x="253"/>
        <item x="210"/>
        <item m="1" x="835"/>
        <item x="209"/>
        <item x="212"/>
        <item m="1" x="836"/>
        <item m="1" x="977"/>
        <item m="1" x="978"/>
        <item x="211"/>
        <item m="1" x="889"/>
        <item m="1" x="1091"/>
        <item m="1" x="318"/>
        <item x="143"/>
        <item m="1" x="787"/>
        <item m="1" x="781"/>
        <item x="159"/>
        <item x="275"/>
        <item x="215"/>
        <item m="1" x="794"/>
        <item m="1" x="928"/>
        <item m="1" x="388"/>
        <item m="1" x="1049"/>
        <item m="1" x="742"/>
        <item m="1" x="976"/>
        <item m="1" x="1020"/>
        <item m="1" x="962"/>
        <item x="111"/>
        <item x="245"/>
        <item m="1" x="854"/>
        <item m="1" x="1014"/>
        <item x="261"/>
        <item x="154"/>
        <item x="199"/>
        <item x="34"/>
        <item x="25"/>
        <item x="242"/>
        <item x="97"/>
        <item x="181"/>
        <item m="1" x="296"/>
        <item x="144"/>
        <item m="1" x="757"/>
        <item m="1" x="825"/>
        <item m="1" x="826"/>
        <item x="151"/>
        <item x="124"/>
        <item x="243"/>
        <item x="177"/>
        <item m="1" x="822"/>
        <item m="1" x="824"/>
        <item m="1" x="558"/>
        <item m="1" x="610"/>
        <item x="81"/>
        <item x="67"/>
        <item x="75"/>
        <item x="35"/>
        <item x="47"/>
        <item m="1" x="861"/>
        <item m="1" x="572"/>
        <item m="1" x="1098"/>
        <item m="1" x="863"/>
        <item m="1" x="1121"/>
        <item x="37"/>
        <item x="87"/>
        <item x="86"/>
        <item m="1" x="367"/>
        <item m="1" x="817"/>
        <item m="1" x="754"/>
        <item m="1" x="864"/>
        <item m="1" x="756"/>
        <item x="33"/>
        <item x="46"/>
        <item m="1" x="860"/>
        <item x="39"/>
        <item x="172"/>
        <item x="174"/>
        <item m="1" x="759"/>
        <item x="107"/>
        <item m="1" x="764"/>
        <item m="1" x="746"/>
        <item m="1" x="477"/>
        <item m="1" x="606"/>
        <item m="1" x="865"/>
        <item m="1" x="828"/>
        <item m="1" x="840"/>
        <item m="1" x="1040"/>
        <item m="1" x="823"/>
        <item m="1" x="866"/>
        <item x="260"/>
        <item m="1" x="786"/>
        <item m="1" x="377"/>
        <item m="1" x="749"/>
        <item m="1" x="867"/>
        <item m="1" x="777"/>
        <item x="21"/>
        <item x="226"/>
        <item x="45"/>
        <item x="128"/>
        <item x="94"/>
        <item m="1" x="541"/>
        <item x="88"/>
        <item m="1" x="752"/>
        <item x="48"/>
        <item x="49"/>
        <item m="1" x="1082"/>
        <item m="1" x="948"/>
        <item m="1" x="751"/>
        <item x="40"/>
        <item m="1" x="859"/>
        <item m="1" x="750"/>
        <item x="28"/>
        <item x="110"/>
        <item m="1" x="753"/>
        <item x="191"/>
        <item m="1" x="758"/>
        <item x="68"/>
        <item m="1" x="747"/>
        <item m="1" x="748"/>
        <item x="240"/>
        <item x="155"/>
        <item x="160"/>
        <item x="22"/>
        <item x="259"/>
        <item x="176"/>
        <item m="1" x="755"/>
        <item m="1" x="827"/>
        <item m="1" x="1042"/>
        <item x="101"/>
        <item x="190"/>
        <item m="1" x="920"/>
        <item x="90"/>
        <item x="208"/>
        <item m="1" x="335"/>
        <item m="1" x="308"/>
        <item m="1" x="295"/>
        <item m="1" x="304"/>
        <item m="1" x="286"/>
        <item m="1" x="1105"/>
        <item m="1" x="967"/>
        <item m="1" x="302"/>
        <item m="1" x="333"/>
        <item m="1" x="291"/>
        <item m="1" x="363"/>
        <item m="1" x="862"/>
        <item m="1" x="1103"/>
        <item x="244"/>
        <item x="50"/>
        <item x="175"/>
        <item m="1" x="353"/>
        <item m="1" x="542"/>
        <item x="213"/>
        <item x="262"/>
        <item m="1" x="328"/>
        <item x="30"/>
        <item x="264"/>
        <item m="1" x="488"/>
        <item x="216"/>
        <item x="218"/>
        <item x="70"/>
        <item m="1" x="633"/>
        <item x="271"/>
        <item m="1" x="455"/>
        <item m="1" x="551"/>
        <item m="1" x="433"/>
        <item m="1" x="379"/>
        <item m="1" x="602"/>
        <item x="257"/>
        <item x="276"/>
        <item x="255"/>
        <item x="158"/>
        <item x="265"/>
        <item x="58"/>
        <item m="1" x="1107"/>
        <item m="1" x="1050"/>
        <item x="207"/>
        <item x="205"/>
        <item x="206"/>
        <item m="1" x="1126"/>
        <item m="1" x="808"/>
        <item m="1" x="581"/>
        <item m="1" x="720"/>
        <item x="182"/>
        <item m="1" x="323"/>
        <item m="1" x="1112"/>
        <item m="1" x="339"/>
        <item m="1" x="332"/>
        <item m="1" x="342"/>
        <item m="1" x="319"/>
        <item m="1" x="294"/>
        <item m="1" x="300"/>
        <item m="1" x="336"/>
        <item m="1" x="839"/>
        <item m="1" x="1125"/>
        <item m="1" x="307"/>
        <item m="1" x="1127"/>
        <item m="1" x="292"/>
        <item m="1" x="1113"/>
        <item m="1" x="1119"/>
        <item m="1" x="762"/>
        <item m="1" x="1122"/>
        <item m="1" x="1115"/>
        <item m="1" x="322"/>
        <item m="1" x="315"/>
        <item m="1" x="312"/>
        <item m="1" x="310"/>
        <item m="1" x="1097"/>
        <item m="1" x="790"/>
        <item m="1" x="660"/>
        <item m="1" x="301"/>
        <item m="1" x="895"/>
        <item x="32"/>
        <item m="1" x="1034"/>
        <item m="1" x="1035"/>
        <item m="1" x="1036"/>
        <item m="1" x="1129"/>
        <item m="1" x="1130"/>
        <item m="1" x="1128"/>
        <item m="1" x="1132"/>
        <item m="1" x="918"/>
        <item m="1" x="1031"/>
        <item m="1" x="1037"/>
        <item m="1" x="1118"/>
        <item m="1" x="1131"/>
        <item m="1" x="1038"/>
        <item m="1" x="1032"/>
        <item x="279"/>
        <item m="1" x="1087"/>
        <item m="1" x="1086"/>
        <item m="1" x="904"/>
        <item x="281"/>
        <item x="280"/>
        <item m="1" x="1033"/>
        <item m="1" x="1039"/>
        <item x="278"/>
        <item m="1" x="288"/>
        <item m="1" x="698"/>
        <item m="1" x="708"/>
        <item m="1" x="579"/>
        <item m="1" x="639"/>
        <item m="1" x="696"/>
        <item m="1" x="682"/>
        <item m="1" x="702"/>
        <item m="1" x="578"/>
        <item m="1" x="613"/>
        <item m="1" x="706"/>
        <item m="1" x="630"/>
        <item m="1" x="287"/>
        <item m="1" x="838"/>
        <item m="1" x="994"/>
        <item m="1" x="525"/>
        <item m="1" x="714"/>
        <item m="1" x="713"/>
        <item m="1" x="691"/>
        <item m="1" x="550"/>
        <item m="1" x="603"/>
        <item m="1" x="398"/>
        <item m="1" x="690"/>
        <item m="1" x="285"/>
        <item m="1" x="711"/>
        <item m="1" x="513"/>
        <item m="1" x="498"/>
        <item m="1" x="704"/>
        <item m="1" x="545"/>
        <item m="1" x="686"/>
        <item m="1" x="700"/>
        <item m="1" x="564"/>
        <item m="1" x="715"/>
        <item m="1" x="868"/>
        <item m="1" x="544"/>
        <item m="1" x="993"/>
        <item m="1" x="629"/>
        <item m="1" x="919"/>
        <item m="1" x="874"/>
        <item x="84"/>
        <item x="54"/>
        <item m="1" x="926"/>
        <item x="55"/>
        <item x="56"/>
        <item m="1" x="798"/>
        <item m="1" x="532"/>
        <item m="1" x="531"/>
        <item x="251"/>
        <item x="250"/>
        <item m="1" x="297"/>
        <item m="1" x="507"/>
        <item m="1" x="627"/>
        <item x="252"/>
        <item m="1" x="1055"/>
        <item m="1" x="493"/>
        <item m="1" x="346"/>
        <item m="1" x="767"/>
        <item x="1"/>
        <item x="113"/>
        <item x="254"/>
        <item x="14"/>
        <item x="5"/>
        <item x="13"/>
        <item x="16"/>
        <item x="171"/>
        <item x="15"/>
        <item x="11"/>
        <item x="2"/>
        <item x="76"/>
        <item m="1" x="853"/>
        <item x="9"/>
        <item x="19"/>
        <item m="1" x="512"/>
        <item m="1" x="774"/>
        <item m="1" x="324"/>
        <item m="1" x="350"/>
        <item m="1" x="290"/>
        <item m="1" x="497"/>
        <item m="1" x="309"/>
        <item m="1" x="341"/>
        <item m="1" x="317"/>
        <item m="1" x="325"/>
        <item m="1" x="306"/>
        <item m="1" x="326"/>
        <item m="1" x="298"/>
        <item m="1" x="366"/>
        <item m="1" x="384"/>
        <item m="1" x="601"/>
        <item m="1" x="320"/>
        <item m="1" x="344"/>
        <item m="1" x="321"/>
        <item m="1" x="340"/>
        <item m="1" x="347"/>
        <item m="1" x="299"/>
        <item m="1" x="435"/>
        <item m="1" x="338"/>
        <item m="1" x="856"/>
        <item m="1" x="1116"/>
        <item m="1" x="509"/>
        <item x="178"/>
        <item m="1" x="313"/>
        <item m="1" x="778"/>
        <item m="1" x="779"/>
        <item x="241"/>
        <item x="63"/>
        <item x="64"/>
        <item m="1" x="330"/>
        <item x="184"/>
        <item x="65"/>
        <item m="1" x="1101"/>
        <item x="69"/>
        <item m="1" x="894"/>
        <item m="1" x="311"/>
        <item x="183"/>
        <item x="214"/>
        <item m="1" x="888"/>
        <item m="1" x="957"/>
        <item x="220"/>
        <item m="1" x="617"/>
        <item m="1" x="430"/>
        <item x="59"/>
        <item x="234"/>
        <item x="196"/>
        <item x="263"/>
        <item x="60"/>
        <item m="1" x="795"/>
        <item m="1" x="672"/>
        <item m="1" x="466"/>
        <item m="1" x="949"/>
        <item m="1" x="616"/>
        <item m="1" x="597"/>
        <item m="1" x="831"/>
        <item m="1" x="1004"/>
        <item m="1" x="1000"/>
        <item m="1" x="998"/>
        <item m="1" x="1009"/>
        <item m="1" x="1026"/>
        <item m="1" x="1085"/>
        <item m="1" x="1007"/>
        <item m="1" x="1023"/>
        <item m="1" x="1025"/>
        <item m="1" x="1054"/>
        <item m="1" x="496"/>
        <item m="1" x="396"/>
        <item m="1" x="676"/>
        <item m="1" x="1017"/>
        <item m="1" x="1015"/>
        <item m="1" x="1016"/>
        <item m="1" x="950"/>
        <item m="1" x="1053"/>
        <item m="1" x="951"/>
        <item m="1" x="1092"/>
        <item m="1" x="641"/>
        <item m="1" x="677"/>
        <item m="1" x="1030"/>
        <item m="1" x="635"/>
        <item m="1" x="996"/>
        <item m="1" x="1011"/>
        <item m="1" x="1010"/>
        <item m="1" x="1013"/>
        <item m="1" x="952"/>
        <item m="1" x="1028"/>
        <item m="1" x="490"/>
        <item m="1" x="1021"/>
        <item m="1" x="1024"/>
        <item m="1" x="1012"/>
        <item m="1" x="1027"/>
        <item m="1" x="1084"/>
        <item m="1" x="1029"/>
        <item m="1" x="378"/>
        <item m="1" x="1022"/>
        <item m="1" x="953"/>
        <item m="1" x="954"/>
        <item m="1" x="1008"/>
        <item x="106"/>
        <item m="1" x="922"/>
        <item m="1" x="788"/>
        <item m="1" x="923"/>
        <item m="1" x="1019"/>
        <item m="1" x="924"/>
        <item m="1" x="959"/>
        <item x="117"/>
        <item x="116"/>
        <item m="1" x="858"/>
        <item m="1" x="789"/>
        <item x="0"/>
        <item m="1" x="811"/>
        <item x="61"/>
        <item m="1" x="968"/>
        <item m="1" x="847"/>
        <item m="1" x="850"/>
        <item m="1" x="905"/>
        <item m="1" x="1089"/>
        <item m="1" x="813"/>
        <item x="29"/>
        <item m="1" x="834"/>
        <item m="1" x="1099"/>
        <item x="188"/>
        <item m="1" x="963"/>
        <item m="1" x="814"/>
        <item m="1" x="1088"/>
        <item x="83"/>
        <item m="1" x="819"/>
        <item m="1" x="765"/>
        <item m="1" x="955"/>
        <item m="1" x="1059"/>
        <item x="221"/>
        <item m="1" x="1046"/>
        <item x="170"/>
        <item m="1" x="896"/>
        <item m="1" x="931"/>
        <item x="82"/>
        <item m="1" x="345"/>
        <item x="62"/>
        <item m="1" x="907"/>
        <item x="195"/>
        <item m="1" x="327"/>
        <item m="1" x="906"/>
        <item m="1" x="1061"/>
        <item m="1" x="1045"/>
        <item x="239"/>
        <item m="1" x="791"/>
        <item m="1" x="760"/>
        <item m="1" x="851"/>
        <item m="1" x="1106"/>
        <item x="51"/>
        <item m="1" x="792"/>
        <item m="1" x="971"/>
        <item m="1" x="1100"/>
        <item m="1" x="852"/>
        <item m="1" x="728"/>
        <item x="163"/>
        <item m="1" x="620"/>
        <item m="1" x="587"/>
        <item m="1" x="903"/>
        <item x="119"/>
        <item x="114"/>
        <item x="141"/>
        <item x="200"/>
        <item m="1" x="899"/>
        <item x="142"/>
        <item x="120"/>
        <item m="1" x="900"/>
        <item x="217"/>
        <item m="1" x="771"/>
        <item m="1" x="883"/>
        <item m="1" x="1048"/>
        <item m="1" x="1047"/>
        <item m="1" x="841"/>
        <item x="133"/>
        <item m="1" x="929"/>
        <item m="1" x="410"/>
        <item x="277"/>
        <item x="185"/>
        <item m="1" x="546"/>
        <item m="1" x="1002"/>
        <item m="1" x="557"/>
        <item m="1" x="456"/>
        <item m="1" x="857"/>
        <item m="1" x="447"/>
        <item m="1" x="445"/>
        <item m="1" x="486"/>
        <item m="1" x="374"/>
        <item m="1" x="703"/>
        <item m="1" x="710"/>
        <item m="1" x="382"/>
        <item m="1" x="607"/>
        <item m="1" x="555"/>
        <item m="1" x="495"/>
        <item m="1" x="283"/>
        <item m="1" x="692"/>
        <item m="1" x="614"/>
        <item m="1" x="514"/>
        <item m="1" x="615"/>
        <item m="1" x="499"/>
        <item m="1" x="829"/>
        <item m="1" x="492"/>
        <item m="1" x="543"/>
        <item m="1" x="452"/>
        <item m="1" x="689"/>
        <item m="1" x="462"/>
        <item m="1" x="812"/>
        <item x="225"/>
        <item m="1" x="768"/>
        <item x="201"/>
        <item x="105"/>
        <item x="104"/>
        <item m="1" x="818"/>
        <item x="108"/>
        <item m="1" x="766"/>
        <item m="1" x="1120"/>
        <item x="179"/>
        <item x="180"/>
        <item x="74"/>
        <item m="1" x="772"/>
        <item x="96"/>
        <item m="1" x="842"/>
        <item x="235"/>
        <item m="1" x="657"/>
        <item m="1" x="1108"/>
        <item m="1" x="1111"/>
        <item m="1" x="658"/>
        <item x="236"/>
        <item m="1" x="659"/>
        <item m="1" x="886"/>
        <item x="237"/>
        <item m="1" x="1060"/>
        <item m="1" x="389"/>
        <item m="1" x="595"/>
        <item m="1" x="589"/>
        <item m="1" x="487"/>
        <item m="1" x="406"/>
        <item m="1" x="443"/>
        <item m="1" x="440"/>
        <item m="1" x="609"/>
        <item m="1" x="803"/>
        <item m="1" x="802"/>
        <item m="1" x="675"/>
        <item m="1" x="491"/>
        <item m="1" x="983"/>
        <item m="1" x="985"/>
        <item m="1" x="1005"/>
        <item m="1" x="420"/>
        <item m="1" x="432"/>
        <item m="1" x="980"/>
        <item m="1" x="989"/>
        <item m="1" x="522"/>
        <item m="1" x="981"/>
        <item m="1" x="1052"/>
        <item m="1" x="987"/>
        <item m="1" x="744"/>
        <item m="1" x="979"/>
        <item m="1" x="986"/>
        <item m="1" x="990"/>
        <item m="1" x="988"/>
        <item m="1" x="1051"/>
        <item m="1" x="984"/>
        <item m="1" x="982"/>
        <item m="1" x="809"/>
        <item m="1" x="830"/>
        <item m="1" x="740"/>
        <item m="1" x="11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23">
        <item x="1"/>
        <item m="1" x="18"/>
        <item m="1" x="20"/>
        <item x="4"/>
        <item x="3"/>
        <item m="1" x="14"/>
        <item m="1" x="15"/>
        <item m="1" x="21"/>
        <item m="1" x="22"/>
        <item x="2"/>
        <item x="6"/>
        <item m="1" x="13"/>
        <item x="10"/>
        <item x="7"/>
        <item x="8"/>
        <item m="1" x="16"/>
        <item x="0"/>
        <item x="5"/>
        <item m="1" x="12"/>
        <item x="9"/>
        <item m="1" x="17"/>
        <item x="11"/>
        <item m="1"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9">
        <item x="43"/>
        <item x="45"/>
        <item x="51"/>
        <item x="44"/>
        <item x="36"/>
        <item x="3"/>
        <item x="13"/>
        <item x="0"/>
        <item x="1"/>
        <item x="21"/>
        <item x="34"/>
        <item x="38"/>
        <item m="1" x="60"/>
        <item x="4"/>
        <item x="31"/>
        <item x="53"/>
        <item x="56"/>
        <item m="1" x="66"/>
        <item x="7"/>
        <item m="1" x="94"/>
        <item m="1" x="78"/>
        <item x="11"/>
        <item x="20"/>
        <item m="1" x="88"/>
        <item x="37"/>
        <item x="58"/>
        <item m="1" x="76"/>
        <item x="23"/>
        <item x="15"/>
        <item m="1" x="90"/>
        <item x="59"/>
        <item x="30"/>
        <item x="55"/>
        <item x="50"/>
        <item x="39"/>
        <item m="1" x="68"/>
        <item x="12"/>
        <item x="27"/>
        <item x="16"/>
        <item x="47"/>
        <item m="1" x="98"/>
        <item m="1" x="71"/>
        <item m="1" x="64"/>
        <item x="8"/>
        <item m="1" x="83"/>
        <item x="2"/>
        <item m="1" x="93"/>
        <item x="25"/>
        <item x="32"/>
        <item x="29"/>
        <item x="57"/>
        <item x="46"/>
        <item x="14"/>
        <item x="5"/>
        <item x="54"/>
        <item x="52"/>
        <item x="26"/>
        <item m="1" x="73"/>
        <item m="1" x="69"/>
        <item m="1" x="65"/>
        <item x="24"/>
        <item x="17"/>
        <item m="1" x="61"/>
        <item x="42"/>
        <item m="1" x="74"/>
        <item x="18"/>
        <item m="1" x="86"/>
        <item x="48"/>
        <item m="1" x="91"/>
        <item x="19"/>
        <item x="10"/>
        <item m="1" x="63"/>
        <item m="1" x="72"/>
        <item m="1" x="84"/>
        <item m="1" x="79"/>
        <item x="41"/>
        <item m="1" x="75"/>
        <item x="6"/>
        <item x="33"/>
        <item m="1" x="67"/>
        <item m="1" x="81"/>
        <item m="1" x="92"/>
        <item x="40"/>
        <item m="1" x="97"/>
        <item x="9"/>
        <item m="1" x="96"/>
        <item x="28"/>
        <item x="49"/>
        <item x="22"/>
        <item m="1" x="95"/>
        <item m="1" x="89"/>
        <item m="1" x="82"/>
        <item x="35"/>
        <item m="1" x="62"/>
        <item m="1" x="87"/>
        <item m="1" x="85"/>
        <item m="1" x="77"/>
        <item m="1" x="80"/>
        <item m="1" x="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7"/>
    <field x="14"/>
    <field x="2"/>
    <field x="1"/>
    <field x="5"/>
    <field x="9"/>
  </rowFields>
  <rowItems count="4">
    <i>
      <x v="1"/>
      <x v="14"/>
      <x/>
      <x v="3"/>
      <x v="5"/>
      <x v="71"/>
    </i>
    <i>
      <x v="4"/>
      <x v="30"/>
      <x v="2"/>
      <x v="3"/>
      <x v="8"/>
      <x v="514"/>
    </i>
    <i r="1">
      <x v="45"/>
      <x v="2"/>
      <x v="3"/>
      <x v="33"/>
      <x v="857"/>
    </i>
    <i t="grand">
      <x/>
    </i>
  </rowItems>
  <colItems count="1">
    <i/>
  </colItems>
  <pageFields count="3">
    <pageField fld="6" hier="-1"/>
    <pageField fld="0" hier="-1"/>
    <pageField fld="11" hier="-1"/>
  </pageFields>
  <dataFields count="1">
    <dataField name=" CUPOS" fld="22" baseField="0" baseItem="0" numFmtId="2"/>
  </dataFields>
  <formats count="24">
    <format dxfId="446">
      <pivotArea grandRow="1" outline="0" collapsedLevelsAreSubtotals="1" fieldPosition="0"/>
    </format>
    <format dxfId="445">
      <pivotArea outline="0" collapsedLevelsAreSubtotals="1" fieldPosition="0"/>
    </format>
    <format dxfId="444">
      <pivotArea type="all" dataOnly="0" outline="0" fieldPosition="0"/>
    </format>
    <format dxfId="443">
      <pivotArea outline="0" collapsedLevelsAreSubtotals="1" fieldPosition="0"/>
    </format>
    <format dxfId="442">
      <pivotArea field="7" type="button" dataOnly="0" labelOnly="1" outline="0" axis="axisRow" fieldPosition="0"/>
    </format>
    <format dxfId="441">
      <pivotArea field="2" type="button" dataOnly="0" labelOnly="1" outline="0" axis="axisRow" fieldPosition="2"/>
    </format>
    <format dxfId="440">
      <pivotArea field="1" type="button" dataOnly="0" labelOnly="1" outline="0" axis="axisRow" fieldPosition="3"/>
    </format>
    <format dxfId="439">
      <pivotArea field="5" type="button" dataOnly="0" labelOnly="1" outline="0" axis="axisRow" fieldPosition="4"/>
    </format>
    <format dxfId="438">
      <pivotArea field="14" type="button" dataOnly="0" labelOnly="1" outline="0" axis="axisRow" fieldPosition="1"/>
    </format>
    <format dxfId="437">
      <pivotArea field="9" type="button" dataOnly="0" labelOnly="1" outline="0" axis="axisRow" fieldPosition="5"/>
    </format>
    <format dxfId="436">
      <pivotArea dataOnly="0" labelOnly="1" outline="0" fieldPosition="0">
        <references count="1">
          <reference field="7" count="0"/>
        </references>
      </pivotArea>
    </format>
    <format dxfId="435">
      <pivotArea dataOnly="0" labelOnly="1" grandRow="1" outline="0" fieldPosition="0"/>
    </format>
    <format dxfId="434">
      <pivotArea dataOnly="0" labelOnly="1" outline="0" axis="axisValues" fieldPosition="0"/>
    </format>
    <format dxfId="433">
      <pivotArea type="all" dataOnly="0" outline="0" fieldPosition="0"/>
    </format>
    <format dxfId="432">
      <pivotArea outline="0" collapsedLevelsAreSubtotals="1" fieldPosition="0"/>
    </format>
    <format dxfId="431">
      <pivotArea field="7" type="button" dataOnly="0" labelOnly="1" outline="0" axis="axisRow" fieldPosition="0"/>
    </format>
    <format dxfId="430">
      <pivotArea field="2" type="button" dataOnly="0" labelOnly="1" outline="0" axis="axisRow" fieldPosition="2"/>
    </format>
    <format dxfId="429">
      <pivotArea field="1" type="button" dataOnly="0" labelOnly="1" outline="0" axis="axisRow" fieldPosition="3"/>
    </format>
    <format dxfId="428">
      <pivotArea field="5" type="button" dataOnly="0" labelOnly="1" outline="0" axis="axisRow" fieldPosition="4"/>
    </format>
    <format dxfId="427">
      <pivotArea field="14" type="button" dataOnly="0" labelOnly="1" outline="0" axis="axisRow" fieldPosition="1"/>
    </format>
    <format dxfId="426">
      <pivotArea field="9" type="button" dataOnly="0" labelOnly="1" outline="0" axis="axisRow" fieldPosition="5"/>
    </format>
    <format dxfId="425">
      <pivotArea dataOnly="0" labelOnly="1" outline="0" fieldPosition="0">
        <references count="1">
          <reference field="7" count="0"/>
        </references>
      </pivotArea>
    </format>
    <format dxfId="424">
      <pivotArea dataOnly="0" labelOnly="1" grandRow="1" outline="0" fieldPosition="0"/>
    </format>
    <format dxfId="423">
      <pivotArea dataOnly="0" labelOnly="1" outline="0" axis="axisValues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68CF3-30B6-46C0-A2C9-8FC6D7EF8841}" name="TablaDinámica3" cacheId="194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29:C45" firstHeaderRow="1" firstDataRow="1" firstDataCol="2" rowPageCount="2" colPageCount="1"/>
  <pivotFields count="37">
    <pivotField axis="axisPage" compact="0" outline="0" subtotalTop="0" multipleItemSelectionAllowed="1" showAll="0" defaultSubtotal="0">
      <items count="3">
        <item x="0"/>
        <item m="1" x="2"/>
        <item x="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sortType="ascending" defaultSubtotal="0">
      <items count="34">
        <item x="0"/>
        <item m="1" x="30"/>
        <item m="1" x="23"/>
        <item m="1" x="24"/>
        <item m="1" x="25"/>
        <item m="1" x="16"/>
        <item x="1"/>
        <item m="1" x="33"/>
        <item x="3"/>
        <item x="4"/>
        <item x="2"/>
        <item m="1" x="31"/>
        <item m="1" x="28"/>
        <item x="5"/>
        <item m="1" x="17"/>
        <item x="6"/>
        <item m="1" x="18"/>
        <item m="1" x="19"/>
        <item m="1" x="20"/>
        <item x="7"/>
        <item m="1" x="21"/>
        <item m="1" x="32"/>
        <item x="8"/>
        <item x="9"/>
        <item x="10"/>
        <item x="11"/>
        <item m="1" x="22"/>
        <item x="12"/>
        <item x="13"/>
        <item x="14"/>
        <item m="1" x="27"/>
        <item m="1" x="29"/>
        <item m="1" x="26"/>
        <item x="15"/>
      </items>
    </pivotField>
    <pivotField axis="axisPage" compact="0" outline="0" subtotalTop="0" multipleItemSelectionAllowed="1" showAll="0" sortType="ascending" defaultSubtotal="0">
      <items count="18">
        <item m="1" x="13"/>
        <item x="0"/>
        <item m="1" x="12"/>
        <item x="1"/>
        <item x="2"/>
        <item m="1" x="7"/>
        <item m="1" x="14"/>
        <item m="1" x="8"/>
        <item m="1" x="9"/>
        <item x="3"/>
        <item x="4"/>
        <item m="1" x="10"/>
        <item m="1" x="11"/>
        <item x="5"/>
        <item m="1" x="15"/>
        <item m="1" x="16"/>
        <item m="1" x="17"/>
        <item x="6"/>
      </items>
    </pivotField>
    <pivotField axis="axisRow" compact="0" outline="0" subtotalTop="0" showAll="0" sortType="descending" defaultSubtotal="0">
      <items count="6">
        <item h="1" m="1" x="5"/>
        <item h="1" x="1"/>
        <item h="1" m="1" x="4"/>
        <item h="1" m="1" x="3"/>
        <item h="1" x="0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dragToRow="0" dragToCol="0" dragToPage="0" showAll="0" defaultSubtotal="0"/>
  </pivotFields>
  <rowFields count="2">
    <field x="7"/>
    <field x="5"/>
  </rowFields>
  <rowItems count="16">
    <i>
      <x v="5"/>
      <x v="6"/>
    </i>
    <i r="1">
      <x v="8"/>
    </i>
    <i r="1">
      <x v="9"/>
    </i>
    <i r="1">
      <x v="10"/>
    </i>
    <i r="1">
      <x v="13"/>
    </i>
    <i r="1">
      <x v="15"/>
    </i>
    <i r="1">
      <x v="19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29"/>
    </i>
    <i r="1">
      <x v="33"/>
    </i>
    <i t="grand">
      <x/>
    </i>
  </rowItems>
  <colItems count="1">
    <i/>
  </colItems>
  <pageFields count="2">
    <pageField fld="0" hier="-1"/>
    <pageField fld="6" hier="-1"/>
  </pageFields>
  <dataFields count="1">
    <dataField name=" CUPOS" fld="22" baseField="0" baseItem="0" numFmtId="165"/>
  </dataFields>
  <formats count="5">
    <format dxfId="451">
      <pivotArea outline="0" fieldPosition="0">
        <references count="1">
          <reference field="4294967294" count="1" selected="0">
            <x v="0"/>
          </reference>
        </references>
      </pivotArea>
    </format>
    <format dxfId="450">
      <pivotArea outline="0" collapsedLevelsAreSubtotals="1" fieldPosition="0"/>
    </format>
    <format dxfId="449">
      <pivotArea dataOnly="0" labelOnly="1" outline="0" axis="axisValues" fieldPosition="0"/>
    </format>
    <format dxfId="448">
      <pivotArea outline="0" collapsedLevelsAreSubtotals="1" fieldPosition="0"/>
    </format>
    <format dxfId="447">
      <pivotArea dataOnly="0" labelOnly="1" grandCol="1" outline="0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7030E-EFCB-43A0-8591-2F6C6DF9ECFF}" name="TablaDinámica4" cacheId="1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C10" firstHeaderRow="1" firstDataRow="1" firstDataCol="2" rowPageCount="1" colPageCount="1"/>
  <pivotFields count="37"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 sortType="ascending">
      <items count="35">
        <item m="1" x="30"/>
        <item x="1"/>
        <item m="1" x="33"/>
        <item x="3"/>
        <item x="4"/>
        <item m="1" x="31"/>
        <item x="5"/>
        <item m="1" x="17"/>
        <item x="6"/>
        <item m="1" x="32"/>
        <item x="8"/>
        <item x="9"/>
        <item x="10"/>
        <item x="11"/>
        <item m="1" x="22"/>
        <item x="12"/>
        <item x="13"/>
        <item x="14"/>
        <item m="1" x="29"/>
        <item x="15"/>
        <item x="0"/>
        <item m="1" x="28"/>
        <item m="1" x="21"/>
        <item x="7"/>
        <item m="1" x="19"/>
        <item m="1" x="20"/>
        <item m="1" x="18"/>
        <item m="1" x="23"/>
        <item m="1" x="25"/>
        <item m="1" x="24"/>
        <item m="1" x="27"/>
        <item m="1" x="26"/>
        <item m="1" x="1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ubtotalTop="0" multipleItemSelectionAllowed="1" showAll="0" sortType="ascending">
      <items count="19">
        <item h="1" m="1" x="13"/>
        <item h="1" x="0"/>
        <item h="1" m="1" x="12"/>
        <item x="1"/>
        <item h="1" x="2"/>
        <item h="1" m="1" x="7"/>
        <item h="1" m="1" x="14"/>
        <item h="1" m="1" x="8"/>
        <item h="1" m="1" x="9"/>
        <item h="1" x="3"/>
        <item h="1" x="4"/>
        <item h="1" m="1" x="10"/>
        <item h="1" m="1" x="11"/>
        <item h="1" x="5"/>
        <item m="1" x="15"/>
        <item m="1" x="16"/>
        <item m="1" x="17"/>
        <item h="1" x="6"/>
        <item t="default"/>
      </items>
    </pivotField>
    <pivotField axis="axisRow" compact="0" outline="0" subtotalTop="0" showAll="0" sortType="descending">
      <items count="7">
        <item h="1" m="1" x="5"/>
        <item h="1" x="1"/>
        <item h="1" m="1" x="4"/>
        <item h="1" m="1" x="3"/>
        <item h="1"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dragToRow="0" dragToCol="0" dragToPage="0" showAll="0" defaultSubtotal="0"/>
  </pivotFields>
  <rowFields count="2">
    <field x="7"/>
    <field x="5"/>
  </rowFields>
  <rowItems count="6">
    <i>
      <x v="5"/>
      <x v="33"/>
    </i>
    <i r="1">
      <x v="4"/>
    </i>
    <i r="1">
      <x v="3"/>
    </i>
    <i r="1">
      <x v="1"/>
    </i>
    <i t="default">
      <x v="5"/>
    </i>
    <i t="grand">
      <x/>
    </i>
  </rowItems>
  <colItems count="1">
    <i/>
  </colItems>
  <pageFields count="1">
    <pageField fld="6" hier="-1"/>
  </pageFields>
  <dataFields count="1">
    <dataField name=" CUPOS" fld="22" baseField="0" baseItem="0" numFmtId="165"/>
  </dataFields>
  <formats count="5">
    <format dxfId="456">
      <pivotArea outline="0" fieldPosition="0">
        <references count="1">
          <reference field="4294967294" count="1" selected="0">
            <x v="0"/>
          </reference>
        </references>
      </pivotArea>
    </format>
    <format dxfId="455">
      <pivotArea outline="0" collapsedLevelsAreSubtotals="1" fieldPosition="0"/>
    </format>
    <format dxfId="454">
      <pivotArea dataOnly="0" labelOnly="1" outline="0" axis="axisValues" fieldPosition="0"/>
    </format>
    <format dxfId="453">
      <pivotArea outline="0" collapsedLevelsAreSubtotals="1" fieldPosition="0"/>
    </format>
    <format dxfId="452">
      <pivotArea dataOnly="0" labelOnly="1" grandCol="1" outline="0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19D8F-09EA-49A3-87D3-A65ECB93F92F}" name="TablaDinámica6" cacheId="19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F4:H11" firstHeaderRow="1" firstDataRow="1" firstDataCol="2" rowPageCount="1" colPageCount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6">
        <item h="1" m="1" x="13"/>
        <item h="1" x="1"/>
        <item h="1" m="1" x="12"/>
        <item h="1" x="2"/>
        <item h="1" x="3"/>
        <item h="1" m="1" x="7"/>
        <item h="1" m="1" x="9"/>
        <item x="0"/>
        <item h="1" x="4"/>
        <item m="1" x="14"/>
        <item h="1" m="1" x="8"/>
        <item h="1" m="1" x="6"/>
        <item h="1" m="1" x="11"/>
        <item h="1" m="1" x="10"/>
        <item h="1" x="5"/>
        <item t="default"/>
      </items>
    </pivotField>
    <pivotField axis="axisRow" compact="0" outline="0" showAll="0" sortType="descending">
      <items count="34">
        <item sd="0" x="11"/>
        <item sd="0" m="1" x="31"/>
        <item sd="0" m="1" x="25"/>
        <item sd="0" x="3"/>
        <item sd="0" m="1" x="12"/>
        <item sd="0" x="4"/>
        <item sd="0" x="5"/>
        <item sd="0" x="7"/>
        <item sd="0" m="1" x="24"/>
        <item sd="0" x="9"/>
        <item sd="0" x="6"/>
        <item sd="0" m="1" x="29"/>
        <item sd="0" m="1" x="27"/>
        <item sd="0" x="8"/>
        <item sd="0" m="1" x="17"/>
        <item sd="0" x="1"/>
        <item sd="0" m="1" x="23"/>
        <item sd="0" x="0"/>
        <item sd="0" x="2"/>
        <item sd="0" m="1" x="30"/>
        <item sd="0" x="10"/>
        <item sd="0" m="1" x="28"/>
        <item sd="0" m="1" x="26"/>
        <item sd="0" m="1" x="32"/>
        <item sd="0" m="1" x="22"/>
        <item m="1" x="13"/>
        <item m="1" x="14"/>
        <item m="1" x="15"/>
        <item m="1" x="19"/>
        <item m="1" x="16"/>
        <item m="1" x="18"/>
        <item m="1" x="20"/>
        <item m="1"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multipleItemSelectionAllowed="1" showAll="0" sortType="descending">
      <items count="8">
        <item x="1"/>
        <item m="1" x="5"/>
        <item m="1" x="4"/>
        <item m="1" x="3"/>
        <item x="2"/>
        <item x="0"/>
        <item m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2">
    <field x="9"/>
    <field x="8"/>
  </rowFields>
  <rowItems count="7">
    <i>
      <x v="5"/>
      <x v="15"/>
    </i>
    <i r="1">
      <x v="18"/>
    </i>
    <i r="1">
      <x v="17"/>
    </i>
    <i t="default">
      <x v="5"/>
    </i>
    <i>
      <x/>
      <x v="15"/>
    </i>
    <i t="default">
      <x/>
    </i>
    <i t="grand">
      <x/>
    </i>
  </rowItems>
  <colItems count="1">
    <i/>
  </colItems>
  <pageFields count="1">
    <pageField fld="7" hier="-1"/>
  </pageFields>
  <dataFields count="1">
    <dataField name=" CUPOS" fld="11" baseField="0" baseItem="0"/>
  </dataFields>
  <formats count="1">
    <format dxfId="457">
      <pivotArea outline="0" collapsedLevelsAreSubtotals="1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EDE31-C7D1-4EEF-8ABB-996FAAF2B950}" name="TablaDinámica2" cacheId="1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5:D24" firstHeaderRow="0" firstDataRow="1" firstDataCol="2" rowPageCount="1" colPageCount="1"/>
  <pivotFields count="3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9">
        <item x="1"/>
        <item h="1" x="2"/>
        <item h="1" m="1" x="14"/>
        <item h="1" x="3"/>
        <item h="1" x="4"/>
        <item h="1" m="1" x="10"/>
        <item h="1" m="1" x="11"/>
        <item h="1" x="5"/>
        <item m="1" x="15"/>
        <item m="1" x="16"/>
        <item m="1" x="17"/>
        <item h="1" x="6"/>
        <item h="1" x="0"/>
        <item h="1" m="1" x="7"/>
        <item h="1" m="1" x="8"/>
        <item h="1" m="1" x="9"/>
        <item h="1" m="1" x="12"/>
        <item h="1" m="1" x="13"/>
        <item t="default"/>
      </items>
    </pivotField>
    <pivotField axis="axisRow" compact="0" outline="0" showAll="0" sortType="descending">
      <items count="7">
        <item m="1" x="5"/>
        <item x="1"/>
        <item m="1" x="4"/>
        <item m="1"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x="1"/>
        <item x="2"/>
        <item m="1" x="4"/>
        <item m="1" x="6"/>
        <item m="1" x="5"/>
        <item m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2">
    <field x="7"/>
    <field x="29"/>
  </rowFields>
  <rowItems count="9">
    <i>
      <x v="4"/>
      <x/>
    </i>
    <i r="1">
      <x v="1"/>
    </i>
    <i r="1">
      <x v="2"/>
    </i>
    <i t="default">
      <x v="4"/>
    </i>
    <i>
      <x v="1"/>
      <x/>
    </i>
    <i r="1">
      <x v="1"/>
    </i>
    <i r="1">
      <x v="2"/>
    </i>
    <i t="default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 CUPOS" fld="22" baseField="0" baseItem="0"/>
    <dataField name=" % CUPOS" fld="22" baseField="7" baseItem="1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formats count="1">
    <format dxfId="458">
      <pivotArea outline="0" fieldPosition="0">
        <references count="3">
          <reference field="4294967294" count="1" selected="0">
            <x v="0"/>
          </reference>
          <reference field="7" count="0" selected="0"/>
          <reference field="29" count="3" selected="0">
            <x v="0"/>
            <x v="1"/>
            <x v="2"/>
          </reference>
        </references>
      </pivotArea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B63A6-CB9A-4B18-A9E4-E4C2C7BFA376}" name="TablaDinámica7" cacheId="194" applyNumberFormats="0" applyBorderFormats="0" applyFontFormats="0" applyPatternFormats="0" applyAlignmentFormats="0" applyWidthHeightFormats="1" dataCaption="Valores" updatedVersion="8" minRefreshableVersion="3" useAutoFormatting="1" itemPrintTitles="1" mergeItem="1" createdVersion="8" indent="0" compact="0" compactData="0" multipleFieldFilters="0">
  <location ref="A98:G105" firstHeaderRow="1" firstDataRow="3" firstDataCol="2" rowPageCount="1" colPageCount="1"/>
  <pivotFields count="37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sortType="ascending" defaultSubtotal="0">
      <items count="12">
        <item m="1" x="7"/>
        <item m="1" x="8"/>
        <item m="1" x="5"/>
        <item m="1" x="3"/>
        <item x="0"/>
        <item m="1" x="6"/>
        <item m="1" x="4"/>
        <item x="1"/>
        <item x="2"/>
        <item m="1" x="10"/>
        <item m="1" x="9"/>
        <item m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defaultSubtotal="0">
      <items count="7">
        <item x="4"/>
        <item h="1" x="5"/>
        <item h="1" m="1" x="6"/>
        <item x="0"/>
        <item x="1"/>
        <item h="1" x="3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 defaultSubtotal="0">
      <items count="34">
        <item x="15"/>
        <item m="1" x="26"/>
        <item m="1" x="29"/>
        <item m="1" x="27"/>
        <item x="14"/>
        <item x="13"/>
        <item x="12"/>
        <item m="1" x="22"/>
        <item x="11"/>
        <item x="10"/>
        <item x="9"/>
        <item x="8"/>
        <item m="1" x="32"/>
        <item m="1" x="21"/>
        <item x="7"/>
        <item m="1" x="20"/>
        <item m="1" x="19"/>
        <item m="1" x="18"/>
        <item x="6"/>
        <item m="1" x="17"/>
        <item x="5"/>
        <item m="1" x="28"/>
        <item m="1" x="31"/>
        <item x="2"/>
        <item x="4"/>
        <item x="3"/>
        <item m="1" x="33"/>
        <item x="1"/>
        <item m="1" x="16"/>
        <item m="1" x="25"/>
        <item m="1" x="24"/>
        <item m="1" x="23"/>
        <item m="1" x="30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 sortType="ascending" defaultSubtotal="0">
      <items count="18">
        <item h="1" m="1" x="13"/>
        <item h="1" x="0"/>
        <item h="1" m="1" x="12"/>
        <item x="1"/>
        <item h="1" x="2"/>
        <item h="1" m="1" x="7"/>
        <item h="1" m="1" x="14"/>
        <item h="1" m="1" x="8"/>
        <item h="1" m="1" x="9"/>
        <item h="1" x="3"/>
        <item h="1" x="4"/>
        <item h="1" m="1" x="10"/>
        <item h="1" m="1" x="11"/>
        <item h="1" x="5"/>
        <item m="1" x="15"/>
        <item m="1" x="16"/>
        <item m="1" x="17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 defaultSubtotal="0">
      <items count="6">
        <item h="1" m="1" x="5"/>
        <item h="1" x="1"/>
        <item h="1" m="1" x="4"/>
        <item h="1" m="1" x="3"/>
        <item h="1" x="0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5"/>
  </rowFields>
  <rowItems count="5">
    <i>
      <x v="5"/>
      <x v="27"/>
    </i>
    <i r="1">
      <x v="25"/>
    </i>
    <i r="1">
      <x v="24"/>
    </i>
    <i r="1">
      <x v="23"/>
    </i>
    <i t="grand">
      <x/>
    </i>
  </rowItems>
  <colFields count="2">
    <field x="1"/>
    <field x="2"/>
  </colFields>
  <colItems count="5">
    <i>
      <x v="4"/>
      <x/>
    </i>
    <i r="1">
      <x v="3"/>
    </i>
    <i r="1">
      <x v="4"/>
    </i>
    <i>
      <x v="7"/>
      <x v="3"/>
    </i>
    <i t="grand">
      <x/>
    </i>
  </colItems>
  <pageFields count="1">
    <pageField fld="6" hier="-1"/>
  </pageFields>
  <dataFields count="1">
    <dataField name=" CUPOS" fld="22" baseField="0" baseItem="0" numFmtId="165"/>
  </dataFields>
  <formats count="5">
    <format dxfId="463">
      <pivotArea outline="0" fieldPosition="0">
        <references count="1">
          <reference field="4294967294" count="1" selected="0">
            <x v="0"/>
          </reference>
        </references>
      </pivotArea>
    </format>
    <format dxfId="462">
      <pivotArea outline="0" collapsedLevelsAreSubtotals="1" fieldPosition="0"/>
    </format>
    <format dxfId="461">
      <pivotArea dataOnly="0" labelOnly="1" outline="0" axis="axisValues" fieldPosition="0"/>
    </format>
    <format dxfId="460">
      <pivotArea outline="0" collapsedLevelsAreSubtotals="1" fieldPosition="0"/>
    </format>
    <format dxfId="459">
      <pivotArea dataOnly="0" labelOnly="1" grandCol="1" outline="0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F9A92C68-1CC1-4CED-9E61-3CB533AC7642}" sourceName="CATEGORIA">
  <pivotTables>
    <pivotTable tabId="99" name="TablaDinámica8"/>
  </pivotTables>
  <data>
    <tabular pivotCacheId="355118380">
      <items count="18">
        <i x="1" s="1"/>
        <i x="2"/>
        <i x="3"/>
        <i x="4"/>
        <i x="5"/>
        <i x="6"/>
        <i x="13" nd="1"/>
        <i x="0" nd="1"/>
        <i x="12" nd="1"/>
        <i x="7" nd="1"/>
        <i x="14" nd="1"/>
        <i x="8" nd="1"/>
        <i x="9" nd="1"/>
        <i x="10" nd="1"/>
        <i x="11" nd="1"/>
        <i x="15" nd="1"/>
        <i x="16" nd="1"/>
        <i x="1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VISION" xr10:uid="{11A932B8-AEB7-43AF-9827-FA54D3A20BF0}" sourceName="DIVISION">
  <pivotTables>
    <pivotTable tabId="99" name="TablaDinámica8"/>
  </pivotTables>
  <data>
    <tabular pivotCacheId="355118380">
      <items count="6">
        <i x="1"/>
        <i x="2" s="1"/>
        <i x="5" nd="1"/>
        <i x="4" nd="1"/>
        <i x="3" nd="1"/>
        <i x="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RUPO" xr10:uid="{C20E68B0-E93B-41F5-9EC1-1E308D4EDCF6}" sourceName="GRUPO">
  <pivotTables>
    <pivotTable tabId="99" name="TablaDinámica8"/>
  </pivotTables>
  <data>
    <tabular pivotCacheId="355118380">
      <items count="23">
        <i x="1" s="1"/>
        <i x="4" s="1"/>
        <i x="3" s="1"/>
        <i x="2" s="1"/>
        <i x="6" s="1"/>
        <i x="10" s="1"/>
        <i x="7" s="1"/>
        <i x="8" s="1"/>
        <i x="5" s="1"/>
        <i x="9" s="1"/>
        <i x="11" s="1"/>
        <i x="18" s="1" nd="1"/>
        <i x="20" s="1" nd="1"/>
        <i x="14" s="1" nd="1"/>
        <i x="15" s="1" nd="1"/>
        <i x="21" s="1" nd="1"/>
        <i x="22" s="1" nd="1"/>
        <i x="19" s="1" nd="1"/>
        <i x="13" s="1" nd="1"/>
        <i x="16" s="1" nd="1"/>
        <i x="0" s="1" nd="1"/>
        <i x="12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DENA" xr10:uid="{08B3D5D5-10AA-441C-8D66-CC432D8B38B4}" sourceName="CADENA">
  <pivotTables>
    <pivotTable tabId="99" name="TablaDinámica8"/>
  </pivotTables>
  <data>
    <tabular pivotCacheId="355118380">
      <items count="59">
        <i x="19" s="1"/>
        <i x="12" s="1"/>
        <i x="10" s="1"/>
        <i x="2" s="1"/>
        <i x="11" s="1"/>
        <i x="13" s="1"/>
        <i x="33" s="1"/>
        <i x="5" s="1"/>
        <i x="23" s="1"/>
        <i x="32" s="1"/>
        <i x="25" s="1"/>
        <i x="8" s="1"/>
        <i x="17" s="1"/>
        <i x="22" s="1"/>
        <i x="24" s="1"/>
        <i x="27" s="1"/>
        <i x="3" s="1"/>
        <i x="7" s="1"/>
        <i x="26" s="1"/>
        <i x="9" s="1"/>
        <i x="30" s="1"/>
        <i x="31" s="1"/>
        <i x="1" s="1"/>
        <i x="15" s="1"/>
        <i x="28" s="1"/>
        <i x="14" s="1"/>
        <i x="18" s="1"/>
        <i x="21" s="1"/>
        <i x="6" s="1"/>
        <i x="20" s="1"/>
        <i x="4" s="1"/>
        <i x="16" s="1"/>
        <i x="29" s="1"/>
        <i x="34" s="1" nd="1"/>
        <i x="46" s="1" nd="1"/>
        <i x="53" s="1" nd="1"/>
        <i x="50" s="1" nd="1"/>
        <i x="41" s="1" nd="1"/>
        <i x="42" s="1" nd="1"/>
        <i x="43" s="1" nd="1"/>
        <i x="55" s="1" nd="1"/>
        <i x="35" s="1" nd="1"/>
        <i x="54" s="1" nd="1"/>
        <i x="38" s="1" nd="1"/>
        <i x="57" s="1" nd="1"/>
        <i x="48" s="1" nd="1"/>
        <i x="56" s="1" nd="1"/>
        <i x="58" s="1" nd="1"/>
        <i x="36" s="1" nd="1"/>
        <i x="37" s="1" nd="1"/>
        <i x="40" s="1" nd="1"/>
        <i x="49" s="1" nd="1"/>
        <i x="47" s="1" nd="1"/>
        <i x="44" s="1" nd="1"/>
        <i x="52" s="1" nd="1"/>
        <i x="0" s="1" nd="1"/>
        <i x="51" s="1" nd="1"/>
        <i x="39" s="1" nd="1"/>
        <i x="4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04CADA54-03D0-4C30-8279-64348D1F5A30}" sourceName="REGION">
  <pivotTables>
    <pivotTable tabId="99" name="TablaDinámica8"/>
  </pivotTables>
  <data>
    <tabular pivotCacheId="355118380">
      <items count="22">
        <i x="2" s="1"/>
        <i x="0" s="1"/>
        <i x="6" s="1"/>
        <i x="3" s="1"/>
        <i x="5" s="1"/>
        <i x="4" s="1"/>
        <i x="1" s="1"/>
        <i x="8" s="1"/>
        <i x="7" s="1"/>
        <i x="20" s="1" nd="1"/>
        <i x="18" s="1" nd="1"/>
        <i x="11" s="1" nd="1"/>
        <i x="13" s="1" nd="1"/>
        <i x="14" s="1" nd="1"/>
        <i x="19" s="1" nd="1"/>
        <i x="15" s="1" nd="1"/>
        <i x="17" s="1" nd="1"/>
        <i x="9" s="1" nd="1"/>
        <i x="10" s="1" nd="1"/>
        <i x="16" s="1" nd="1"/>
        <i x="12" s="1" nd="1"/>
        <i x="2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PERVISOR" xr10:uid="{B7D77228-BC5E-4AC4-A650-437A44336E06}" sourceName="SUPERVISOR">
  <pivotTables>
    <pivotTable tabId="99" name="TablaDinámica8"/>
  </pivotTables>
  <data>
    <tabular pivotCacheId="355118380">
      <items count="150">
        <i x="10" s="1"/>
        <i x="17" s="1"/>
        <i x="16" s="1"/>
        <i x="15" s="1"/>
        <i x="6" s="1"/>
        <i x="8" s="1"/>
        <i x="2" s="1"/>
        <i x="12" s="1"/>
        <i x="9" s="1"/>
        <i x="4" s="1"/>
        <i x="11" s="1"/>
        <i x="1" s="1"/>
        <i x="5" s="1"/>
        <i x="14" s="1"/>
        <i x="13" s="1"/>
        <i x="7" s="1"/>
        <i x="3" s="1"/>
        <i x="121" s="1" nd="1"/>
        <i x="104" s="1" nd="1"/>
        <i x="109" s="1" nd="1"/>
        <i x="30" s="1" nd="1"/>
        <i x="18" s="1" nd="1"/>
        <i x="42" s="1" nd="1"/>
        <i x="29" s="1" nd="1"/>
        <i x="41" s="1" nd="1"/>
        <i x="47" s="1" nd="1"/>
        <i x="92" s="1" nd="1"/>
        <i x="65" s="1" nd="1"/>
        <i x="125" s="1" nd="1"/>
        <i x="105" s="1" nd="1"/>
        <i x="26" s="1" nd="1"/>
        <i x="21" s="1" nd="1"/>
        <i x="33" s="1" nd="1"/>
        <i x="135" s="1" nd="1"/>
        <i x="82" s="1" nd="1"/>
        <i x="51" s="1" nd="1"/>
        <i x="83" s="1" nd="1"/>
        <i x="136" s="1" nd="1"/>
        <i x="128" s="1" nd="1"/>
        <i x="22" s="1" nd="1"/>
        <i x="76" s="1" nd="1"/>
        <i x="66" s="1" nd="1"/>
        <i x="48" s="1" nd="1"/>
        <i x="91" s="1" nd="1"/>
        <i x="103" s="1" nd="1"/>
        <i x="62" s="1" nd="1"/>
        <i x="74" s="1" nd="1"/>
        <i x="52" s="1" nd="1"/>
        <i x="44" s="1" nd="1"/>
        <i x="102" s="1" nd="1"/>
        <i x="117" s="1" nd="1"/>
        <i x="0" s="1" nd="1"/>
        <i x="39" s="1" nd="1"/>
        <i x="138" s="1" nd="1"/>
        <i x="145" s="1" nd="1"/>
        <i x="140" s="1" nd="1"/>
        <i x="77" s="1" nd="1"/>
        <i x="131" s="1" nd="1"/>
        <i x="85" s="1" nd="1"/>
        <i x="99" s="1" nd="1"/>
        <i x="50" s="1" nd="1"/>
        <i x="86" s="1" nd="1"/>
        <i x="114" s="1" nd="1"/>
        <i x="79" s="1" nd="1"/>
        <i x="87" s="1" nd="1"/>
        <i x="139" s="1" nd="1"/>
        <i x="55" s="1" nd="1"/>
        <i x="93" s="1" nd="1"/>
        <i x="73" s="1" nd="1"/>
        <i x="98" s="1" nd="1"/>
        <i x="46" s="1" nd="1"/>
        <i x="37" s="1" nd="1"/>
        <i x="23" s="1" nd="1"/>
        <i x="80" s="1" nd="1"/>
        <i x="88" s="1" nd="1"/>
        <i x="118" s="1" nd="1"/>
        <i x="100" s="1" nd="1"/>
        <i x="148" s="1" nd="1"/>
        <i x="113" s="1" nd="1"/>
        <i x="115" s="1" nd="1"/>
        <i x="40" s="1" nd="1"/>
        <i x="120" s="1" nd="1"/>
        <i x="43" s="1" nd="1"/>
        <i x="111" s="1" nd="1"/>
        <i x="54" s="1" nd="1"/>
        <i x="28" s="1" nd="1"/>
        <i x="24" s="1" nd="1"/>
        <i x="45" s="1" nd="1"/>
        <i x="35" s="1" nd="1"/>
        <i x="31" s="1" nd="1"/>
        <i x="137" s="1" nd="1"/>
        <i x="95" s="1" nd="1"/>
        <i x="67" s="1" nd="1"/>
        <i x="106" s="1" nd="1"/>
        <i x="59" s="1" nd="1"/>
        <i x="20" s="1" nd="1"/>
        <i x="101" s="1" nd="1"/>
        <i x="53" s="1" nd="1"/>
        <i x="58" s="1" nd="1"/>
        <i x="127" s="1" nd="1"/>
        <i x="75" s="1" nd="1"/>
        <i x="49" s="1" nd="1"/>
        <i x="38" s="1" nd="1"/>
        <i x="149" s="1" nd="1"/>
        <i x="81" s="1" nd="1"/>
        <i x="27" s="1" nd="1"/>
        <i x="130" s="1" nd="1"/>
        <i x="25" s="1" nd="1"/>
        <i x="36" s="1" nd="1"/>
        <i x="123" s="1" nd="1"/>
        <i x="107" s="1" nd="1"/>
        <i x="32" s="1" nd="1"/>
        <i x="56" s="1" nd="1"/>
        <i x="90" s="1" nd="1"/>
        <i x="61" s="1" nd="1"/>
        <i x="78" s="1" nd="1"/>
        <i x="19" s="1" nd="1"/>
        <i x="142" s="1" nd="1"/>
        <i x="141" s="1" nd="1"/>
        <i x="143" s="1" nd="1"/>
        <i x="64" s="1" nd="1"/>
        <i x="124" s="1" nd="1"/>
        <i x="68" s="1" nd="1"/>
        <i x="133" s="1" nd="1"/>
        <i x="126" s="1" nd="1"/>
        <i x="63" s="1" nd="1"/>
        <i x="72" s="1" nd="1"/>
        <i x="94" s="1" nd="1"/>
        <i x="97" s="1" nd="1"/>
        <i x="144" s="1" nd="1"/>
        <i x="112" s="1" nd="1"/>
        <i x="116" s="1" nd="1"/>
        <i x="96" s="1" nd="1"/>
        <i x="134" s="1" nd="1"/>
        <i x="57" s="1" nd="1"/>
        <i x="70" s="1" nd="1"/>
        <i x="146" s="1" nd="1"/>
        <i x="119" s="1" nd="1"/>
        <i x="147" s="1" nd="1"/>
        <i x="69" s="1" nd="1"/>
        <i x="60" s="1" nd="1"/>
        <i x="129" s="1" nd="1"/>
        <i x="71" s="1" nd="1"/>
        <i x="34" s="1" nd="1"/>
        <i x="132" s="1" nd="1"/>
        <i x="89" s="1" nd="1"/>
        <i x="84" s="1" nd="1"/>
        <i x="108" s="1" nd="1"/>
        <i x="110" s="1" nd="1"/>
        <i x="12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ORDINADOR" xr10:uid="{CF8189E3-1E76-4565-8A90-0BD6891A57CA}" sourceName="COORDINADOR">
  <pivotTables>
    <pivotTable tabId="99" name="TablaDinámica8"/>
  </pivotTables>
  <data>
    <tabular pivotCacheId="355118380">
      <items count="58">
        <i x="5" s="1"/>
        <i x="2" s="1"/>
        <i x="4" s="1"/>
        <i x="1" s="1"/>
        <i x="3" s="1"/>
        <i x="6" s="1"/>
        <i x="49" s="1" nd="1"/>
        <i x="14" s="1" nd="1"/>
        <i x="56" s="1" nd="1"/>
        <i x="8" s="1" nd="1"/>
        <i x="17" s="1" nd="1"/>
        <i x="33" s="1" nd="1"/>
        <i x="42" s="1" nd="1"/>
        <i x="52" s="1" nd="1"/>
        <i x="21" s="1" nd="1"/>
        <i x="9" s="1" nd="1"/>
        <i x="34" s="1" nd="1"/>
        <i x="0" s="1" nd="1"/>
        <i x="54" s="1" nd="1"/>
        <i x="11" s="1" nd="1"/>
        <i x="35" s="1" nd="1"/>
        <i x="28" s="1" nd="1"/>
        <i x="23" s="1" nd="1"/>
        <i x="38" s="1" nd="1"/>
        <i x="37" s="1" nd="1"/>
        <i x="40" s="1" nd="1"/>
        <i x="41" s="1" nd="1"/>
        <i x="27" s="1" nd="1"/>
        <i x="7" s="1" nd="1"/>
        <i x="19" s="1" nd="1"/>
        <i x="10" s="1" nd="1"/>
        <i x="20" s="1" nd="1"/>
        <i x="24" s="1" nd="1"/>
        <i x="53" s="1" nd="1"/>
        <i x="13" s="1" nd="1"/>
        <i x="22" s="1" nd="1"/>
        <i x="16" s="1" nd="1"/>
        <i x="26" s="1" nd="1"/>
        <i x="39" s="1" nd="1"/>
        <i x="48" s="1" nd="1"/>
        <i x="51" s="1" nd="1"/>
        <i x="18" s="1" nd="1"/>
        <i x="15" s="1" nd="1"/>
        <i x="12" s="1" nd="1"/>
        <i x="44" s="1" nd="1"/>
        <i x="55" s="1" nd="1"/>
        <i x="31" s="1" nd="1"/>
        <i x="29" s="1" nd="1"/>
        <i x="57" s="1" nd="1"/>
        <i x="45" s="1" nd="1"/>
        <i x="30" s="1" nd="1"/>
        <i x="47" s="1" nd="1"/>
        <i x="36" s="1" nd="1"/>
        <i x="25" s="1" nd="1"/>
        <i x="46" s="1" nd="1"/>
        <i x="43" s="1" nd="1"/>
        <i x="32" s="1" nd="1"/>
        <i x="5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VEDAD" xr10:uid="{0633A851-5FAF-47C9-859C-669321345262}" sourceName="NOVEDAD">
  <pivotTables>
    <pivotTable tabId="98" name="TablaDinámica7"/>
  </pivotTables>
  <data>
    <tabular pivotCacheId="355118380">
      <items count="7">
        <i x="4" s="1"/>
        <i x="5"/>
        <i x="0" s="1"/>
        <i x="1" s="1"/>
        <i x="3"/>
        <i x="2"/>
        <i x="6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C63A7D34-43B5-4453-AB3D-505EB960A70A}" sourceName="CIUDAD">
  <pivotTables>
    <pivotTable tabId="99" name="TablaDinámica8"/>
  </pivotTables>
  <data>
    <tabular pivotCacheId="355118380">
      <items count="99">
        <i x="43" s="1"/>
        <i x="45" s="1"/>
        <i x="51" s="1"/>
        <i x="44" s="1"/>
        <i x="36" s="1"/>
        <i x="3" s="1"/>
        <i x="13" s="1"/>
        <i x="0" s="1"/>
        <i x="1" s="1"/>
        <i x="21" s="1"/>
        <i x="34" s="1"/>
        <i x="38" s="1"/>
        <i x="4" s="1"/>
        <i x="31" s="1"/>
        <i x="53" s="1"/>
        <i x="56" s="1"/>
        <i x="7" s="1"/>
        <i x="11" s="1"/>
        <i x="35" s="1"/>
        <i x="20" s="1"/>
        <i x="37" s="1"/>
        <i x="58" s="1"/>
        <i x="23" s="1"/>
        <i x="15" s="1"/>
        <i x="59" s="1"/>
        <i x="30" s="1"/>
        <i x="55" s="1"/>
        <i x="50" s="1"/>
        <i x="39" s="1"/>
        <i x="12" s="1"/>
        <i x="27" s="1"/>
        <i x="16" s="1"/>
        <i x="47" s="1"/>
        <i x="8" s="1"/>
        <i x="2" s="1"/>
        <i x="25" s="1"/>
        <i x="32" s="1"/>
        <i x="29" s="1"/>
        <i x="57" s="1"/>
        <i x="46" s="1"/>
        <i x="14" s="1"/>
        <i x="5" s="1"/>
        <i x="54" s="1"/>
        <i x="52" s="1"/>
        <i x="26" s="1"/>
        <i x="24" s="1"/>
        <i x="17" s="1"/>
        <i x="42" s="1"/>
        <i x="18" s="1"/>
        <i x="48" s="1"/>
        <i x="19" s="1"/>
        <i x="10" s="1"/>
        <i x="41" s="1"/>
        <i x="6" s="1"/>
        <i x="33" s="1"/>
        <i x="40" s="1"/>
        <i x="9" s="1"/>
        <i x="28" s="1"/>
        <i x="49" s="1"/>
        <i x="22" s="1"/>
        <i x="62" s="1" nd="1"/>
        <i x="60" s="1" nd="1"/>
        <i x="70" s="1" nd="1"/>
        <i x="66" s="1" nd="1"/>
        <i x="94" s="1" nd="1"/>
        <i x="78" s="1" nd="1"/>
        <i x="88" s="1" nd="1"/>
        <i x="80" s="1" nd="1"/>
        <i x="76" s="1" nd="1"/>
        <i x="90" s="1" nd="1"/>
        <i x="68" s="1" nd="1"/>
        <i x="98" s="1" nd="1"/>
        <i x="71" s="1" nd="1"/>
        <i x="64" s="1" nd="1"/>
        <i x="85" s="1" nd="1"/>
        <i x="82" s="1" nd="1"/>
        <i x="83" s="1" nd="1"/>
        <i x="87" s="1" nd="1"/>
        <i x="93" s="1" nd="1"/>
        <i x="89" s="1" nd="1"/>
        <i x="77" s="1" nd="1"/>
        <i x="73" s="1" nd="1"/>
        <i x="69" s="1" nd="1"/>
        <i x="65" s="1" nd="1"/>
        <i x="61" s="1" nd="1"/>
        <i x="74" s="1" nd="1"/>
        <i x="86" s="1" nd="1"/>
        <i x="91" s="1" nd="1"/>
        <i x="63" s="1" nd="1"/>
        <i x="72" s="1" nd="1"/>
        <i x="84" s="1" nd="1"/>
        <i x="79" s="1" nd="1"/>
        <i x="75" s="1" nd="1"/>
        <i x="67" s="1" nd="1"/>
        <i x="81" s="1" nd="1"/>
        <i x="92" s="1" nd="1"/>
        <i x="97" s="1" nd="1"/>
        <i x="96" s="1" nd="1"/>
        <i x="9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235FB4CD-22E3-4FD8-ADAE-6F319071EF3A}" cache="SegmentaciónDeDatos_CATEGORIA" caption="CATEGORIA" style="SlicerStyleOther1" rowHeight="241300"/>
  <slicer name="DIVISION" xr10:uid="{7691AD82-D258-4B8B-8617-554FAF45B208}" cache="SegmentaciónDeDatos_DIVISION" caption="DIVISION" columnCount="2" style="SlicerStyleOther1" rowHeight="241300"/>
  <slicer name="GRUPO" xr10:uid="{12836659-191C-452C-9948-6DD914B4D945}" cache="SegmentaciónDeDatos_GRUPO" caption="GRUPO" style="SlicerStyleOther1" rowHeight="241300"/>
  <slicer name="CADENA" xr10:uid="{E4FA48B7-DA67-43F8-94EE-8912F753B8AA}" cache="SegmentaciónDeDatos_CADENA" caption="CADENA" style="SlicerStyleOther1" rowHeight="241300"/>
  <slicer name="REGION" xr10:uid="{08E0147C-7F4D-49DC-8731-2D99DC8D0839}" cache="SegmentaciónDeDatos_REGION" caption="REGION" style="SlicerStyleOther1" rowHeight="241300"/>
  <slicer name="SUPERVISOR" xr10:uid="{3B080A4A-679D-4D33-9989-A03ECFFED3BF}" cache="SegmentaciónDeDatos_SUPERVISOR" caption="SUPERVISOR" style="SlicerStyleOther1" rowHeight="241300"/>
  <slicer name="COORDINADOR" xr10:uid="{E004D097-879C-4BA9-901F-243D7DE69C07}" cache="SegmentaciónDeDatos_COORDINADOR" caption="COORDINADOR" style="SlicerStyleOther1" rowHeight="241300"/>
  <slicer name="CIUDAD" xr10:uid="{D2E1462B-6F59-40FD-AE4B-3E0C130431FF}" cache="SegmentaciónDeDatos_CIUDAD" caption="CIUDAD" columnCount="2" style="SlicerStyleOther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VEDAD" xr10:uid="{DC780CB5-D448-4A53-A702-78052C50BA60}" cache="SegmentaciónDeDatos_NOVEDAD" caption="NOVEDAD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C452B9-131E-4DCA-8362-7F09AE4B17E4}" name="Tabla5" displayName="Tabla5" ref="A1:L38" totalsRowShown="0" headerRowDxfId="422" dataDxfId="421">
  <autoFilter ref="A1:L38" xr:uid="{76C452B9-131E-4DCA-8362-7F09AE4B17E4}">
    <filterColumn colId="0">
      <filters>
        <filter val="ACTIVO"/>
      </filters>
    </filterColumn>
  </autoFilter>
  <tableColumns count="12">
    <tableColumn id="1" xr3:uid="{759F2DC6-14D1-4405-AF94-A93CAB324717}" name="ESTADO" dataDxfId="420"/>
    <tableColumn id="2" xr3:uid="{9099D35B-D274-4A82-A187-DB2C33D42601}" name="TIPO" dataDxfId="419"/>
    <tableColumn id="7" xr3:uid="{0AC287A9-845E-4F94-9329-3EFD6FF94346}" name="NOVEDAD" dataDxfId="418"/>
    <tableColumn id="3" xr3:uid="{20910735-1E16-43BD-87F6-5BF5E4D75EC7}" name="CEDULA" dataDxfId="417"/>
    <tableColumn id="4" xr3:uid="{D9D2F69F-4DF4-41A4-BA3C-C5342E8D97E6}" name="NOMBRE" dataDxfId="416"/>
    <tableColumn id="29" xr3:uid="{D6FC8BDF-A1CA-4042-911B-C8EBD789FDD2}" name="TELEFONOS" dataDxfId="415"/>
    <tableColumn id="31" xr3:uid="{D2EE9704-C8A5-4D0C-8571-1AAEB54593CB}" name="MAIL" dataDxfId="414"/>
    <tableColumn id="30" xr3:uid="{0289E6F7-15D2-4547-84FE-D3D38D664BA7}" name="CATEGORIA" dataDxfId="413"/>
    <tableColumn id="5" xr3:uid="{FA8915CF-D87F-4F36-8EC6-ADD15EA7A966}" name="RANGO" dataDxfId="412"/>
    <tableColumn id="6" xr3:uid="{4C52BADC-B7E4-4D32-A7FC-C6FCAC9543AA}" name="DIVISION" dataDxfId="411"/>
    <tableColumn id="15" xr3:uid="{0A31FC2A-CCF7-477F-8964-C0C5CE210F9B}" name="CIUDAD" dataDxfId="410"/>
    <tableColumn id="21" xr3:uid="{D5DF2769-A80B-4FBA-971D-4C170B9A8A34}" name="DISPERSION DE CUPOS" dataDxfId="40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92083ED-89DF-492C-A5FA-DC226A120C03}" name="NHC_78" displayName="NHC_78" ref="A1:AJ719" totalsRowShown="0" headerRowDxfId="534" dataDxfId="532" headerRowBorderDxfId="533">
  <autoFilter ref="A1:AJ719" xr:uid="{592083ED-89DF-492C-A5FA-DC226A120C03}"/>
  <tableColumns count="36">
    <tableColumn id="5" xr3:uid="{8F6BA5D4-39AD-4695-927D-F79CBDA71723}" name="ESTADO" dataDxfId="531" totalsRowDxfId="530"/>
    <tableColumn id="6" xr3:uid="{3FFBD1C9-30F6-4EA0-BEFD-96BB26D245C9}" name="TIPO" dataDxfId="529" totalsRowDxfId="528"/>
    <tableColumn id="11" xr3:uid="{6741569D-0F48-4208-9449-0D3C196657B6}" name="NOVEDAD" dataDxfId="527" totalsRowDxfId="526"/>
    <tableColumn id="7" xr3:uid="{6E57814F-8F9A-463C-9EA5-655D1EB0A4F0}" name="CEDULA" dataDxfId="525" totalsRowDxfId="524"/>
    <tableColumn id="8" xr3:uid="{DC098F86-64E8-465F-A312-46B140D83E66}" name="NOMBRE" dataDxfId="523" totalsRowDxfId="522"/>
    <tableColumn id="9" xr3:uid="{D05D933E-4DB5-477F-B354-2F34223B0788}" name="RANGO" dataDxfId="521" totalsRowDxfId="520"/>
    <tableColumn id="1" xr3:uid="{3D2153D2-CD27-4313-8D23-366EB08AF979}" name="CATEGORIA" dataDxfId="519" totalsRowDxfId="518"/>
    <tableColumn id="10" xr3:uid="{EFE29017-6194-4146-BFD7-DB63E421FC35}" name="DIVISION" dataDxfId="517" totalsRowDxfId="516"/>
    <tableColumn id="12" xr3:uid="{511C438A-47D6-4515-AA38-46BE08EEA9F8}" name="COD POS" dataDxfId="515" totalsRowDxfId="514"/>
    <tableColumn id="13" xr3:uid="{BB515F3E-BB10-44DD-9467-81355FB1EC85}" name="NOMBRE POS" dataDxfId="513" totalsRowDxfId="512"/>
    <tableColumn id="14" xr3:uid="{9F1BE6AB-A791-49C0-883D-A74451E8B10D}" name="DIRECCION POS" dataDxfId="511" totalsRowDxfId="510"/>
    <tableColumn id="16" xr3:uid="{DDCC229A-B5A7-45DF-86AA-461963BD59C3}" name="GRUPO" dataDxfId="509" totalsRowDxfId="508"/>
    <tableColumn id="15" xr3:uid="{9B9A1348-39C4-49D2-95B5-8DD0D6185811}" name="CADENA" dataDxfId="507" totalsRowDxfId="506"/>
    <tableColumn id="17" xr3:uid="{2C2F6017-47A6-406F-B32C-DC34CEC2E8BF}" name="CANAL" dataDxfId="505" totalsRowDxfId="504"/>
    <tableColumn id="19" xr3:uid="{1354913D-69CB-4BB8-A918-D6EF4FC3CA10}" name="CIUDAD" dataDxfId="503" totalsRowDxfId="502"/>
    <tableColumn id="20" xr3:uid="{B37E27B4-8F16-45F2-AA09-2EB8D3C76221}" name="DEPARTAMENTO" dataDxfId="501" totalsRowDxfId="500"/>
    <tableColumn id="21" xr3:uid="{DE3B3152-0EA0-43D6-8A1B-3126A08DB705}" name="REGION" dataDxfId="499" totalsRowDxfId="498"/>
    <tableColumn id="23" xr3:uid="{03A3F4E8-1507-446D-8435-54763BE69299}" name="ENTRENADOR" dataDxfId="497"/>
    <tableColumn id="4" xr3:uid="{9031B233-0070-4578-86B1-F7C0574DE98F}" name="VISUAL MERCHANDISER" dataDxfId="496" totalsRowDxfId="495"/>
    <tableColumn id="25" xr3:uid="{4E3EFE1F-1D37-4898-AFEA-B28C08E2E0A5}" name="SUPERVISOR" dataDxfId="494" totalsRowDxfId="493"/>
    <tableColumn id="30" xr3:uid="{79273D1E-8056-42DE-91BB-A69525892096}" name="COORDINADOR" dataDxfId="492" totalsRowDxfId="491"/>
    <tableColumn id="26" xr3:uid="{05152814-BD75-4F2E-93B1-9F95712E825B}" name="TOTAL DE CUPOS" dataDxfId="490" totalsRowDxfId="489"/>
    <tableColumn id="27" xr3:uid="{FEAC32C1-A722-479D-84DC-9D985977E2D6}" name="DISPERSION DE CUPOS" dataDxfId="488" totalsRowDxfId="487"/>
    <tableColumn id="28" xr3:uid="{441928AF-D174-44D9-8D89-966E17A3C20B}" name="FECHA DE INGRESO" dataDxfId="486"/>
    <tableColumn id="33" xr3:uid="{398EB763-0ECF-4632-A6F3-2BF6FF7ABCB8}" name="DATE SENIORITY" dataDxfId="485"/>
    <tableColumn id="34" xr3:uid="{BF7239E2-48E6-4830-B5C2-CD3DC163C2D0}" name="LENGHT OF SERVICE" dataDxfId="484" totalsRowDxfId="483"/>
    <tableColumn id="18" xr3:uid="{5EF84A9D-5B41-441B-BFF4-03C8F838B980}" name="SENIORITY RANGE CE" dataDxfId="482" totalsRowDxfId="481"/>
    <tableColumn id="32" xr3:uid="{A7BC3981-A480-425D-BDEC-59B852DFB582}" name="TIPO DE POS" dataDxfId="480" totalsRowDxfId="479"/>
    <tableColumn id="35" xr3:uid="{528143A6-8EA6-4D8C-8B19-BD17EFA320AD}" name="TIPO DE POS GENERAL" dataDxfId="478"/>
    <tableColumn id="40" xr3:uid="{C023EACD-2EB9-4889-9985-1F262A711C4E}" name="OBSERVACIONES" dataDxfId="477" totalsRowDxfId="476"/>
    <tableColumn id="3" xr3:uid="{E06F2F64-64A5-42D7-B4CB-9015E4237AE4}" name="LINEA CORPORATIVA" dataDxfId="475" totalsRowDxfId="474"/>
    <tableColumn id="22" xr3:uid="{FC6588F4-6AF3-4B45-B2EC-426009C1AA3B}" name="STATUS LINEA" dataDxfId="473" totalsRowDxfId="472"/>
    <tableColumn id="37" xr3:uid="{953A9393-6BDC-4900-A464-6410A92E7154}" name="POWER STORE / PARETO" dataDxfId="471"/>
    <tableColumn id="49" xr3:uid="{B9116FE3-005B-42A8-A00F-C2AD7F26A7DF}" name="FECHA NACIMIENTO" dataDxfId="470"/>
    <tableColumn id="50" xr3:uid="{A3E79832-C531-42CE-936C-2BB7AD06F12F}" name="EDAD AÑOS" dataDxfId="469"/>
    <tableColumn id="51" xr3:uid="{C01E1E01-0782-4732-8A90-89C318606DC4}" name="GENERO" dataDxfId="468"/>
  </tableColumns>
  <tableStyleInfo name="Nuevo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686F17-2802-4451-8C28-3234C705F245}">
  <we:reference id="wa200004356" version="1.0.0.4" store="es-ES" storeType="OMEX"/>
  <we:alternateReferences>
    <we:reference id="wa200004356" version="1.0.0.4" store="WA20000435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DFFA-168F-4058-AFDA-756119B673B8}">
  <sheetPr codeName="Hoja9"/>
  <dimension ref="A9:C293"/>
  <sheetViews>
    <sheetView showGridLines="0" zoomScale="70" zoomScaleNormal="70" workbookViewId="0">
      <selection activeCell="B22" sqref="B22"/>
    </sheetView>
  </sheetViews>
  <sheetFormatPr baseColWidth="10" defaultColWidth="11.453125" defaultRowHeight="14.5" x14ac:dyDescent="0.35"/>
  <cols>
    <col min="1" max="1" width="23.7265625" bestFit="1" customWidth="1"/>
    <col min="2" max="2" width="38.90625" bestFit="1" customWidth="1"/>
    <col min="3" max="3" width="6.90625" bestFit="1" customWidth="1"/>
  </cols>
  <sheetData>
    <row r="9" spans="1:3" x14ac:dyDescent="0.35">
      <c r="A9" s="2" t="s">
        <v>72</v>
      </c>
      <c r="B9" s="2" t="s">
        <v>7</v>
      </c>
      <c r="C9" t="s">
        <v>74</v>
      </c>
    </row>
    <row r="10" spans="1:3" x14ac:dyDescent="0.35">
      <c r="A10" t="s">
        <v>75</v>
      </c>
      <c r="B10" t="s">
        <v>101</v>
      </c>
      <c r="C10" s="80">
        <v>9</v>
      </c>
    </row>
    <row r="11" spans="1:3" x14ac:dyDescent="0.35">
      <c r="A11" t="s">
        <v>75</v>
      </c>
      <c r="B11" t="s">
        <v>105</v>
      </c>
      <c r="C11" s="80">
        <v>8</v>
      </c>
    </row>
    <row r="12" spans="1:3" x14ac:dyDescent="0.35">
      <c r="A12" t="s">
        <v>75</v>
      </c>
      <c r="B12" t="s">
        <v>95</v>
      </c>
      <c r="C12" s="80">
        <v>6</v>
      </c>
    </row>
    <row r="13" spans="1:3" x14ac:dyDescent="0.35">
      <c r="A13" t="s">
        <v>75</v>
      </c>
      <c r="B13" t="s">
        <v>94</v>
      </c>
      <c r="C13" s="80">
        <v>5</v>
      </c>
    </row>
    <row r="14" spans="1:3" x14ac:dyDescent="0.35">
      <c r="A14" t="s">
        <v>75</v>
      </c>
      <c r="B14" t="s">
        <v>104</v>
      </c>
      <c r="C14" s="80">
        <v>5</v>
      </c>
    </row>
    <row r="15" spans="1:3" x14ac:dyDescent="0.35">
      <c r="A15" t="s">
        <v>75</v>
      </c>
      <c r="B15" t="s">
        <v>102</v>
      </c>
      <c r="C15" s="80">
        <v>5</v>
      </c>
    </row>
    <row r="16" spans="1:3" x14ac:dyDescent="0.35">
      <c r="A16" t="s">
        <v>75</v>
      </c>
      <c r="B16" t="s">
        <v>96</v>
      </c>
      <c r="C16" s="80">
        <v>5</v>
      </c>
    </row>
    <row r="17" spans="1:3" x14ac:dyDescent="0.35">
      <c r="A17" t="s">
        <v>75</v>
      </c>
      <c r="B17" t="s">
        <v>97</v>
      </c>
      <c r="C17" s="80">
        <v>5</v>
      </c>
    </row>
    <row r="18" spans="1:3" x14ac:dyDescent="0.35">
      <c r="A18" t="s">
        <v>75</v>
      </c>
      <c r="B18" t="s">
        <v>99</v>
      </c>
      <c r="C18" s="80">
        <v>4</v>
      </c>
    </row>
    <row r="19" spans="1:3" x14ac:dyDescent="0.35">
      <c r="A19" t="s">
        <v>75</v>
      </c>
      <c r="B19" t="s">
        <v>98</v>
      </c>
      <c r="C19" s="80">
        <v>4</v>
      </c>
    </row>
    <row r="20" spans="1:3" x14ac:dyDescent="0.35">
      <c r="A20" t="s">
        <v>75</v>
      </c>
      <c r="B20" t="s">
        <v>41</v>
      </c>
      <c r="C20" s="80">
        <v>3</v>
      </c>
    </row>
    <row r="21" spans="1:3" x14ac:dyDescent="0.35">
      <c r="A21" t="s">
        <v>75</v>
      </c>
      <c r="B21" t="s">
        <v>106</v>
      </c>
      <c r="C21" s="80">
        <v>3</v>
      </c>
    </row>
    <row r="22" spans="1:3" x14ac:dyDescent="0.35">
      <c r="A22" t="s">
        <v>75</v>
      </c>
      <c r="B22" t="s">
        <v>116</v>
      </c>
      <c r="C22" s="80">
        <v>2</v>
      </c>
    </row>
    <row r="23" spans="1:3" x14ac:dyDescent="0.35">
      <c r="A23" t="s">
        <v>75</v>
      </c>
      <c r="B23" t="s">
        <v>113</v>
      </c>
      <c r="C23" s="80">
        <v>2</v>
      </c>
    </row>
    <row r="24" spans="1:3" x14ac:dyDescent="0.35">
      <c r="A24" t="s">
        <v>75</v>
      </c>
      <c r="B24" t="s">
        <v>22</v>
      </c>
      <c r="C24" s="80">
        <v>2</v>
      </c>
    </row>
    <row r="25" spans="1:3" x14ac:dyDescent="0.35">
      <c r="A25" t="s">
        <v>75</v>
      </c>
      <c r="B25" t="s">
        <v>100</v>
      </c>
      <c r="C25" s="80">
        <v>2</v>
      </c>
    </row>
    <row r="26" spans="1:3" x14ac:dyDescent="0.35">
      <c r="A26" t="s">
        <v>75</v>
      </c>
      <c r="B26" t="s">
        <v>103</v>
      </c>
      <c r="C26" s="80">
        <v>2</v>
      </c>
    </row>
    <row r="27" spans="1:3" x14ac:dyDescent="0.35">
      <c r="A27" t="s">
        <v>75</v>
      </c>
      <c r="B27" t="s">
        <v>31</v>
      </c>
      <c r="C27" s="80">
        <v>2</v>
      </c>
    </row>
    <row r="28" spans="1:3" x14ac:dyDescent="0.35">
      <c r="A28" t="s">
        <v>75</v>
      </c>
      <c r="B28" t="s">
        <v>111</v>
      </c>
      <c r="C28" s="80">
        <v>2</v>
      </c>
    </row>
    <row r="29" spans="1:3" x14ac:dyDescent="0.35">
      <c r="A29" t="s">
        <v>75</v>
      </c>
      <c r="B29" t="s">
        <v>112</v>
      </c>
      <c r="C29" s="80">
        <v>2</v>
      </c>
    </row>
    <row r="30" spans="1:3" x14ac:dyDescent="0.35">
      <c r="A30" t="s">
        <v>75</v>
      </c>
      <c r="B30" t="s">
        <v>115</v>
      </c>
      <c r="C30" s="80">
        <v>2</v>
      </c>
    </row>
    <row r="31" spans="1:3" x14ac:dyDescent="0.35">
      <c r="A31" t="s">
        <v>75</v>
      </c>
      <c r="B31" t="s">
        <v>120</v>
      </c>
      <c r="C31" s="80">
        <v>2</v>
      </c>
    </row>
    <row r="32" spans="1:3" x14ac:dyDescent="0.35">
      <c r="A32" t="s">
        <v>75</v>
      </c>
      <c r="B32" t="s">
        <v>119</v>
      </c>
      <c r="C32" s="80">
        <v>2</v>
      </c>
    </row>
    <row r="33" spans="1:3" x14ac:dyDescent="0.35">
      <c r="A33" t="s">
        <v>75</v>
      </c>
      <c r="B33" t="s">
        <v>1458</v>
      </c>
      <c r="C33" s="80">
        <v>1</v>
      </c>
    </row>
    <row r="34" spans="1:3" x14ac:dyDescent="0.35">
      <c r="A34" t="s">
        <v>75</v>
      </c>
      <c r="B34" t="s">
        <v>85</v>
      </c>
      <c r="C34" s="80">
        <v>1</v>
      </c>
    </row>
    <row r="35" spans="1:3" x14ac:dyDescent="0.35">
      <c r="A35" t="s">
        <v>75</v>
      </c>
      <c r="B35" t="s">
        <v>123</v>
      </c>
      <c r="C35" s="80">
        <v>1</v>
      </c>
    </row>
    <row r="36" spans="1:3" x14ac:dyDescent="0.35">
      <c r="A36" t="s">
        <v>75</v>
      </c>
      <c r="B36" t="s">
        <v>78</v>
      </c>
      <c r="C36" s="80">
        <v>1</v>
      </c>
    </row>
    <row r="37" spans="1:3" x14ac:dyDescent="0.35">
      <c r="A37" t="s">
        <v>75</v>
      </c>
      <c r="B37" t="s">
        <v>86</v>
      </c>
      <c r="C37" s="80">
        <v>1</v>
      </c>
    </row>
    <row r="38" spans="1:3" x14ac:dyDescent="0.35">
      <c r="A38" t="s">
        <v>75</v>
      </c>
      <c r="B38" t="s">
        <v>79</v>
      </c>
      <c r="C38" s="80">
        <v>1</v>
      </c>
    </row>
    <row r="39" spans="1:3" x14ac:dyDescent="0.35">
      <c r="A39" t="s">
        <v>75</v>
      </c>
      <c r="B39" t="s">
        <v>84</v>
      </c>
      <c r="C39" s="80">
        <v>1</v>
      </c>
    </row>
    <row r="40" spans="1:3" x14ac:dyDescent="0.35">
      <c r="A40" t="s">
        <v>75</v>
      </c>
      <c r="B40" t="s">
        <v>80</v>
      </c>
      <c r="C40" s="80">
        <v>1</v>
      </c>
    </row>
    <row r="41" spans="1:3" x14ac:dyDescent="0.35">
      <c r="A41" t="s">
        <v>75</v>
      </c>
      <c r="B41" t="s">
        <v>108</v>
      </c>
      <c r="C41" s="80">
        <v>1</v>
      </c>
    </row>
    <row r="42" spans="1:3" x14ac:dyDescent="0.35">
      <c r="A42" t="s">
        <v>75</v>
      </c>
      <c r="B42" t="s">
        <v>92</v>
      </c>
      <c r="C42" s="80">
        <v>1</v>
      </c>
    </row>
    <row r="43" spans="1:3" x14ac:dyDescent="0.35">
      <c r="A43" t="s">
        <v>75</v>
      </c>
      <c r="B43" t="s">
        <v>118</v>
      </c>
      <c r="C43" s="80">
        <v>1</v>
      </c>
    </row>
    <row r="44" spans="1:3" x14ac:dyDescent="0.35">
      <c r="A44" t="s">
        <v>75</v>
      </c>
      <c r="B44" t="s">
        <v>43</v>
      </c>
      <c r="C44" s="80">
        <v>1</v>
      </c>
    </row>
    <row r="45" spans="1:3" x14ac:dyDescent="0.35">
      <c r="A45" t="s">
        <v>75</v>
      </c>
      <c r="B45" t="s">
        <v>90</v>
      </c>
      <c r="C45" s="80">
        <v>1</v>
      </c>
    </row>
    <row r="46" spans="1:3" x14ac:dyDescent="0.35">
      <c r="A46" t="s">
        <v>75</v>
      </c>
      <c r="B46" t="s">
        <v>83</v>
      </c>
      <c r="C46" s="80">
        <v>1</v>
      </c>
    </row>
    <row r="47" spans="1:3" x14ac:dyDescent="0.35">
      <c r="A47" t="s">
        <v>75</v>
      </c>
      <c r="B47" t="s">
        <v>81</v>
      </c>
      <c r="C47" s="80">
        <v>1</v>
      </c>
    </row>
    <row r="48" spans="1:3" x14ac:dyDescent="0.35">
      <c r="A48" t="s">
        <v>75</v>
      </c>
      <c r="B48" t="s">
        <v>87</v>
      </c>
      <c r="C48" s="80">
        <v>1</v>
      </c>
    </row>
    <row r="49" spans="1:3" x14ac:dyDescent="0.35">
      <c r="A49" t="s">
        <v>75</v>
      </c>
      <c r="B49" t="s">
        <v>91</v>
      </c>
      <c r="C49" s="80">
        <v>1</v>
      </c>
    </row>
    <row r="50" spans="1:3" x14ac:dyDescent="0.35">
      <c r="A50" t="s">
        <v>75</v>
      </c>
      <c r="B50" t="s">
        <v>93</v>
      </c>
      <c r="C50" s="80">
        <v>1</v>
      </c>
    </row>
    <row r="51" spans="1:3" x14ac:dyDescent="0.35">
      <c r="A51" t="s">
        <v>75</v>
      </c>
      <c r="B51" t="s">
        <v>124</v>
      </c>
      <c r="C51" s="80">
        <v>1</v>
      </c>
    </row>
    <row r="52" spans="1:3" x14ac:dyDescent="0.35">
      <c r="A52" t="s">
        <v>75</v>
      </c>
      <c r="B52" t="s">
        <v>117</v>
      </c>
      <c r="C52" s="80">
        <v>1</v>
      </c>
    </row>
    <row r="53" spans="1:3" x14ac:dyDescent="0.35">
      <c r="A53" t="s">
        <v>75</v>
      </c>
      <c r="B53" t="s">
        <v>42</v>
      </c>
      <c r="C53" s="80">
        <v>1</v>
      </c>
    </row>
    <row r="54" spans="1:3" x14ac:dyDescent="0.35">
      <c r="A54" t="s">
        <v>75</v>
      </c>
      <c r="B54" t="s">
        <v>88</v>
      </c>
      <c r="C54" s="80">
        <v>1</v>
      </c>
    </row>
    <row r="55" spans="1:3" x14ac:dyDescent="0.35">
      <c r="A55" t="s">
        <v>75</v>
      </c>
      <c r="B55" t="s">
        <v>77</v>
      </c>
      <c r="C55" s="80">
        <v>1</v>
      </c>
    </row>
    <row r="56" spans="1:3" x14ac:dyDescent="0.35">
      <c r="A56" t="s">
        <v>75</v>
      </c>
      <c r="B56" t="s">
        <v>114</v>
      </c>
      <c r="C56" s="80">
        <v>1</v>
      </c>
    </row>
    <row r="57" spans="1:3" x14ac:dyDescent="0.35">
      <c r="A57" t="s">
        <v>75</v>
      </c>
      <c r="B57" t="s">
        <v>109</v>
      </c>
      <c r="C57" s="80">
        <v>1</v>
      </c>
    </row>
    <row r="58" spans="1:3" x14ac:dyDescent="0.35">
      <c r="A58" t="s">
        <v>75</v>
      </c>
      <c r="B58" t="s">
        <v>89</v>
      </c>
      <c r="C58" s="80">
        <v>1</v>
      </c>
    </row>
    <row r="59" spans="1:3" x14ac:dyDescent="0.35">
      <c r="A59" t="s">
        <v>75</v>
      </c>
      <c r="B59" t="s">
        <v>82</v>
      </c>
      <c r="C59" s="80">
        <v>1</v>
      </c>
    </row>
    <row r="60" spans="1:3" x14ac:dyDescent="0.35">
      <c r="A60" t="s">
        <v>75</v>
      </c>
      <c r="B60" t="s">
        <v>122</v>
      </c>
      <c r="C60" s="80">
        <v>1</v>
      </c>
    </row>
    <row r="61" spans="1:3" x14ac:dyDescent="0.35">
      <c r="A61" t="s">
        <v>75</v>
      </c>
      <c r="B61" t="s">
        <v>121</v>
      </c>
      <c r="C61" s="80">
        <v>1</v>
      </c>
    </row>
    <row r="62" spans="1:3" x14ac:dyDescent="0.35">
      <c r="A62" t="s">
        <v>75</v>
      </c>
      <c r="B62" t="s">
        <v>110</v>
      </c>
      <c r="C62" s="80">
        <v>1</v>
      </c>
    </row>
    <row r="63" spans="1:3" x14ac:dyDescent="0.35">
      <c r="A63" t="s">
        <v>75</v>
      </c>
      <c r="B63" t="s">
        <v>1814</v>
      </c>
      <c r="C63" s="80">
        <v>1</v>
      </c>
    </row>
    <row r="64" spans="1:3" x14ac:dyDescent="0.35">
      <c r="A64" t="s">
        <v>75</v>
      </c>
      <c r="B64" t="s">
        <v>1479</v>
      </c>
      <c r="C64" s="80">
        <v>1</v>
      </c>
    </row>
    <row r="65" spans="1:3" x14ac:dyDescent="0.35">
      <c r="A65" t="s">
        <v>1870</v>
      </c>
      <c r="C65" s="80">
        <v>116</v>
      </c>
    </row>
    <row r="66" spans="1:3" x14ac:dyDescent="0.35">
      <c r="A66" t="s">
        <v>299</v>
      </c>
      <c r="B66" t="s">
        <v>902</v>
      </c>
      <c r="C66" s="80">
        <v>5</v>
      </c>
    </row>
    <row r="67" spans="1:3" x14ac:dyDescent="0.35">
      <c r="A67" t="s">
        <v>299</v>
      </c>
      <c r="B67" t="s">
        <v>620</v>
      </c>
      <c r="C67" s="80">
        <v>5</v>
      </c>
    </row>
    <row r="68" spans="1:3" x14ac:dyDescent="0.35">
      <c r="A68" t="s">
        <v>299</v>
      </c>
      <c r="B68" t="s">
        <v>436</v>
      </c>
      <c r="C68" s="80">
        <v>4</v>
      </c>
    </row>
    <row r="69" spans="1:3" x14ac:dyDescent="0.35">
      <c r="A69" t="s">
        <v>299</v>
      </c>
      <c r="B69" t="s">
        <v>617</v>
      </c>
      <c r="C69" s="80">
        <v>3</v>
      </c>
    </row>
    <row r="70" spans="1:3" x14ac:dyDescent="0.35">
      <c r="A70" t="s">
        <v>299</v>
      </c>
      <c r="B70" t="s">
        <v>631</v>
      </c>
      <c r="C70" s="80">
        <v>3</v>
      </c>
    </row>
    <row r="71" spans="1:3" x14ac:dyDescent="0.35">
      <c r="A71" t="s">
        <v>299</v>
      </c>
      <c r="B71" t="s">
        <v>897</v>
      </c>
      <c r="C71" s="80">
        <v>3</v>
      </c>
    </row>
    <row r="72" spans="1:3" x14ac:dyDescent="0.35">
      <c r="A72" t="s">
        <v>299</v>
      </c>
      <c r="B72" t="s">
        <v>18</v>
      </c>
      <c r="C72" s="80">
        <v>2</v>
      </c>
    </row>
    <row r="73" spans="1:3" x14ac:dyDescent="0.35">
      <c r="A73" t="s">
        <v>299</v>
      </c>
      <c r="B73" t="s">
        <v>1126</v>
      </c>
      <c r="C73" s="80">
        <v>2</v>
      </c>
    </row>
    <row r="74" spans="1:3" x14ac:dyDescent="0.35">
      <c r="A74" t="s">
        <v>299</v>
      </c>
      <c r="B74" t="s">
        <v>693</v>
      </c>
      <c r="C74" s="80">
        <v>2</v>
      </c>
    </row>
    <row r="75" spans="1:3" x14ac:dyDescent="0.35">
      <c r="A75" t="s">
        <v>299</v>
      </c>
      <c r="B75" t="s">
        <v>32</v>
      </c>
      <c r="C75" s="80">
        <v>2</v>
      </c>
    </row>
    <row r="76" spans="1:3" x14ac:dyDescent="0.35">
      <c r="A76" t="s">
        <v>299</v>
      </c>
      <c r="B76" t="s">
        <v>634</v>
      </c>
      <c r="C76" s="80">
        <v>2</v>
      </c>
    </row>
    <row r="77" spans="1:3" x14ac:dyDescent="0.35">
      <c r="A77" t="s">
        <v>299</v>
      </c>
      <c r="B77" t="s">
        <v>971</v>
      </c>
      <c r="C77" s="80">
        <v>2</v>
      </c>
    </row>
    <row r="78" spans="1:3" x14ac:dyDescent="0.35">
      <c r="A78" t="s">
        <v>299</v>
      </c>
      <c r="B78" t="s">
        <v>386</v>
      </c>
      <c r="C78" s="80">
        <v>2</v>
      </c>
    </row>
    <row r="79" spans="1:3" x14ac:dyDescent="0.35">
      <c r="A79" t="s">
        <v>299</v>
      </c>
      <c r="B79" t="s">
        <v>730</v>
      </c>
      <c r="C79" s="80">
        <v>2</v>
      </c>
    </row>
    <row r="80" spans="1:3" x14ac:dyDescent="0.35">
      <c r="A80" t="s">
        <v>299</v>
      </c>
      <c r="B80" t="s">
        <v>466</v>
      </c>
      <c r="C80" s="80">
        <v>2</v>
      </c>
    </row>
    <row r="81" spans="1:3" x14ac:dyDescent="0.35">
      <c r="A81" t="s">
        <v>299</v>
      </c>
      <c r="B81" t="s">
        <v>573</v>
      </c>
      <c r="C81" s="80">
        <v>2</v>
      </c>
    </row>
    <row r="82" spans="1:3" x14ac:dyDescent="0.35">
      <c r="A82" t="s">
        <v>299</v>
      </c>
      <c r="B82" t="s">
        <v>529</v>
      </c>
      <c r="C82" s="80">
        <v>2</v>
      </c>
    </row>
    <row r="83" spans="1:3" x14ac:dyDescent="0.35">
      <c r="A83" t="s">
        <v>299</v>
      </c>
      <c r="B83" t="s">
        <v>1036</v>
      </c>
      <c r="C83" s="80">
        <v>2</v>
      </c>
    </row>
    <row r="84" spans="1:3" x14ac:dyDescent="0.35">
      <c r="A84" t="s">
        <v>299</v>
      </c>
      <c r="B84" t="s">
        <v>742</v>
      </c>
      <c r="C84" s="80">
        <v>2</v>
      </c>
    </row>
    <row r="85" spans="1:3" x14ac:dyDescent="0.35">
      <c r="A85" t="s">
        <v>299</v>
      </c>
      <c r="B85" t="s">
        <v>909</v>
      </c>
      <c r="C85" s="80">
        <v>2</v>
      </c>
    </row>
    <row r="86" spans="1:3" x14ac:dyDescent="0.35">
      <c r="A86" t="s">
        <v>299</v>
      </c>
      <c r="B86" t="s">
        <v>1231</v>
      </c>
      <c r="C86" s="80">
        <v>2</v>
      </c>
    </row>
    <row r="87" spans="1:3" x14ac:dyDescent="0.35">
      <c r="A87" t="s">
        <v>299</v>
      </c>
      <c r="B87" t="s">
        <v>712</v>
      </c>
      <c r="C87" s="80">
        <v>2</v>
      </c>
    </row>
    <row r="88" spans="1:3" x14ac:dyDescent="0.35">
      <c r="A88" t="s">
        <v>299</v>
      </c>
      <c r="B88" t="s">
        <v>502</v>
      </c>
      <c r="C88" s="80">
        <v>2</v>
      </c>
    </row>
    <row r="89" spans="1:3" x14ac:dyDescent="0.35">
      <c r="A89" t="s">
        <v>299</v>
      </c>
      <c r="B89" t="s">
        <v>1235</v>
      </c>
      <c r="C89" s="80">
        <v>1</v>
      </c>
    </row>
    <row r="90" spans="1:3" x14ac:dyDescent="0.35">
      <c r="A90" t="s">
        <v>299</v>
      </c>
      <c r="B90" t="s">
        <v>45</v>
      </c>
      <c r="C90" s="80">
        <v>1</v>
      </c>
    </row>
    <row r="91" spans="1:3" x14ac:dyDescent="0.35">
      <c r="A91" t="s">
        <v>299</v>
      </c>
      <c r="B91" t="s">
        <v>1046</v>
      </c>
      <c r="C91" s="80">
        <v>1</v>
      </c>
    </row>
    <row r="92" spans="1:3" x14ac:dyDescent="0.35">
      <c r="A92" t="s">
        <v>299</v>
      </c>
      <c r="B92" t="s">
        <v>1492</v>
      </c>
      <c r="C92" s="80">
        <v>1</v>
      </c>
    </row>
    <row r="93" spans="1:3" x14ac:dyDescent="0.35">
      <c r="A93" t="s">
        <v>299</v>
      </c>
      <c r="B93" t="s">
        <v>745</v>
      </c>
      <c r="C93" s="80">
        <v>1</v>
      </c>
    </row>
    <row r="94" spans="1:3" x14ac:dyDescent="0.35">
      <c r="A94" t="s">
        <v>299</v>
      </c>
      <c r="B94" t="s">
        <v>827</v>
      </c>
      <c r="C94" s="80">
        <v>1</v>
      </c>
    </row>
    <row r="95" spans="1:3" x14ac:dyDescent="0.35">
      <c r="A95" t="s">
        <v>299</v>
      </c>
      <c r="B95" t="s">
        <v>535</v>
      </c>
      <c r="C95" s="80">
        <v>1</v>
      </c>
    </row>
    <row r="96" spans="1:3" x14ac:dyDescent="0.35">
      <c r="A96" t="s">
        <v>299</v>
      </c>
      <c r="B96" t="s">
        <v>1585</v>
      </c>
      <c r="C96" s="80">
        <v>1</v>
      </c>
    </row>
    <row r="97" spans="1:3" x14ac:dyDescent="0.35">
      <c r="A97" t="s">
        <v>299</v>
      </c>
      <c r="B97" t="s">
        <v>431</v>
      </c>
      <c r="C97" s="80">
        <v>1</v>
      </c>
    </row>
    <row r="98" spans="1:3" x14ac:dyDescent="0.35">
      <c r="A98" t="s">
        <v>299</v>
      </c>
      <c r="B98" t="s">
        <v>1314</v>
      </c>
      <c r="C98" s="80">
        <v>1</v>
      </c>
    </row>
    <row r="99" spans="1:3" x14ac:dyDescent="0.35">
      <c r="A99" t="s">
        <v>299</v>
      </c>
      <c r="B99" t="s">
        <v>550</v>
      </c>
      <c r="C99" s="80">
        <v>1</v>
      </c>
    </row>
    <row r="100" spans="1:3" x14ac:dyDescent="0.35">
      <c r="A100" t="s">
        <v>299</v>
      </c>
      <c r="B100" t="s">
        <v>484</v>
      </c>
      <c r="C100" s="80">
        <v>1</v>
      </c>
    </row>
    <row r="101" spans="1:3" x14ac:dyDescent="0.35">
      <c r="A101" t="s">
        <v>299</v>
      </c>
      <c r="B101" t="s">
        <v>851</v>
      </c>
      <c r="C101" s="80">
        <v>1</v>
      </c>
    </row>
    <row r="102" spans="1:3" x14ac:dyDescent="0.35">
      <c r="A102" t="s">
        <v>299</v>
      </c>
      <c r="B102" t="s">
        <v>790</v>
      </c>
      <c r="C102" s="80">
        <v>1</v>
      </c>
    </row>
    <row r="103" spans="1:3" x14ac:dyDescent="0.35">
      <c r="A103" t="s">
        <v>299</v>
      </c>
      <c r="B103" t="s">
        <v>868</v>
      </c>
      <c r="C103" s="80">
        <v>1</v>
      </c>
    </row>
    <row r="104" spans="1:3" x14ac:dyDescent="0.35">
      <c r="A104" t="s">
        <v>299</v>
      </c>
      <c r="B104" t="s">
        <v>861</v>
      </c>
      <c r="C104" s="80">
        <v>1</v>
      </c>
    </row>
    <row r="105" spans="1:3" x14ac:dyDescent="0.35">
      <c r="A105" t="s">
        <v>299</v>
      </c>
      <c r="B105" t="s">
        <v>1296</v>
      </c>
      <c r="C105" s="80">
        <v>1</v>
      </c>
    </row>
    <row r="106" spans="1:3" x14ac:dyDescent="0.35">
      <c r="A106" t="s">
        <v>299</v>
      </c>
      <c r="B106" t="s">
        <v>696</v>
      </c>
      <c r="C106" s="80">
        <v>1</v>
      </c>
    </row>
    <row r="107" spans="1:3" x14ac:dyDescent="0.35">
      <c r="A107" t="s">
        <v>299</v>
      </c>
      <c r="B107" t="s">
        <v>447</v>
      </c>
      <c r="C107" s="80">
        <v>1</v>
      </c>
    </row>
    <row r="108" spans="1:3" x14ac:dyDescent="0.35">
      <c r="A108" t="s">
        <v>299</v>
      </c>
      <c r="B108" t="s">
        <v>610</v>
      </c>
      <c r="C108" s="80">
        <v>1</v>
      </c>
    </row>
    <row r="109" spans="1:3" x14ac:dyDescent="0.35">
      <c r="A109" t="s">
        <v>299</v>
      </c>
      <c r="B109" t="s">
        <v>1006</v>
      </c>
      <c r="C109" s="80">
        <v>1</v>
      </c>
    </row>
    <row r="110" spans="1:3" x14ac:dyDescent="0.35">
      <c r="A110" t="s">
        <v>299</v>
      </c>
      <c r="B110" t="s">
        <v>412</v>
      </c>
      <c r="C110" s="80">
        <v>1</v>
      </c>
    </row>
    <row r="111" spans="1:3" x14ac:dyDescent="0.35">
      <c r="A111" t="s">
        <v>299</v>
      </c>
      <c r="B111" t="s">
        <v>28</v>
      </c>
      <c r="C111" s="80">
        <v>0.75</v>
      </c>
    </row>
    <row r="112" spans="1:3" x14ac:dyDescent="0.35">
      <c r="A112" t="s">
        <v>299</v>
      </c>
      <c r="B112" t="s">
        <v>1900</v>
      </c>
      <c r="C112" s="80">
        <v>0.5</v>
      </c>
    </row>
    <row r="113" spans="1:3" x14ac:dyDescent="0.35">
      <c r="A113" t="s">
        <v>299</v>
      </c>
      <c r="B113" t="s">
        <v>803</v>
      </c>
      <c r="C113" s="80">
        <v>0.5</v>
      </c>
    </row>
    <row r="114" spans="1:3" x14ac:dyDescent="0.35">
      <c r="A114" t="s">
        <v>299</v>
      </c>
      <c r="B114" t="s">
        <v>1178</v>
      </c>
      <c r="C114" s="80">
        <v>0.5</v>
      </c>
    </row>
    <row r="115" spans="1:3" x14ac:dyDescent="0.35">
      <c r="A115" t="s">
        <v>299</v>
      </c>
      <c r="B115" t="s">
        <v>1539</v>
      </c>
      <c r="C115" s="80">
        <v>0.25</v>
      </c>
    </row>
    <row r="116" spans="1:3" x14ac:dyDescent="0.35">
      <c r="A116" t="s">
        <v>299</v>
      </c>
      <c r="B116" t="s">
        <v>1902</v>
      </c>
      <c r="C116" s="80">
        <v>0.25</v>
      </c>
    </row>
    <row r="117" spans="1:3" x14ac:dyDescent="0.35">
      <c r="A117" t="s">
        <v>299</v>
      </c>
      <c r="B117" t="s">
        <v>1541</v>
      </c>
      <c r="C117" s="80">
        <v>0.25</v>
      </c>
    </row>
    <row r="118" spans="1:3" x14ac:dyDescent="0.35">
      <c r="A118" t="s">
        <v>299</v>
      </c>
      <c r="B118" t="s">
        <v>800</v>
      </c>
      <c r="C118" s="80">
        <v>0.25</v>
      </c>
    </row>
    <row r="119" spans="1:3" x14ac:dyDescent="0.35">
      <c r="A119" t="s">
        <v>1873</v>
      </c>
      <c r="C119" s="80">
        <v>82.25</v>
      </c>
    </row>
    <row r="120" spans="1:3" x14ac:dyDescent="0.35">
      <c r="A120" t="s">
        <v>442</v>
      </c>
      <c r="B120" t="s">
        <v>905</v>
      </c>
      <c r="C120" s="80">
        <v>2.5</v>
      </c>
    </row>
    <row r="121" spans="1:3" x14ac:dyDescent="0.35">
      <c r="A121" t="s">
        <v>442</v>
      </c>
      <c r="B121" t="s">
        <v>596</v>
      </c>
      <c r="C121" s="80">
        <v>2.5</v>
      </c>
    </row>
    <row r="122" spans="1:3" x14ac:dyDescent="0.35">
      <c r="A122" t="s">
        <v>442</v>
      </c>
      <c r="B122" t="s">
        <v>1358</v>
      </c>
      <c r="C122" s="80">
        <v>2</v>
      </c>
    </row>
    <row r="123" spans="1:3" x14ac:dyDescent="0.35">
      <c r="A123" t="s">
        <v>442</v>
      </c>
      <c r="B123" t="s">
        <v>1520</v>
      </c>
      <c r="C123" s="80">
        <v>1.5</v>
      </c>
    </row>
    <row r="124" spans="1:3" x14ac:dyDescent="0.35">
      <c r="A124" t="s">
        <v>442</v>
      </c>
      <c r="B124" t="s">
        <v>26</v>
      </c>
      <c r="C124" s="80">
        <v>1.5</v>
      </c>
    </row>
    <row r="125" spans="1:3" x14ac:dyDescent="0.35">
      <c r="A125" t="s">
        <v>442</v>
      </c>
      <c r="B125" t="s">
        <v>834</v>
      </c>
      <c r="C125" s="80">
        <v>1.5</v>
      </c>
    </row>
    <row r="126" spans="1:3" x14ac:dyDescent="0.35">
      <c r="A126" t="s">
        <v>442</v>
      </c>
      <c r="B126" t="s">
        <v>659</v>
      </c>
      <c r="C126" s="80">
        <v>1</v>
      </c>
    </row>
    <row r="127" spans="1:3" x14ac:dyDescent="0.35">
      <c r="A127" t="s">
        <v>442</v>
      </c>
      <c r="B127" t="s">
        <v>683</v>
      </c>
      <c r="C127" s="80">
        <v>1</v>
      </c>
    </row>
    <row r="128" spans="1:3" x14ac:dyDescent="0.35">
      <c r="A128" t="s">
        <v>442</v>
      </c>
      <c r="B128" t="s">
        <v>1572</v>
      </c>
      <c r="C128" s="80">
        <v>1</v>
      </c>
    </row>
    <row r="129" spans="1:3" x14ac:dyDescent="0.35">
      <c r="A129" t="s">
        <v>442</v>
      </c>
      <c r="B129" t="s">
        <v>717</v>
      </c>
      <c r="C129" s="80">
        <v>1</v>
      </c>
    </row>
    <row r="130" spans="1:3" x14ac:dyDescent="0.35">
      <c r="A130" t="s">
        <v>442</v>
      </c>
      <c r="B130" t="s">
        <v>1118</v>
      </c>
      <c r="C130" s="80">
        <v>1</v>
      </c>
    </row>
    <row r="131" spans="1:3" x14ac:dyDescent="0.35">
      <c r="A131" t="s">
        <v>442</v>
      </c>
      <c r="B131" t="s">
        <v>514</v>
      </c>
      <c r="C131" s="80">
        <v>1</v>
      </c>
    </row>
    <row r="132" spans="1:3" x14ac:dyDescent="0.35">
      <c r="A132" t="s">
        <v>442</v>
      </c>
      <c r="B132" t="s">
        <v>637</v>
      </c>
      <c r="C132" s="80">
        <v>0.75</v>
      </c>
    </row>
    <row r="133" spans="1:3" x14ac:dyDescent="0.35">
      <c r="A133" t="s">
        <v>442</v>
      </c>
      <c r="B133" t="s">
        <v>1399</v>
      </c>
      <c r="C133" s="80">
        <v>0.5</v>
      </c>
    </row>
    <row r="134" spans="1:3" x14ac:dyDescent="0.35">
      <c r="A134" t="s">
        <v>442</v>
      </c>
      <c r="B134" t="s">
        <v>1175</v>
      </c>
      <c r="C134" s="80">
        <v>0.5</v>
      </c>
    </row>
    <row r="135" spans="1:3" x14ac:dyDescent="0.35">
      <c r="A135" t="s">
        <v>442</v>
      </c>
      <c r="B135" t="s">
        <v>1670</v>
      </c>
      <c r="C135" s="80">
        <v>0.5</v>
      </c>
    </row>
    <row r="136" spans="1:3" x14ac:dyDescent="0.35">
      <c r="A136" t="s">
        <v>442</v>
      </c>
      <c r="B136" t="s">
        <v>957</v>
      </c>
      <c r="C136" s="80">
        <v>0.5</v>
      </c>
    </row>
    <row r="137" spans="1:3" x14ac:dyDescent="0.35">
      <c r="A137" t="s">
        <v>442</v>
      </c>
      <c r="B137" t="s">
        <v>1402</v>
      </c>
      <c r="C137" s="80">
        <v>0.5</v>
      </c>
    </row>
    <row r="138" spans="1:3" x14ac:dyDescent="0.35">
      <c r="A138" t="s">
        <v>442</v>
      </c>
      <c r="B138" t="s">
        <v>663</v>
      </c>
      <c r="C138" s="80">
        <v>0.5</v>
      </c>
    </row>
    <row r="139" spans="1:3" x14ac:dyDescent="0.35">
      <c r="A139" t="s">
        <v>442</v>
      </c>
      <c r="B139" t="s">
        <v>518</v>
      </c>
      <c r="C139" s="80">
        <v>0.25</v>
      </c>
    </row>
    <row r="140" spans="1:3" x14ac:dyDescent="0.35">
      <c r="A140" t="s">
        <v>442</v>
      </c>
      <c r="B140" t="s">
        <v>1407</v>
      </c>
      <c r="C140" s="80">
        <v>0.25</v>
      </c>
    </row>
    <row r="141" spans="1:3" x14ac:dyDescent="0.35">
      <c r="A141" t="s">
        <v>1878</v>
      </c>
      <c r="C141" s="80">
        <v>21.75</v>
      </c>
    </row>
    <row r="142" spans="1:3" x14ac:dyDescent="0.35">
      <c r="A142" t="s">
        <v>406</v>
      </c>
      <c r="B142" t="s">
        <v>1488</v>
      </c>
      <c r="C142" s="80">
        <v>2</v>
      </c>
    </row>
    <row r="143" spans="1:3" x14ac:dyDescent="0.35">
      <c r="A143" t="s">
        <v>406</v>
      </c>
      <c r="B143" t="s">
        <v>1321</v>
      </c>
      <c r="C143" s="80">
        <v>1.5</v>
      </c>
    </row>
    <row r="144" spans="1:3" x14ac:dyDescent="0.35">
      <c r="A144" t="s">
        <v>406</v>
      </c>
      <c r="B144" t="s">
        <v>1440</v>
      </c>
      <c r="C144" s="80">
        <v>1</v>
      </c>
    </row>
    <row r="145" spans="1:3" x14ac:dyDescent="0.35">
      <c r="A145" t="s">
        <v>406</v>
      </c>
      <c r="B145" t="s">
        <v>1033</v>
      </c>
      <c r="C145" s="80">
        <v>1</v>
      </c>
    </row>
    <row r="146" spans="1:3" x14ac:dyDescent="0.35">
      <c r="A146" t="s">
        <v>406</v>
      </c>
      <c r="B146" t="s">
        <v>1075</v>
      </c>
      <c r="C146" s="80">
        <v>1</v>
      </c>
    </row>
    <row r="147" spans="1:3" x14ac:dyDescent="0.35">
      <c r="A147" t="s">
        <v>406</v>
      </c>
      <c r="B147" t="s">
        <v>1847</v>
      </c>
      <c r="C147" s="80">
        <v>1</v>
      </c>
    </row>
    <row r="148" spans="1:3" x14ac:dyDescent="0.35">
      <c r="A148" t="s">
        <v>406</v>
      </c>
      <c r="B148" t="s">
        <v>1423</v>
      </c>
      <c r="C148" s="80">
        <v>1</v>
      </c>
    </row>
    <row r="149" spans="1:3" x14ac:dyDescent="0.35">
      <c r="A149" t="s">
        <v>406</v>
      </c>
      <c r="B149" t="s">
        <v>1057</v>
      </c>
      <c r="C149" s="80">
        <v>1</v>
      </c>
    </row>
    <row r="150" spans="1:3" x14ac:dyDescent="0.35">
      <c r="A150" t="s">
        <v>406</v>
      </c>
      <c r="B150" t="s">
        <v>538</v>
      </c>
      <c r="C150" s="80">
        <v>1</v>
      </c>
    </row>
    <row r="151" spans="1:3" x14ac:dyDescent="0.35">
      <c r="A151" t="s">
        <v>406</v>
      </c>
      <c r="B151" t="s">
        <v>568</v>
      </c>
      <c r="C151" s="80">
        <v>1</v>
      </c>
    </row>
    <row r="152" spans="1:3" x14ac:dyDescent="0.35">
      <c r="A152" t="s">
        <v>406</v>
      </c>
      <c r="B152" t="s">
        <v>985</v>
      </c>
      <c r="C152" s="80">
        <v>1</v>
      </c>
    </row>
    <row r="153" spans="1:3" x14ac:dyDescent="0.35">
      <c r="A153" t="s">
        <v>406</v>
      </c>
      <c r="B153" t="s">
        <v>37</v>
      </c>
      <c r="C153" s="80">
        <v>0.75</v>
      </c>
    </row>
    <row r="154" spans="1:3" x14ac:dyDescent="0.35">
      <c r="A154" t="s">
        <v>406</v>
      </c>
      <c r="B154" t="s">
        <v>1309</v>
      </c>
      <c r="C154" s="80">
        <v>0.5</v>
      </c>
    </row>
    <row r="155" spans="1:3" x14ac:dyDescent="0.35">
      <c r="A155" t="s">
        <v>406</v>
      </c>
      <c r="B155" t="s">
        <v>972</v>
      </c>
      <c r="C155" s="80">
        <v>0.5</v>
      </c>
    </row>
    <row r="156" spans="1:3" x14ac:dyDescent="0.35">
      <c r="A156" t="s">
        <v>406</v>
      </c>
      <c r="B156" t="s">
        <v>1092</v>
      </c>
      <c r="C156" s="80">
        <v>0.5</v>
      </c>
    </row>
    <row r="157" spans="1:3" x14ac:dyDescent="0.35">
      <c r="A157" t="s">
        <v>406</v>
      </c>
      <c r="B157" t="s">
        <v>1089</v>
      </c>
      <c r="C157" s="80">
        <v>0.5</v>
      </c>
    </row>
    <row r="158" spans="1:3" x14ac:dyDescent="0.35">
      <c r="A158" t="s">
        <v>406</v>
      </c>
      <c r="B158" t="s">
        <v>541</v>
      </c>
      <c r="C158" s="80">
        <v>0.5</v>
      </c>
    </row>
    <row r="159" spans="1:3" x14ac:dyDescent="0.35">
      <c r="A159" t="s">
        <v>406</v>
      </c>
      <c r="B159" t="s">
        <v>1171</v>
      </c>
      <c r="C159" s="80">
        <v>0.5</v>
      </c>
    </row>
    <row r="160" spans="1:3" x14ac:dyDescent="0.35">
      <c r="A160" t="s">
        <v>406</v>
      </c>
      <c r="B160" t="s">
        <v>1310</v>
      </c>
      <c r="C160" s="80">
        <v>0.5</v>
      </c>
    </row>
    <row r="161" spans="1:3" x14ac:dyDescent="0.35">
      <c r="A161" t="s">
        <v>406</v>
      </c>
      <c r="B161" t="s">
        <v>1168</v>
      </c>
      <c r="C161" s="80">
        <v>0.5</v>
      </c>
    </row>
    <row r="162" spans="1:3" x14ac:dyDescent="0.35">
      <c r="A162" t="s">
        <v>406</v>
      </c>
      <c r="B162" t="s">
        <v>1319</v>
      </c>
      <c r="C162" s="80">
        <v>0.5</v>
      </c>
    </row>
    <row r="163" spans="1:3" x14ac:dyDescent="0.35">
      <c r="A163" t="s">
        <v>406</v>
      </c>
      <c r="B163" t="s">
        <v>974</v>
      </c>
      <c r="C163" s="80">
        <v>0.5</v>
      </c>
    </row>
    <row r="164" spans="1:3" x14ac:dyDescent="0.35">
      <c r="A164" t="s">
        <v>406</v>
      </c>
      <c r="B164" t="s">
        <v>970</v>
      </c>
      <c r="C164" s="80">
        <v>0.3</v>
      </c>
    </row>
    <row r="165" spans="1:3" x14ac:dyDescent="0.35">
      <c r="A165" t="s">
        <v>406</v>
      </c>
      <c r="B165" t="s">
        <v>40</v>
      </c>
      <c r="C165" s="80">
        <v>0.25</v>
      </c>
    </row>
    <row r="166" spans="1:3" x14ac:dyDescent="0.35">
      <c r="A166" t="s">
        <v>406</v>
      </c>
      <c r="B166" t="s">
        <v>454</v>
      </c>
      <c r="C166" s="80">
        <v>0.2</v>
      </c>
    </row>
    <row r="167" spans="1:3" x14ac:dyDescent="0.35">
      <c r="A167" t="s">
        <v>1874</v>
      </c>
      <c r="C167" s="80">
        <v>19</v>
      </c>
    </row>
    <row r="168" spans="1:3" x14ac:dyDescent="0.35">
      <c r="A168" t="s">
        <v>382</v>
      </c>
      <c r="B168" t="s">
        <v>626</v>
      </c>
      <c r="C168" s="80">
        <v>2</v>
      </c>
    </row>
    <row r="169" spans="1:3" x14ac:dyDescent="0.35">
      <c r="A169" t="s">
        <v>382</v>
      </c>
      <c r="B169" t="s">
        <v>593</v>
      </c>
      <c r="C169" s="80">
        <v>2</v>
      </c>
    </row>
    <row r="170" spans="1:3" x14ac:dyDescent="0.35">
      <c r="A170" t="s">
        <v>382</v>
      </c>
      <c r="B170" t="s">
        <v>645</v>
      </c>
      <c r="C170" s="80">
        <v>2</v>
      </c>
    </row>
    <row r="171" spans="1:3" x14ac:dyDescent="0.35">
      <c r="A171" t="s">
        <v>382</v>
      </c>
      <c r="B171" t="s">
        <v>576</v>
      </c>
      <c r="C171" s="80">
        <v>1</v>
      </c>
    </row>
    <row r="172" spans="1:3" x14ac:dyDescent="0.35">
      <c r="A172" t="s">
        <v>382</v>
      </c>
      <c r="B172" t="s">
        <v>33</v>
      </c>
      <c r="C172" s="80">
        <v>1</v>
      </c>
    </row>
    <row r="173" spans="1:3" x14ac:dyDescent="0.35">
      <c r="A173" t="s">
        <v>382</v>
      </c>
      <c r="B173" t="s">
        <v>824</v>
      </c>
      <c r="C173" s="80">
        <v>1</v>
      </c>
    </row>
    <row r="174" spans="1:3" x14ac:dyDescent="0.35">
      <c r="A174" t="s">
        <v>382</v>
      </c>
      <c r="B174" t="s">
        <v>1592</v>
      </c>
      <c r="C174" s="80">
        <v>1</v>
      </c>
    </row>
    <row r="175" spans="1:3" x14ac:dyDescent="0.35">
      <c r="A175" t="s">
        <v>382</v>
      </c>
      <c r="B175" t="s">
        <v>953</v>
      </c>
      <c r="C175" s="80">
        <v>1</v>
      </c>
    </row>
    <row r="176" spans="1:3" x14ac:dyDescent="0.35">
      <c r="A176" t="s">
        <v>382</v>
      </c>
      <c r="B176" t="s">
        <v>733</v>
      </c>
      <c r="C176" s="80">
        <v>1</v>
      </c>
    </row>
    <row r="177" spans="1:3" x14ac:dyDescent="0.35">
      <c r="A177" t="s">
        <v>382</v>
      </c>
      <c r="B177" t="s">
        <v>928</v>
      </c>
      <c r="C177" s="80">
        <v>1</v>
      </c>
    </row>
    <row r="178" spans="1:3" x14ac:dyDescent="0.35">
      <c r="A178" t="s">
        <v>382</v>
      </c>
      <c r="B178" t="s">
        <v>34</v>
      </c>
      <c r="C178" s="80">
        <v>1</v>
      </c>
    </row>
    <row r="179" spans="1:3" x14ac:dyDescent="0.35">
      <c r="A179" t="s">
        <v>382</v>
      </c>
      <c r="B179" t="s">
        <v>35</v>
      </c>
      <c r="C179" s="80">
        <v>1</v>
      </c>
    </row>
    <row r="180" spans="1:3" x14ac:dyDescent="0.35">
      <c r="A180" t="s">
        <v>382</v>
      </c>
      <c r="B180" t="s">
        <v>1415</v>
      </c>
      <c r="C180" s="80">
        <v>1</v>
      </c>
    </row>
    <row r="181" spans="1:3" x14ac:dyDescent="0.35">
      <c r="A181" t="s">
        <v>382</v>
      </c>
      <c r="B181" t="s">
        <v>1497</v>
      </c>
      <c r="C181" s="80">
        <v>1</v>
      </c>
    </row>
    <row r="182" spans="1:3" x14ac:dyDescent="0.35">
      <c r="A182" t="s">
        <v>382</v>
      </c>
      <c r="B182" t="s">
        <v>588</v>
      </c>
      <c r="C182" s="80">
        <v>1</v>
      </c>
    </row>
    <row r="183" spans="1:3" x14ac:dyDescent="0.35">
      <c r="A183" t="s">
        <v>382</v>
      </c>
      <c r="B183" t="s">
        <v>754</v>
      </c>
      <c r="C183" s="80">
        <v>0.5</v>
      </c>
    </row>
    <row r="184" spans="1:3" x14ac:dyDescent="0.35">
      <c r="A184" t="s">
        <v>382</v>
      </c>
      <c r="B184" t="s">
        <v>856</v>
      </c>
      <c r="C184" s="80">
        <v>0.5</v>
      </c>
    </row>
    <row r="185" spans="1:3" x14ac:dyDescent="0.35">
      <c r="A185" t="s">
        <v>1875</v>
      </c>
      <c r="C185" s="80">
        <v>19</v>
      </c>
    </row>
    <row r="186" spans="1:3" x14ac:dyDescent="0.35">
      <c r="A186" t="s">
        <v>410</v>
      </c>
      <c r="B186" t="s">
        <v>1128</v>
      </c>
      <c r="C186" s="80">
        <v>2</v>
      </c>
    </row>
    <row r="187" spans="1:3" x14ac:dyDescent="0.35">
      <c r="A187" t="s">
        <v>410</v>
      </c>
      <c r="B187" t="s">
        <v>1051</v>
      </c>
      <c r="C187" s="80">
        <v>2</v>
      </c>
    </row>
    <row r="188" spans="1:3" x14ac:dyDescent="0.35">
      <c r="A188" t="s">
        <v>410</v>
      </c>
      <c r="B188" t="s">
        <v>912</v>
      </c>
      <c r="C188" s="80">
        <v>2</v>
      </c>
    </row>
    <row r="189" spans="1:3" x14ac:dyDescent="0.35">
      <c r="A189" t="s">
        <v>410</v>
      </c>
      <c r="B189" t="s">
        <v>906</v>
      </c>
      <c r="C189" s="80">
        <v>1</v>
      </c>
    </row>
    <row r="190" spans="1:3" x14ac:dyDescent="0.35">
      <c r="A190" t="s">
        <v>410</v>
      </c>
      <c r="B190" t="s">
        <v>945</v>
      </c>
      <c r="C190" s="80">
        <v>1</v>
      </c>
    </row>
    <row r="191" spans="1:3" x14ac:dyDescent="0.35">
      <c r="A191" t="s">
        <v>410</v>
      </c>
      <c r="B191" t="s">
        <v>1224</v>
      </c>
      <c r="C191" s="80">
        <v>1</v>
      </c>
    </row>
    <row r="192" spans="1:3" x14ac:dyDescent="0.35">
      <c r="A192" t="s">
        <v>410</v>
      </c>
      <c r="B192" t="s">
        <v>1274</v>
      </c>
      <c r="C192" s="80">
        <v>1</v>
      </c>
    </row>
    <row r="193" spans="1:3" x14ac:dyDescent="0.35">
      <c r="A193" t="s">
        <v>410</v>
      </c>
      <c r="B193" t="s">
        <v>1289</v>
      </c>
      <c r="C193" s="80">
        <v>1</v>
      </c>
    </row>
    <row r="194" spans="1:3" x14ac:dyDescent="0.35">
      <c r="A194" t="s">
        <v>410</v>
      </c>
      <c r="B194" t="s">
        <v>1106</v>
      </c>
      <c r="C194" s="80">
        <v>1</v>
      </c>
    </row>
    <row r="195" spans="1:3" x14ac:dyDescent="0.35">
      <c r="A195" t="s">
        <v>410</v>
      </c>
      <c r="B195" t="s">
        <v>990</v>
      </c>
      <c r="C195" s="80">
        <v>1</v>
      </c>
    </row>
    <row r="196" spans="1:3" x14ac:dyDescent="0.35">
      <c r="A196" t="s">
        <v>410</v>
      </c>
      <c r="B196" t="s">
        <v>1741</v>
      </c>
      <c r="C196" s="80">
        <v>1</v>
      </c>
    </row>
    <row r="197" spans="1:3" x14ac:dyDescent="0.35">
      <c r="A197" t="s">
        <v>410</v>
      </c>
      <c r="B197" t="s">
        <v>1123</v>
      </c>
      <c r="C197" s="80">
        <v>1</v>
      </c>
    </row>
    <row r="198" spans="1:3" x14ac:dyDescent="0.35">
      <c r="A198" t="s">
        <v>410</v>
      </c>
      <c r="B198" t="s">
        <v>1134</v>
      </c>
      <c r="C198" s="80">
        <v>1</v>
      </c>
    </row>
    <row r="199" spans="1:3" x14ac:dyDescent="0.35">
      <c r="A199" t="s">
        <v>410</v>
      </c>
      <c r="B199" t="s">
        <v>1729</v>
      </c>
      <c r="C199" s="80">
        <v>0.5</v>
      </c>
    </row>
    <row r="200" spans="1:3" x14ac:dyDescent="0.35">
      <c r="A200" t="s">
        <v>410</v>
      </c>
      <c r="B200" t="s">
        <v>1703</v>
      </c>
      <c r="C200" s="80">
        <v>0.5</v>
      </c>
    </row>
    <row r="201" spans="1:3" x14ac:dyDescent="0.35">
      <c r="A201" t="s">
        <v>1877</v>
      </c>
      <c r="C201" s="80">
        <v>17</v>
      </c>
    </row>
    <row r="202" spans="1:3" x14ac:dyDescent="0.35">
      <c r="A202" t="s">
        <v>871</v>
      </c>
      <c r="B202" t="s">
        <v>1332</v>
      </c>
      <c r="C202" s="80">
        <v>1</v>
      </c>
    </row>
    <row r="203" spans="1:3" x14ac:dyDescent="0.35">
      <c r="A203" t="s">
        <v>871</v>
      </c>
      <c r="B203" t="s">
        <v>1327</v>
      </c>
      <c r="C203" s="80">
        <v>1</v>
      </c>
    </row>
    <row r="204" spans="1:3" x14ac:dyDescent="0.35">
      <c r="A204" t="s">
        <v>871</v>
      </c>
      <c r="B204" t="s">
        <v>1145</v>
      </c>
      <c r="C204" s="80">
        <v>1</v>
      </c>
    </row>
    <row r="205" spans="1:3" x14ac:dyDescent="0.35">
      <c r="A205" t="s">
        <v>871</v>
      </c>
      <c r="B205" t="s">
        <v>1306</v>
      </c>
      <c r="C205" s="80">
        <v>1</v>
      </c>
    </row>
    <row r="206" spans="1:3" x14ac:dyDescent="0.35">
      <c r="A206" t="s">
        <v>871</v>
      </c>
      <c r="B206" t="s">
        <v>1215</v>
      </c>
      <c r="C206" s="80">
        <v>1</v>
      </c>
    </row>
    <row r="207" spans="1:3" x14ac:dyDescent="0.35">
      <c r="A207" t="s">
        <v>871</v>
      </c>
      <c r="B207" t="s">
        <v>1263</v>
      </c>
      <c r="C207" s="80">
        <v>1</v>
      </c>
    </row>
    <row r="208" spans="1:3" x14ac:dyDescent="0.35">
      <c r="A208" t="s">
        <v>871</v>
      </c>
      <c r="B208" t="s">
        <v>807</v>
      </c>
      <c r="C208" s="80">
        <v>0.8</v>
      </c>
    </row>
    <row r="209" spans="1:3" x14ac:dyDescent="0.35">
      <c r="A209" t="s">
        <v>871</v>
      </c>
      <c r="B209" t="s">
        <v>773</v>
      </c>
      <c r="C209" s="80">
        <v>0.8</v>
      </c>
    </row>
    <row r="210" spans="1:3" x14ac:dyDescent="0.35">
      <c r="A210" t="s">
        <v>871</v>
      </c>
      <c r="B210" t="s">
        <v>750</v>
      </c>
      <c r="C210" s="80">
        <v>0.8</v>
      </c>
    </row>
    <row r="211" spans="1:3" x14ac:dyDescent="0.35">
      <c r="A211" t="s">
        <v>871</v>
      </c>
      <c r="B211" t="s">
        <v>1377</v>
      </c>
      <c r="C211" s="80">
        <v>0.8</v>
      </c>
    </row>
    <row r="212" spans="1:3" x14ac:dyDescent="0.35">
      <c r="A212" t="s">
        <v>871</v>
      </c>
      <c r="B212" t="s">
        <v>813</v>
      </c>
      <c r="C212" s="80">
        <v>0.8</v>
      </c>
    </row>
    <row r="213" spans="1:3" x14ac:dyDescent="0.35">
      <c r="A213" t="s">
        <v>871</v>
      </c>
      <c r="B213" t="s">
        <v>778</v>
      </c>
      <c r="C213" s="80">
        <v>0.8</v>
      </c>
    </row>
    <row r="214" spans="1:3" x14ac:dyDescent="0.35">
      <c r="A214" t="s">
        <v>871</v>
      </c>
      <c r="B214" t="s">
        <v>783</v>
      </c>
      <c r="C214" s="80">
        <v>0.5</v>
      </c>
    </row>
    <row r="215" spans="1:3" x14ac:dyDescent="0.35">
      <c r="A215" t="s">
        <v>871</v>
      </c>
      <c r="B215" t="s">
        <v>846</v>
      </c>
      <c r="C215" s="80">
        <v>0.5</v>
      </c>
    </row>
    <row r="216" spans="1:3" x14ac:dyDescent="0.35">
      <c r="A216" t="s">
        <v>871</v>
      </c>
      <c r="B216" t="s">
        <v>841</v>
      </c>
      <c r="C216" s="80">
        <v>0.5</v>
      </c>
    </row>
    <row r="217" spans="1:3" x14ac:dyDescent="0.35">
      <c r="A217" t="s">
        <v>871</v>
      </c>
      <c r="B217" t="s">
        <v>1184</v>
      </c>
      <c r="C217" s="80">
        <v>0.5</v>
      </c>
    </row>
    <row r="218" spans="1:3" x14ac:dyDescent="0.35">
      <c r="A218" t="s">
        <v>871</v>
      </c>
      <c r="B218" t="s">
        <v>793</v>
      </c>
      <c r="C218" s="80">
        <v>0.5</v>
      </c>
    </row>
    <row r="219" spans="1:3" x14ac:dyDescent="0.35">
      <c r="A219" t="s">
        <v>871</v>
      </c>
      <c r="B219" t="s">
        <v>1260</v>
      </c>
      <c r="C219" s="80">
        <v>0.5</v>
      </c>
    </row>
    <row r="220" spans="1:3" x14ac:dyDescent="0.35">
      <c r="A220" t="s">
        <v>871</v>
      </c>
      <c r="B220" t="s">
        <v>1707</v>
      </c>
      <c r="C220" s="80">
        <v>0.3</v>
      </c>
    </row>
    <row r="221" spans="1:3" x14ac:dyDescent="0.35">
      <c r="A221" t="s">
        <v>871</v>
      </c>
      <c r="B221" t="s">
        <v>1351</v>
      </c>
      <c r="C221" s="80">
        <v>0.3</v>
      </c>
    </row>
    <row r="222" spans="1:3" x14ac:dyDescent="0.35">
      <c r="A222" t="s">
        <v>871</v>
      </c>
      <c r="B222" t="s">
        <v>1829</v>
      </c>
      <c r="C222" s="80">
        <v>0.2</v>
      </c>
    </row>
    <row r="223" spans="1:3" x14ac:dyDescent="0.35">
      <c r="A223" t="s">
        <v>871</v>
      </c>
      <c r="B223" t="s">
        <v>24</v>
      </c>
      <c r="C223" s="80">
        <v>0.2</v>
      </c>
    </row>
    <row r="224" spans="1:3" x14ac:dyDescent="0.35">
      <c r="A224" t="s">
        <v>871</v>
      </c>
      <c r="B224" t="s">
        <v>1375</v>
      </c>
      <c r="C224" s="80">
        <v>0.2</v>
      </c>
    </row>
    <row r="225" spans="1:3" x14ac:dyDescent="0.35">
      <c r="A225" t="s">
        <v>871</v>
      </c>
      <c r="B225" t="s">
        <v>832</v>
      </c>
      <c r="C225" s="80">
        <v>0.2</v>
      </c>
    </row>
    <row r="226" spans="1:3" x14ac:dyDescent="0.35">
      <c r="A226" t="s">
        <v>871</v>
      </c>
      <c r="B226" t="s">
        <v>1543</v>
      </c>
      <c r="C226" s="80">
        <v>0.2</v>
      </c>
    </row>
    <row r="227" spans="1:3" x14ac:dyDescent="0.35">
      <c r="A227" t="s">
        <v>871</v>
      </c>
      <c r="B227" t="s">
        <v>748</v>
      </c>
      <c r="C227" s="80">
        <v>0.2</v>
      </c>
    </row>
    <row r="228" spans="1:3" x14ac:dyDescent="0.35">
      <c r="A228" t="s">
        <v>871</v>
      </c>
      <c r="B228" t="s">
        <v>1835</v>
      </c>
      <c r="C228" s="80">
        <v>0.2</v>
      </c>
    </row>
    <row r="229" spans="1:3" x14ac:dyDescent="0.35">
      <c r="A229" t="s">
        <v>871</v>
      </c>
      <c r="B229" t="s">
        <v>1545</v>
      </c>
      <c r="C229" s="80">
        <v>0.2</v>
      </c>
    </row>
    <row r="230" spans="1:3" x14ac:dyDescent="0.35">
      <c r="A230" t="s">
        <v>1881</v>
      </c>
      <c r="C230" s="80">
        <v>15.999999999999998</v>
      </c>
    </row>
    <row r="231" spans="1:3" x14ac:dyDescent="0.35">
      <c r="A231" t="s">
        <v>548</v>
      </c>
      <c r="B231" t="s">
        <v>798</v>
      </c>
      <c r="C231" s="80">
        <v>2</v>
      </c>
    </row>
    <row r="232" spans="1:3" x14ac:dyDescent="0.35">
      <c r="A232" t="s">
        <v>548</v>
      </c>
      <c r="B232" t="s">
        <v>859</v>
      </c>
      <c r="C232" s="80">
        <v>2</v>
      </c>
    </row>
    <row r="233" spans="1:3" x14ac:dyDescent="0.35">
      <c r="A233" t="s">
        <v>548</v>
      </c>
      <c r="B233" t="s">
        <v>1340</v>
      </c>
      <c r="C233" s="80">
        <v>2</v>
      </c>
    </row>
    <row r="234" spans="1:3" x14ac:dyDescent="0.35">
      <c r="A234" t="s">
        <v>548</v>
      </c>
      <c r="B234" t="s">
        <v>1482</v>
      </c>
      <c r="C234" s="80">
        <v>1</v>
      </c>
    </row>
    <row r="235" spans="1:3" x14ac:dyDescent="0.35">
      <c r="A235" t="s">
        <v>548</v>
      </c>
      <c r="B235" t="s">
        <v>883</v>
      </c>
      <c r="C235" s="80">
        <v>1</v>
      </c>
    </row>
    <row r="236" spans="1:3" x14ac:dyDescent="0.35">
      <c r="A236" t="s">
        <v>548</v>
      </c>
      <c r="B236" t="s">
        <v>1434</v>
      </c>
      <c r="C236" s="80">
        <v>1</v>
      </c>
    </row>
    <row r="237" spans="1:3" x14ac:dyDescent="0.35">
      <c r="A237" t="s">
        <v>548</v>
      </c>
      <c r="B237" t="s">
        <v>931</v>
      </c>
      <c r="C237" s="80">
        <v>1</v>
      </c>
    </row>
    <row r="238" spans="1:3" x14ac:dyDescent="0.35">
      <c r="A238" t="s">
        <v>548</v>
      </c>
      <c r="B238" t="s">
        <v>1514</v>
      </c>
      <c r="C238" s="80">
        <v>1</v>
      </c>
    </row>
    <row r="239" spans="1:3" x14ac:dyDescent="0.35">
      <c r="A239" t="s">
        <v>548</v>
      </c>
      <c r="B239" t="s">
        <v>1281</v>
      </c>
      <c r="C239" s="80">
        <v>1</v>
      </c>
    </row>
    <row r="240" spans="1:3" x14ac:dyDescent="0.35">
      <c r="A240" t="s">
        <v>548</v>
      </c>
      <c r="B240" t="s">
        <v>962</v>
      </c>
      <c r="C240" s="80">
        <v>0.5</v>
      </c>
    </row>
    <row r="241" spans="1:3" x14ac:dyDescent="0.35">
      <c r="A241" t="s">
        <v>548</v>
      </c>
      <c r="B241" t="s">
        <v>966</v>
      </c>
      <c r="C241" s="80">
        <v>0.5</v>
      </c>
    </row>
    <row r="242" spans="1:3" x14ac:dyDescent="0.35">
      <c r="A242" t="s">
        <v>1880</v>
      </c>
      <c r="C242" s="80">
        <v>13</v>
      </c>
    </row>
    <row r="243" spans="1:3" x14ac:dyDescent="0.35">
      <c r="A243" t="s">
        <v>471</v>
      </c>
      <c r="B243" t="s">
        <v>469</v>
      </c>
      <c r="C243" s="80">
        <v>1</v>
      </c>
    </row>
    <row r="244" spans="1:3" x14ac:dyDescent="0.35">
      <c r="A244" t="s">
        <v>471</v>
      </c>
      <c r="B244" t="s">
        <v>1158</v>
      </c>
      <c r="C244" s="80">
        <v>0.75</v>
      </c>
    </row>
    <row r="245" spans="1:3" x14ac:dyDescent="0.35">
      <c r="A245" t="s">
        <v>471</v>
      </c>
      <c r="B245" t="s">
        <v>651</v>
      </c>
      <c r="C245" s="80">
        <v>0.75</v>
      </c>
    </row>
    <row r="246" spans="1:3" x14ac:dyDescent="0.35">
      <c r="A246" t="s">
        <v>471</v>
      </c>
      <c r="B246" t="s">
        <v>1452</v>
      </c>
      <c r="C246" s="80">
        <v>0.5</v>
      </c>
    </row>
    <row r="247" spans="1:3" x14ac:dyDescent="0.35">
      <c r="A247" t="s">
        <v>471</v>
      </c>
      <c r="B247" t="s">
        <v>709</v>
      </c>
      <c r="C247" s="80">
        <v>0.5</v>
      </c>
    </row>
    <row r="248" spans="1:3" x14ac:dyDescent="0.35">
      <c r="A248" t="s">
        <v>471</v>
      </c>
      <c r="B248" t="s">
        <v>1455</v>
      </c>
      <c r="C248" s="80">
        <v>0.5</v>
      </c>
    </row>
    <row r="249" spans="1:3" x14ac:dyDescent="0.35">
      <c r="A249" t="s">
        <v>471</v>
      </c>
      <c r="B249" t="s">
        <v>1428</v>
      </c>
      <c r="C249" s="80">
        <v>0.5</v>
      </c>
    </row>
    <row r="250" spans="1:3" x14ac:dyDescent="0.35">
      <c r="A250" t="s">
        <v>471</v>
      </c>
      <c r="B250" t="s">
        <v>703</v>
      </c>
      <c r="C250" s="80">
        <v>0.5</v>
      </c>
    </row>
    <row r="251" spans="1:3" x14ac:dyDescent="0.35">
      <c r="A251" t="s">
        <v>471</v>
      </c>
      <c r="B251" t="s">
        <v>554</v>
      </c>
      <c r="C251" s="80">
        <v>0.5</v>
      </c>
    </row>
    <row r="252" spans="1:3" x14ac:dyDescent="0.35">
      <c r="A252" t="s">
        <v>471</v>
      </c>
      <c r="B252" t="s">
        <v>565</v>
      </c>
      <c r="C252" s="80">
        <v>0.33333333333333331</v>
      </c>
    </row>
    <row r="253" spans="1:3" x14ac:dyDescent="0.35">
      <c r="A253" t="s">
        <v>471</v>
      </c>
      <c r="B253" t="s">
        <v>1473</v>
      </c>
      <c r="C253" s="80">
        <v>0.33333333333333331</v>
      </c>
    </row>
    <row r="254" spans="1:3" x14ac:dyDescent="0.35">
      <c r="A254" t="s">
        <v>471</v>
      </c>
      <c r="B254" t="s">
        <v>1466</v>
      </c>
      <c r="C254" s="80">
        <v>0.33333333333333331</v>
      </c>
    </row>
    <row r="255" spans="1:3" x14ac:dyDescent="0.35">
      <c r="A255" t="s">
        <v>471</v>
      </c>
      <c r="B255" t="s">
        <v>916</v>
      </c>
      <c r="C255" s="80">
        <v>0.33333333333333331</v>
      </c>
    </row>
    <row r="256" spans="1:3" x14ac:dyDescent="0.35">
      <c r="A256" t="s">
        <v>471</v>
      </c>
      <c r="B256" t="s">
        <v>562</v>
      </c>
      <c r="C256" s="80">
        <v>0.33333333333333331</v>
      </c>
    </row>
    <row r="257" spans="1:3" x14ac:dyDescent="0.35">
      <c r="A257" t="s">
        <v>471</v>
      </c>
      <c r="B257" t="s">
        <v>919</v>
      </c>
      <c r="C257" s="80">
        <v>0.33333333333333331</v>
      </c>
    </row>
    <row r="258" spans="1:3" x14ac:dyDescent="0.35">
      <c r="A258" t="s">
        <v>471</v>
      </c>
      <c r="B258" t="s">
        <v>706</v>
      </c>
      <c r="C258" s="80">
        <v>0.33333333333333331</v>
      </c>
    </row>
    <row r="259" spans="1:3" x14ac:dyDescent="0.35">
      <c r="A259" t="s">
        <v>471</v>
      </c>
      <c r="B259" t="s">
        <v>492</v>
      </c>
      <c r="C259" s="80">
        <v>0.33333333333333331</v>
      </c>
    </row>
    <row r="260" spans="1:3" x14ac:dyDescent="0.35">
      <c r="A260" t="s">
        <v>471</v>
      </c>
      <c r="B260" t="s">
        <v>1470</v>
      </c>
      <c r="C260" s="80">
        <v>0.33333333333333331</v>
      </c>
    </row>
    <row r="261" spans="1:3" x14ac:dyDescent="0.35">
      <c r="A261" t="s">
        <v>471</v>
      </c>
      <c r="B261" t="s">
        <v>488</v>
      </c>
      <c r="C261" s="80">
        <v>0.33333333333333331</v>
      </c>
    </row>
    <row r="262" spans="1:3" x14ac:dyDescent="0.35">
      <c r="A262" t="s">
        <v>471</v>
      </c>
      <c r="B262" t="s">
        <v>558</v>
      </c>
      <c r="C262" s="80">
        <v>0.33333333333333331</v>
      </c>
    </row>
    <row r="263" spans="1:3" x14ac:dyDescent="0.35">
      <c r="A263" t="s">
        <v>471</v>
      </c>
      <c r="B263" t="s">
        <v>922</v>
      </c>
      <c r="C263" s="80">
        <v>0.33333333333333331</v>
      </c>
    </row>
    <row r="264" spans="1:3" x14ac:dyDescent="0.35">
      <c r="A264" t="s">
        <v>471</v>
      </c>
      <c r="B264" t="s">
        <v>892</v>
      </c>
      <c r="C264" s="80">
        <v>0.25</v>
      </c>
    </row>
    <row r="265" spans="1:3" x14ac:dyDescent="0.35">
      <c r="A265" t="s">
        <v>471</v>
      </c>
      <c r="B265" t="s">
        <v>1161</v>
      </c>
      <c r="C265" s="80">
        <v>0.25</v>
      </c>
    </row>
    <row r="266" spans="1:3" x14ac:dyDescent="0.35">
      <c r="A266" t="s">
        <v>1876</v>
      </c>
      <c r="C266" s="80">
        <v>10.000000000000002</v>
      </c>
    </row>
    <row r="267" spans="1:3" x14ac:dyDescent="0.35">
      <c r="A267" t="s">
        <v>391</v>
      </c>
      <c r="B267" t="s">
        <v>426</v>
      </c>
      <c r="C267" s="80">
        <v>1</v>
      </c>
    </row>
    <row r="268" spans="1:3" x14ac:dyDescent="0.35">
      <c r="A268" t="s">
        <v>391</v>
      </c>
      <c r="B268" t="s">
        <v>674</v>
      </c>
      <c r="C268" s="80">
        <v>1</v>
      </c>
    </row>
    <row r="269" spans="1:3" x14ac:dyDescent="0.35">
      <c r="A269" t="s">
        <v>391</v>
      </c>
      <c r="B269" t="s">
        <v>668</v>
      </c>
      <c r="C269" s="80">
        <v>1</v>
      </c>
    </row>
    <row r="270" spans="1:3" x14ac:dyDescent="0.35">
      <c r="A270" t="s">
        <v>391</v>
      </c>
      <c r="B270" t="s">
        <v>671</v>
      </c>
      <c r="C270" s="80">
        <v>1</v>
      </c>
    </row>
    <row r="271" spans="1:3" x14ac:dyDescent="0.35">
      <c r="A271" t="s">
        <v>391</v>
      </c>
      <c r="B271" t="s">
        <v>478</v>
      </c>
      <c r="C271" s="80">
        <v>0.5</v>
      </c>
    </row>
    <row r="272" spans="1:3" x14ac:dyDescent="0.35">
      <c r="A272" t="s">
        <v>391</v>
      </c>
      <c r="B272" t="s">
        <v>582</v>
      </c>
      <c r="C272" s="80">
        <v>0.5</v>
      </c>
    </row>
    <row r="273" spans="1:3" x14ac:dyDescent="0.35">
      <c r="A273" t="s">
        <v>391</v>
      </c>
      <c r="B273" t="s">
        <v>397</v>
      </c>
      <c r="C273" s="80">
        <v>0.5</v>
      </c>
    </row>
    <row r="274" spans="1:3" x14ac:dyDescent="0.35">
      <c r="A274" t="s">
        <v>391</v>
      </c>
      <c r="B274" t="s">
        <v>402</v>
      </c>
      <c r="C274" s="80">
        <v>0.5</v>
      </c>
    </row>
    <row r="275" spans="1:3" x14ac:dyDescent="0.35">
      <c r="A275" t="s">
        <v>391</v>
      </c>
      <c r="B275" t="s">
        <v>1525</v>
      </c>
      <c r="C275" s="80">
        <v>0.5</v>
      </c>
    </row>
    <row r="276" spans="1:3" x14ac:dyDescent="0.35">
      <c r="A276" t="s">
        <v>391</v>
      </c>
      <c r="B276" t="s">
        <v>1018</v>
      </c>
      <c r="C276" s="80">
        <v>0.5</v>
      </c>
    </row>
    <row r="277" spans="1:3" x14ac:dyDescent="0.35">
      <c r="A277" t="s">
        <v>391</v>
      </c>
      <c r="B277" t="s">
        <v>1713</v>
      </c>
      <c r="C277" s="80">
        <v>0.5</v>
      </c>
    </row>
    <row r="278" spans="1:3" x14ac:dyDescent="0.35">
      <c r="A278" t="s">
        <v>391</v>
      </c>
      <c r="B278" t="s">
        <v>481</v>
      </c>
      <c r="C278" s="80">
        <v>0.5</v>
      </c>
    </row>
    <row r="279" spans="1:3" x14ac:dyDescent="0.35">
      <c r="A279" t="s">
        <v>391</v>
      </c>
      <c r="B279" t="s">
        <v>1738</v>
      </c>
      <c r="C279" s="80">
        <v>0.33333333333333331</v>
      </c>
    </row>
    <row r="280" spans="1:3" x14ac:dyDescent="0.35">
      <c r="A280" t="s">
        <v>391</v>
      </c>
      <c r="B280" t="s">
        <v>1731</v>
      </c>
      <c r="C280" s="80">
        <v>0.33333333333333331</v>
      </c>
    </row>
    <row r="281" spans="1:3" x14ac:dyDescent="0.35">
      <c r="A281" t="s">
        <v>391</v>
      </c>
      <c r="B281" t="s">
        <v>1735</v>
      </c>
      <c r="C281" s="80">
        <v>0.33333333333333331</v>
      </c>
    </row>
    <row r="282" spans="1:3" x14ac:dyDescent="0.35">
      <c r="A282" t="s">
        <v>391</v>
      </c>
      <c r="B282" t="s">
        <v>1727</v>
      </c>
      <c r="C282" s="80">
        <v>0.25</v>
      </c>
    </row>
    <row r="283" spans="1:3" x14ac:dyDescent="0.35">
      <c r="A283" t="s">
        <v>391</v>
      </c>
      <c r="B283" t="s">
        <v>389</v>
      </c>
      <c r="C283" s="80">
        <v>0.25</v>
      </c>
    </row>
    <row r="284" spans="1:3" x14ac:dyDescent="0.35">
      <c r="A284" t="s">
        <v>391</v>
      </c>
      <c r="B284" t="s">
        <v>1722</v>
      </c>
      <c r="C284" s="80">
        <v>0.25</v>
      </c>
    </row>
    <row r="285" spans="1:3" x14ac:dyDescent="0.35">
      <c r="A285" t="s">
        <v>391</v>
      </c>
      <c r="B285" t="s">
        <v>1696</v>
      </c>
      <c r="C285" s="80">
        <v>0.25</v>
      </c>
    </row>
    <row r="286" spans="1:3" x14ac:dyDescent="0.35">
      <c r="A286" t="s">
        <v>1879</v>
      </c>
      <c r="C286" s="80">
        <v>10</v>
      </c>
    </row>
    <row r="287" spans="1:3" x14ac:dyDescent="0.35">
      <c r="A287" t="s">
        <v>1614</v>
      </c>
      <c r="B287" t="s">
        <v>1612</v>
      </c>
      <c r="C287" s="80">
        <v>3</v>
      </c>
    </row>
    <row r="288" spans="1:3" x14ac:dyDescent="0.35">
      <c r="A288" t="s">
        <v>1614</v>
      </c>
      <c r="B288" t="s">
        <v>1639</v>
      </c>
      <c r="C288" s="80">
        <v>2</v>
      </c>
    </row>
    <row r="289" spans="1:3" x14ac:dyDescent="0.35">
      <c r="A289" t="s">
        <v>1614</v>
      </c>
      <c r="B289" t="s">
        <v>1621</v>
      </c>
      <c r="C289" s="80">
        <v>1</v>
      </c>
    </row>
    <row r="290" spans="1:3" x14ac:dyDescent="0.35">
      <c r="A290" t="s">
        <v>1614</v>
      </c>
      <c r="B290" t="s">
        <v>1659</v>
      </c>
      <c r="C290" s="80">
        <v>1</v>
      </c>
    </row>
    <row r="291" spans="1:3" x14ac:dyDescent="0.35">
      <c r="A291" t="s">
        <v>1614</v>
      </c>
      <c r="B291" t="s">
        <v>1634</v>
      </c>
      <c r="C291" s="80">
        <v>1</v>
      </c>
    </row>
    <row r="292" spans="1:3" x14ac:dyDescent="0.35">
      <c r="A292" t="s">
        <v>1882</v>
      </c>
      <c r="C292" s="80">
        <v>8</v>
      </c>
    </row>
    <row r="293" spans="1:3" x14ac:dyDescent="0.35">
      <c r="A293" t="s">
        <v>19</v>
      </c>
      <c r="C293" s="80">
        <v>331.99999999999972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0F396-C4A3-485E-9CD0-E72E9D6288B7}">
  <sheetPr codeName="Hoja8"/>
  <dimension ref="A2:X105"/>
  <sheetViews>
    <sheetView showGridLines="0" topLeftCell="A7" zoomScale="70" zoomScaleNormal="70" workbookViewId="0">
      <selection activeCell="F28" sqref="F28"/>
    </sheetView>
  </sheetViews>
  <sheetFormatPr baseColWidth="10" defaultColWidth="11.453125" defaultRowHeight="14.5" outlineLevelCol="1" x14ac:dyDescent="0.35"/>
  <cols>
    <col min="1" max="1" width="11.7265625" bestFit="1" customWidth="1"/>
    <col min="2" max="2" width="17.6328125" bestFit="1" customWidth="1"/>
    <col min="3" max="3" width="7" bestFit="1" customWidth="1" outlineLevel="1"/>
    <col min="4" max="4" width="8.90625" bestFit="1" customWidth="1"/>
    <col min="5" max="6" width="16.81640625" bestFit="1" customWidth="1"/>
    <col min="7" max="7" width="22.90625" bestFit="1" customWidth="1"/>
    <col min="8" max="8" width="14.26953125" bestFit="1" customWidth="1"/>
    <col min="9" max="9" width="11.36328125" bestFit="1" customWidth="1"/>
    <col min="10" max="10" width="24.90625" bestFit="1" customWidth="1"/>
    <col min="11" max="11" width="27.6328125" bestFit="1" customWidth="1"/>
    <col min="12" max="12" width="7" bestFit="1" customWidth="1"/>
    <col min="13" max="13" width="15.26953125" bestFit="1" customWidth="1"/>
    <col min="14" max="14" width="11.54296875" bestFit="1" customWidth="1"/>
    <col min="15" max="15" width="24.90625" bestFit="1" customWidth="1"/>
    <col min="16" max="16" width="33.26953125" bestFit="1" customWidth="1" outlineLevel="1"/>
    <col min="17" max="17" width="13.36328125" bestFit="1" customWidth="1"/>
    <col min="20" max="20" width="11.7265625" bestFit="1" customWidth="1"/>
    <col min="21" max="21" width="25.54296875" bestFit="1" customWidth="1"/>
    <col min="22" max="22" width="7" bestFit="1" customWidth="1"/>
    <col min="24" max="24" width="255.6328125" bestFit="1" customWidth="1"/>
  </cols>
  <sheetData>
    <row r="2" spans="1:13" x14ac:dyDescent="0.35">
      <c r="A2" s="2" t="s">
        <v>0</v>
      </c>
      <c r="B2" t="s">
        <v>1</v>
      </c>
      <c r="F2" s="2" t="s">
        <v>0</v>
      </c>
      <c r="G2" t="s">
        <v>125</v>
      </c>
    </row>
    <row r="4" spans="1:13" x14ac:dyDescent="0.35">
      <c r="A4" s="2" t="s">
        <v>5</v>
      </c>
      <c r="B4" s="2" t="s">
        <v>126</v>
      </c>
      <c r="C4" s="1" t="s">
        <v>74</v>
      </c>
      <c r="F4" s="2" t="s">
        <v>5</v>
      </c>
      <c r="G4" s="2" t="s">
        <v>126</v>
      </c>
      <c r="H4" t="s">
        <v>74</v>
      </c>
    </row>
    <row r="5" spans="1:13" x14ac:dyDescent="0.35">
      <c r="A5" t="s">
        <v>9</v>
      </c>
      <c r="B5" t="s">
        <v>61</v>
      </c>
      <c r="C5" s="57">
        <v>9</v>
      </c>
      <c r="E5" s="1"/>
      <c r="F5" t="s">
        <v>9</v>
      </c>
      <c r="G5" t="s">
        <v>69</v>
      </c>
      <c r="H5">
        <v>10</v>
      </c>
      <c r="L5" s="26"/>
      <c r="M5" s="26"/>
    </row>
    <row r="6" spans="1:13" x14ac:dyDescent="0.35">
      <c r="B6" t="s">
        <v>60</v>
      </c>
      <c r="C6" s="57">
        <v>24</v>
      </c>
      <c r="E6" s="57"/>
      <c r="G6" t="s">
        <v>71</v>
      </c>
      <c r="H6">
        <v>5</v>
      </c>
    </row>
    <row r="7" spans="1:13" x14ac:dyDescent="0.35">
      <c r="B7" t="s">
        <v>59</v>
      </c>
      <c r="C7" s="57">
        <v>25</v>
      </c>
      <c r="E7" s="57"/>
      <c r="G7" t="s">
        <v>70</v>
      </c>
      <c r="H7">
        <v>4</v>
      </c>
    </row>
    <row r="8" spans="1:13" x14ac:dyDescent="0.35">
      <c r="B8" t="s">
        <v>57</v>
      </c>
      <c r="C8" s="57">
        <v>274.00000000000011</v>
      </c>
      <c r="E8" s="57"/>
      <c r="F8" t="s">
        <v>127</v>
      </c>
      <c r="H8">
        <v>19</v>
      </c>
    </row>
    <row r="9" spans="1:13" x14ac:dyDescent="0.35">
      <c r="A9" t="s">
        <v>127</v>
      </c>
      <c r="C9" s="57">
        <v>332.00000000000011</v>
      </c>
      <c r="E9" s="57"/>
      <c r="F9" t="s">
        <v>128</v>
      </c>
      <c r="G9" t="s">
        <v>69</v>
      </c>
      <c r="H9">
        <v>0.5</v>
      </c>
    </row>
    <row r="10" spans="1:13" x14ac:dyDescent="0.35">
      <c r="A10" t="s">
        <v>19</v>
      </c>
      <c r="C10" s="57">
        <v>332.00000000000011</v>
      </c>
      <c r="E10" s="57"/>
      <c r="F10" t="s">
        <v>129</v>
      </c>
      <c r="H10">
        <v>0.5</v>
      </c>
    </row>
    <row r="11" spans="1:13" x14ac:dyDescent="0.35">
      <c r="E11" s="57"/>
      <c r="F11" t="s">
        <v>19</v>
      </c>
      <c r="H11">
        <v>19.5</v>
      </c>
    </row>
    <row r="13" spans="1:13" x14ac:dyDescent="0.35">
      <c r="A13" s="2" t="s">
        <v>0</v>
      </c>
      <c r="B13" t="s">
        <v>1</v>
      </c>
      <c r="F13" s="60" t="s">
        <v>0</v>
      </c>
      <c r="G13" s="1" t="s">
        <v>1</v>
      </c>
    </row>
    <row r="14" spans="1:13" x14ac:dyDescent="0.35">
      <c r="F14" s="60" t="s">
        <v>2</v>
      </c>
      <c r="G14" s="1" t="s">
        <v>4</v>
      </c>
    </row>
    <row r="15" spans="1:13" x14ac:dyDescent="0.35">
      <c r="A15" s="2" t="s">
        <v>5</v>
      </c>
      <c r="B15" s="2" t="s">
        <v>131</v>
      </c>
      <c r="C15" t="s">
        <v>74</v>
      </c>
      <c r="D15" t="s">
        <v>132</v>
      </c>
      <c r="F15" s="60" t="s">
        <v>72</v>
      </c>
      <c r="G15" s="1" t="s">
        <v>3</v>
      </c>
    </row>
    <row r="16" spans="1:13" x14ac:dyDescent="0.35">
      <c r="A16" t="s">
        <v>9</v>
      </c>
      <c r="B16" t="s">
        <v>134</v>
      </c>
      <c r="C16" s="26">
        <v>121.99999999999999</v>
      </c>
      <c r="D16" s="38">
        <v>0.3674698795180722</v>
      </c>
    </row>
    <row r="17" spans="1:24" x14ac:dyDescent="0.35">
      <c r="B17" t="s">
        <v>137</v>
      </c>
      <c r="C17" s="26">
        <v>208.00000000000006</v>
      </c>
      <c r="D17" s="38">
        <v>0.62650602409638556</v>
      </c>
      <c r="F17" s="60" t="s">
        <v>5</v>
      </c>
      <c r="G17" s="60" t="s">
        <v>6</v>
      </c>
      <c r="H17" s="60" t="s">
        <v>47</v>
      </c>
      <c r="I17" s="60" t="s">
        <v>133</v>
      </c>
      <c r="J17" s="60" t="s">
        <v>126</v>
      </c>
      <c r="K17" s="60" t="s">
        <v>7</v>
      </c>
      <c r="L17" s="1" t="s">
        <v>74</v>
      </c>
    </row>
    <row r="18" spans="1:24" x14ac:dyDescent="0.35">
      <c r="B18" t="s">
        <v>4</v>
      </c>
      <c r="C18" s="26">
        <v>2</v>
      </c>
      <c r="D18" s="38">
        <v>6.0240963855421673E-3</v>
      </c>
      <c r="F18" s="1" t="s">
        <v>10</v>
      </c>
      <c r="G18" s="1" t="s">
        <v>15</v>
      </c>
      <c r="H18" s="1" t="s">
        <v>418</v>
      </c>
      <c r="I18" s="1" t="s">
        <v>136</v>
      </c>
      <c r="J18" s="1" t="s">
        <v>57</v>
      </c>
      <c r="K18" s="1" t="s">
        <v>1814</v>
      </c>
      <c r="L18" s="61">
        <v>1</v>
      </c>
      <c r="X18" t="s">
        <v>1800</v>
      </c>
    </row>
    <row r="19" spans="1:24" x14ac:dyDescent="0.35">
      <c r="A19" t="s">
        <v>127</v>
      </c>
      <c r="C19">
        <v>332.00000000000006</v>
      </c>
      <c r="D19" s="38">
        <v>1</v>
      </c>
      <c r="F19" s="1" t="s">
        <v>9</v>
      </c>
      <c r="G19" s="1" t="s">
        <v>1615</v>
      </c>
      <c r="H19" s="1" t="s">
        <v>135</v>
      </c>
      <c r="I19" s="1" t="s">
        <v>136</v>
      </c>
      <c r="J19" s="1" t="s">
        <v>60</v>
      </c>
      <c r="K19" s="1" t="s">
        <v>1612</v>
      </c>
      <c r="L19" s="61">
        <v>1</v>
      </c>
    </row>
    <row r="20" spans="1:24" x14ac:dyDescent="0.35">
      <c r="A20" t="s">
        <v>10</v>
      </c>
      <c r="B20" t="s">
        <v>134</v>
      </c>
      <c r="C20" s="26">
        <v>7</v>
      </c>
      <c r="D20" s="38">
        <v>0.33333333333333331</v>
      </c>
      <c r="F20" s="1" t="s">
        <v>9</v>
      </c>
      <c r="G20" s="1" t="s">
        <v>13</v>
      </c>
      <c r="H20" s="1" t="s">
        <v>135</v>
      </c>
      <c r="I20" s="1" t="s">
        <v>136</v>
      </c>
      <c r="J20" s="1" t="s">
        <v>61</v>
      </c>
      <c r="K20" s="1" t="s">
        <v>43</v>
      </c>
      <c r="L20" s="61">
        <v>1</v>
      </c>
    </row>
    <row r="21" spans="1:24" x14ac:dyDescent="0.35">
      <c r="B21" t="s">
        <v>137</v>
      </c>
      <c r="C21" s="26">
        <v>13</v>
      </c>
      <c r="D21" s="38">
        <v>0.61904761904761907</v>
      </c>
      <c r="F21" s="1" t="s">
        <v>19</v>
      </c>
      <c r="G21" s="1"/>
      <c r="H21" s="1"/>
      <c r="I21" s="1"/>
      <c r="J21" s="1"/>
      <c r="K21" s="1"/>
      <c r="L21" s="61">
        <v>3</v>
      </c>
    </row>
    <row r="22" spans="1:24" x14ac:dyDescent="0.35">
      <c r="B22" t="s">
        <v>4</v>
      </c>
      <c r="C22" s="26">
        <v>1</v>
      </c>
      <c r="D22" s="38">
        <v>4.7619047619047616E-2</v>
      </c>
    </row>
    <row r="23" spans="1:24" x14ac:dyDescent="0.35">
      <c r="A23" t="s">
        <v>130</v>
      </c>
      <c r="C23">
        <v>21</v>
      </c>
      <c r="D23" s="38">
        <v>1</v>
      </c>
    </row>
    <row r="24" spans="1:24" x14ac:dyDescent="0.35">
      <c r="A24" t="s">
        <v>19</v>
      </c>
      <c r="C24">
        <v>353.00000000000006</v>
      </c>
      <c r="D24" s="38"/>
    </row>
    <row r="26" spans="1:24" x14ac:dyDescent="0.35">
      <c r="A26" s="2" t="s">
        <v>2</v>
      </c>
      <c r="B26" t="s">
        <v>3</v>
      </c>
    </row>
    <row r="27" spans="1:24" x14ac:dyDescent="0.35">
      <c r="A27" s="2" t="s">
        <v>0</v>
      </c>
      <c r="B27" t="s">
        <v>3</v>
      </c>
    </row>
    <row r="28" spans="1:24" x14ac:dyDescent="0.35">
      <c r="A28" s="1"/>
    </row>
    <row r="29" spans="1:24" x14ac:dyDescent="0.35">
      <c r="A29" s="2" t="s">
        <v>5</v>
      </c>
      <c r="B29" s="2" t="s">
        <v>126</v>
      </c>
      <c r="C29" s="1" t="s">
        <v>74</v>
      </c>
    </row>
    <row r="30" spans="1:24" x14ac:dyDescent="0.35">
      <c r="A30" t="s">
        <v>9</v>
      </c>
      <c r="B30" t="s">
        <v>57</v>
      </c>
      <c r="C30" s="57">
        <v>274.00000000000011</v>
      </c>
    </row>
    <row r="31" spans="1:24" x14ac:dyDescent="0.35">
      <c r="B31" t="s">
        <v>59</v>
      </c>
      <c r="C31" s="57">
        <v>25</v>
      </c>
    </row>
    <row r="32" spans="1:24" x14ac:dyDescent="0.35">
      <c r="B32" t="s">
        <v>60</v>
      </c>
      <c r="C32" s="57">
        <v>24</v>
      </c>
    </row>
    <row r="33" spans="1:3" x14ac:dyDescent="0.35">
      <c r="B33" t="s">
        <v>61</v>
      </c>
      <c r="C33" s="57">
        <v>9</v>
      </c>
    </row>
    <row r="34" spans="1:3" x14ac:dyDescent="0.35">
      <c r="B34" t="s">
        <v>63</v>
      </c>
      <c r="C34" s="57">
        <v>5</v>
      </c>
    </row>
    <row r="35" spans="1:3" x14ac:dyDescent="0.35">
      <c r="B35" t="s">
        <v>65</v>
      </c>
      <c r="C35" s="57">
        <v>1</v>
      </c>
    </row>
    <row r="36" spans="1:3" x14ac:dyDescent="0.35">
      <c r="B36" t="s">
        <v>58</v>
      </c>
      <c r="C36" s="57">
        <v>1</v>
      </c>
    </row>
    <row r="37" spans="1:3" x14ac:dyDescent="0.35">
      <c r="B37" t="s">
        <v>64</v>
      </c>
      <c r="C37" s="57">
        <v>3</v>
      </c>
    </row>
    <row r="38" spans="1:3" x14ac:dyDescent="0.35">
      <c r="B38" t="s">
        <v>66</v>
      </c>
      <c r="C38" s="57">
        <v>1</v>
      </c>
    </row>
    <row r="39" spans="1:3" x14ac:dyDescent="0.35">
      <c r="B39" t="s">
        <v>67</v>
      </c>
      <c r="C39" s="57">
        <v>1</v>
      </c>
    </row>
    <row r="40" spans="1:3" x14ac:dyDescent="0.35">
      <c r="B40" t="s">
        <v>68</v>
      </c>
      <c r="C40" s="57">
        <v>1</v>
      </c>
    </row>
    <row r="41" spans="1:3" x14ac:dyDescent="0.35">
      <c r="B41" t="s">
        <v>69</v>
      </c>
      <c r="C41" s="57">
        <v>10.499999999999984</v>
      </c>
    </row>
    <row r="42" spans="1:3" x14ac:dyDescent="0.35">
      <c r="B42" t="s">
        <v>70</v>
      </c>
      <c r="C42" s="57">
        <v>3.9999999999999982</v>
      </c>
    </row>
    <row r="43" spans="1:3" x14ac:dyDescent="0.35">
      <c r="B43" t="s">
        <v>71</v>
      </c>
      <c r="C43" s="57">
        <v>4.9999999999999938</v>
      </c>
    </row>
    <row r="44" spans="1:3" x14ac:dyDescent="0.35">
      <c r="B44" t="s">
        <v>62</v>
      </c>
      <c r="C44" s="57">
        <v>3</v>
      </c>
    </row>
    <row r="45" spans="1:3" x14ac:dyDescent="0.35">
      <c r="A45" t="s">
        <v>19</v>
      </c>
      <c r="C45" s="57">
        <v>367.50000000000011</v>
      </c>
    </row>
    <row r="58" spans="5:5" x14ac:dyDescent="0.35">
      <c r="E58" s="38"/>
    </row>
    <row r="59" spans="5:5" x14ac:dyDescent="0.35">
      <c r="E59" s="38"/>
    </row>
    <row r="60" spans="5:5" x14ac:dyDescent="0.35">
      <c r="E60" s="38"/>
    </row>
    <row r="61" spans="5:5" x14ac:dyDescent="0.35">
      <c r="E61" s="38"/>
    </row>
    <row r="62" spans="5:5" x14ac:dyDescent="0.35">
      <c r="E62" s="38"/>
    </row>
    <row r="63" spans="5:5" x14ac:dyDescent="0.35">
      <c r="E63" s="38"/>
    </row>
    <row r="64" spans="5:5" x14ac:dyDescent="0.35">
      <c r="E64" s="38"/>
    </row>
    <row r="65" spans="5:5" x14ac:dyDescent="0.35">
      <c r="E65" s="38"/>
    </row>
    <row r="66" spans="5:5" x14ac:dyDescent="0.35">
      <c r="E66" s="38"/>
    </row>
    <row r="67" spans="5:5" x14ac:dyDescent="0.35">
      <c r="E67" s="38"/>
    </row>
    <row r="68" spans="5:5" x14ac:dyDescent="0.35">
      <c r="E68" s="38"/>
    </row>
    <row r="69" spans="5:5" x14ac:dyDescent="0.35">
      <c r="E69" s="38"/>
    </row>
    <row r="96" spans="1:2" x14ac:dyDescent="0.35">
      <c r="A96" s="2" t="s">
        <v>0</v>
      </c>
      <c r="B96" t="s">
        <v>1</v>
      </c>
    </row>
    <row r="98" spans="1:7" x14ac:dyDescent="0.35">
      <c r="A98" s="60" t="s">
        <v>74</v>
      </c>
      <c r="B98" s="1"/>
      <c r="C98" s="60" t="s">
        <v>133</v>
      </c>
      <c r="D98" s="60" t="s">
        <v>47</v>
      </c>
      <c r="E98" s="1"/>
      <c r="F98" s="1"/>
      <c r="G98" s="1"/>
    </row>
    <row r="99" spans="1:7" ht="14.5" customHeight="1" x14ac:dyDescent="0.35">
      <c r="A99" s="1"/>
      <c r="B99" s="1"/>
      <c r="C99" s="81" t="s">
        <v>136</v>
      </c>
      <c r="D99" s="82" t="s">
        <v>136</v>
      </c>
      <c r="E99" s="82" t="s">
        <v>136</v>
      </c>
      <c r="F99" s="62" t="s">
        <v>1243</v>
      </c>
      <c r="G99" s="81" t="s">
        <v>19</v>
      </c>
    </row>
    <row r="100" spans="1:7" ht="43.5" x14ac:dyDescent="0.35">
      <c r="A100" s="60" t="s">
        <v>5</v>
      </c>
      <c r="B100" s="60" t="s">
        <v>126</v>
      </c>
      <c r="C100" s="62" t="s">
        <v>418</v>
      </c>
      <c r="D100" s="62" t="s">
        <v>135</v>
      </c>
      <c r="E100" s="62" t="s">
        <v>50</v>
      </c>
      <c r="F100" s="62" t="s">
        <v>135</v>
      </c>
      <c r="G100" s="82"/>
    </row>
    <row r="101" spans="1:7" ht="29" x14ac:dyDescent="0.35">
      <c r="A101" s="81" t="s">
        <v>9</v>
      </c>
      <c r="B101" s="62" t="s">
        <v>57</v>
      </c>
      <c r="C101" s="57">
        <v>16</v>
      </c>
      <c r="D101" s="57">
        <v>244.00000000000009</v>
      </c>
      <c r="E101" s="57">
        <v>2</v>
      </c>
      <c r="F101" s="57">
        <v>11</v>
      </c>
      <c r="G101" s="57">
        <v>273.00000000000011</v>
      </c>
    </row>
    <row r="102" spans="1:7" ht="29" x14ac:dyDescent="0.35">
      <c r="A102" s="82" t="s">
        <v>9</v>
      </c>
      <c r="B102" s="62" t="s">
        <v>59</v>
      </c>
      <c r="C102" s="57"/>
      <c r="D102" s="57">
        <v>22</v>
      </c>
      <c r="E102" s="57"/>
      <c r="F102" s="57">
        <v>3</v>
      </c>
      <c r="G102" s="57">
        <v>25</v>
      </c>
    </row>
    <row r="103" spans="1:7" ht="29" x14ac:dyDescent="0.35">
      <c r="A103" s="82" t="s">
        <v>9</v>
      </c>
      <c r="B103" s="62" t="s">
        <v>60</v>
      </c>
      <c r="C103" s="57"/>
      <c r="D103" s="57">
        <v>20</v>
      </c>
      <c r="E103" s="57"/>
      <c r="F103" s="57">
        <v>4</v>
      </c>
      <c r="G103" s="57">
        <v>24</v>
      </c>
    </row>
    <row r="104" spans="1:7" ht="29" x14ac:dyDescent="0.35">
      <c r="A104" s="82" t="s">
        <v>9</v>
      </c>
      <c r="B104" s="62" t="s">
        <v>61</v>
      </c>
      <c r="C104" s="57">
        <v>2</v>
      </c>
      <c r="D104" s="57">
        <v>6</v>
      </c>
      <c r="E104" s="57"/>
      <c r="F104" s="57">
        <v>1</v>
      </c>
      <c r="G104" s="57">
        <v>9</v>
      </c>
    </row>
    <row r="105" spans="1:7" x14ac:dyDescent="0.35">
      <c r="A105" s="81" t="s">
        <v>19</v>
      </c>
      <c r="B105" s="82"/>
      <c r="C105" s="57">
        <v>18</v>
      </c>
      <c r="D105" s="57">
        <v>292.00000000000011</v>
      </c>
      <c r="E105" s="57">
        <v>2</v>
      </c>
      <c r="F105" s="57">
        <v>19</v>
      </c>
      <c r="G105" s="57">
        <v>331.00000000000011</v>
      </c>
    </row>
  </sheetData>
  <mergeCells count="4">
    <mergeCell ref="A101:A104"/>
    <mergeCell ref="A105:B105"/>
    <mergeCell ref="C99:E99"/>
    <mergeCell ref="G99:G100"/>
  </mergeCells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2DAC-20DC-487A-83DB-466161827FFD}">
  <sheetPr codeName="Hoja4"/>
  <dimension ref="A1:L38"/>
  <sheetViews>
    <sheetView showGridLines="0" topLeftCell="A2" zoomScale="70" zoomScaleNormal="70" workbookViewId="0">
      <selection activeCell="G2" sqref="G2:G38"/>
    </sheetView>
  </sheetViews>
  <sheetFormatPr baseColWidth="10" defaultColWidth="11.453125" defaultRowHeight="14.5" x14ac:dyDescent="0.35"/>
  <cols>
    <col min="1" max="1" width="14.1796875" style="1" bestFit="1" customWidth="1"/>
    <col min="2" max="2" width="11" style="1" bestFit="1" customWidth="1"/>
    <col min="3" max="3" width="16.26953125" style="1" bestFit="1" customWidth="1"/>
    <col min="4" max="4" width="14.453125" style="1" bestFit="1" customWidth="1"/>
    <col min="5" max="5" width="41" style="1" bestFit="1" customWidth="1"/>
    <col min="6" max="6" width="17.453125" style="1" bestFit="1" customWidth="1"/>
    <col min="7" max="7" width="41.26953125" style="1" customWidth="1" collapsed="1"/>
    <col min="8" max="8" width="27.81640625" style="1" customWidth="1"/>
    <col min="9" max="9" width="40.26953125" bestFit="1" customWidth="1"/>
    <col min="10" max="10" width="15.1796875" bestFit="1" customWidth="1"/>
    <col min="11" max="11" width="14.26953125" style="1" bestFit="1" customWidth="1"/>
    <col min="12" max="12" width="27.81640625" style="1" bestFit="1" customWidth="1"/>
  </cols>
  <sheetData>
    <row r="1" spans="1:12" x14ac:dyDescent="0.35">
      <c r="A1" s="50" t="s">
        <v>2</v>
      </c>
      <c r="B1" s="48" t="s">
        <v>133</v>
      </c>
      <c r="C1" s="67" t="s">
        <v>47</v>
      </c>
      <c r="D1" s="68" t="s">
        <v>140</v>
      </c>
      <c r="E1" s="49" t="s">
        <v>48</v>
      </c>
      <c r="F1" s="25" t="s">
        <v>141</v>
      </c>
      <c r="G1" s="25" t="s">
        <v>142</v>
      </c>
      <c r="H1" s="50" t="s">
        <v>0</v>
      </c>
      <c r="I1" s="50" t="s">
        <v>126</v>
      </c>
      <c r="J1" s="50" t="s">
        <v>5</v>
      </c>
      <c r="K1" s="50" t="s">
        <v>6</v>
      </c>
      <c r="L1" s="50" t="s">
        <v>143</v>
      </c>
    </row>
    <row r="2" spans="1:12" ht="12.65" customHeight="1" x14ac:dyDescent="0.35">
      <c r="A2" s="7" t="s">
        <v>139</v>
      </c>
      <c r="B2" s="7" t="s">
        <v>136</v>
      </c>
      <c r="C2" s="7" t="s">
        <v>135</v>
      </c>
      <c r="D2" s="36" t="s">
        <v>156</v>
      </c>
      <c r="E2" s="7" t="s">
        <v>157</v>
      </c>
      <c r="F2" s="8">
        <v>3102717863</v>
      </c>
      <c r="G2" s="7" t="s">
        <v>158</v>
      </c>
      <c r="H2" s="7" t="s">
        <v>125</v>
      </c>
      <c r="I2" s="7" t="s">
        <v>70</v>
      </c>
      <c r="J2" s="7" t="s">
        <v>9</v>
      </c>
      <c r="K2" s="7" t="s">
        <v>149</v>
      </c>
      <c r="L2" s="7">
        <v>1</v>
      </c>
    </row>
    <row r="3" spans="1:12" ht="12.65" customHeight="1" x14ac:dyDescent="0.35">
      <c r="A3" s="7" t="s">
        <v>139</v>
      </c>
      <c r="B3" s="7" t="s">
        <v>136</v>
      </c>
      <c r="C3" s="7" t="s">
        <v>135</v>
      </c>
      <c r="D3" s="36" t="s">
        <v>159</v>
      </c>
      <c r="E3" s="7" t="s">
        <v>160</v>
      </c>
      <c r="F3" s="8">
        <v>3102712358</v>
      </c>
      <c r="G3" s="7" t="s">
        <v>161</v>
      </c>
      <c r="H3" s="7" t="s">
        <v>125</v>
      </c>
      <c r="I3" s="7" t="s">
        <v>69</v>
      </c>
      <c r="J3" s="7" t="s">
        <v>9</v>
      </c>
      <c r="K3" s="7" t="s">
        <v>146</v>
      </c>
      <c r="L3" s="7">
        <v>1</v>
      </c>
    </row>
    <row r="4" spans="1:12" ht="12.65" customHeight="1" x14ac:dyDescent="0.35">
      <c r="A4" s="7" t="s">
        <v>139</v>
      </c>
      <c r="B4" s="7" t="s">
        <v>136</v>
      </c>
      <c r="C4" s="7" t="s">
        <v>135</v>
      </c>
      <c r="D4" s="36" t="s">
        <v>162</v>
      </c>
      <c r="E4" s="7" t="s">
        <v>163</v>
      </c>
      <c r="F4" s="8">
        <v>3145728682</v>
      </c>
      <c r="G4" s="7" t="s">
        <v>164</v>
      </c>
      <c r="H4" s="7" t="s">
        <v>125</v>
      </c>
      <c r="I4" s="7" t="s">
        <v>69</v>
      </c>
      <c r="J4" s="7" t="s">
        <v>9</v>
      </c>
      <c r="K4" s="7" t="s">
        <v>11</v>
      </c>
      <c r="L4" s="7">
        <v>1</v>
      </c>
    </row>
    <row r="5" spans="1:12" ht="12.65" customHeight="1" x14ac:dyDescent="0.35">
      <c r="A5" s="7" t="s">
        <v>139</v>
      </c>
      <c r="B5" s="7" t="s">
        <v>136</v>
      </c>
      <c r="C5" s="7" t="s">
        <v>135</v>
      </c>
      <c r="D5" s="36" t="s">
        <v>165</v>
      </c>
      <c r="E5" s="7" t="s">
        <v>166</v>
      </c>
      <c r="F5" s="8">
        <v>3102714070</v>
      </c>
      <c r="G5" s="7" t="s">
        <v>167</v>
      </c>
      <c r="H5" s="7" t="s">
        <v>125</v>
      </c>
      <c r="I5" s="7" t="s">
        <v>69</v>
      </c>
      <c r="J5" s="7" t="s">
        <v>9</v>
      </c>
      <c r="K5" s="7" t="s">
        <v>148</v>
      </c>
      <c r="L5" s="7">
        <v>1</v>
      </c>
    </row>
    <row r="6" spans="1:12" ht="12.65" customHeight="1" x14ac:dyDescent="0.35">
      <c r="A6" s="7" t="s">
        <v>139</v>
      </c>
      <c r="B6" s="7" t="s">
        <v>136</v>
      </c>
      <c r="C6" s="7" t="s">
        <v>135</v>
      </c>
      <c r="D6" s="36" t="s">
        <v>168</v>
      </c>
      <c r="E6" s="7" t="s">
        <v>169</v>
      </c>
      <c r="F6" s="8">
        <v>3102716419</v>
      </c>
      <c r="G6" s="7" t="s">
        <v>170</v>
      </c>
      <c r="H6" s="7" t="s">
        <v>125</v>
      </c>
      <c r="I6" s="7" t="s">
        <v>71</v>
      </c>
      <c r="J6" s="7" t="s">
        <v>9</v>
      </c>
      <c r="K6" s="7" t="s">
        <v>146</v>
      </c>
      <c r="L6" s="7">
        <v>1</v>
      </c>
    </row>
    <row r="7" spans="1:12" ht="12.65" customHeight="1" x14ac:dyDescent="0.35">
      <c r="A7" s="7" t="s">
        <v>139</v>
      </c>
      <c r="B7" s="7" t="s">
        <v>136</v>
      </c>
      <c r="C7" s="7" t="s">
        <v>135</v>
      </c>
      <c r="D7" s="36" t="s">
        <v>171</v>
      </c>
      <c r="E7" s="7" t="s">
        <v>172</v>
      </c>
      <c r="F7" s="8">
        <v>3102719008</v>
      </c>
      <c r="G7" s="7" t="s">
        <v>173</v>
      </c>
      <c r="H7" s="7" t="s">
        <v>125</v>
      </c>
      <c r="I7" s="7" t="s">
        <v>69</v>
      </c>
      <c r="J7" s="7" t="s">
        <v>9</v>
      </c>
      <c r="K7" s="7" t="s">
        <v>11</v>
      </c>
      <c r="L7" s="7">
        <v>1</v>
      </c>
    </row>
    <row r="8" spans="1:12" ht="12.65" customHeight="1" x14ac:dyDescent="0.35">
      <c r="A8" s="7" t="s">
        <v>139</v>
      </c>
      <c r="B8" s="7" t="s">
        <v>136</v>
      </c>
      <c r="C8" s="7" t="s">
        <v>135</v>
      </c>
      <c r="D8" s="36" t="s">
        <v>174</v>
      </c>
      <c r="E8" s="7" t="s">
        <v>175</v>
      </c>
      <c r="F8" s="8">
        <v>3102712649</v>
      </c>
      <c r="G8" s="7" t="s">
        <v>176</v>
      </c>
      <c r="H8" s="7" t="s">
        <v>125</v>
      </c>
      <c r="I8" s="7" t="s">
        <v>71</v>
      </c>
      <c r="J8" s="7" t="s">
        <v>9</v>
      </c>
      <c r="K8" s="7" t="s">
        <v>13</v>
      </c>
      <c r="L8" s="7">
        <v>1</v>
      </c>
    </row>
    <row r="9" spans="1:12" ht="12.65" customHeight="1" x14ac:dyDescent="0.35">
      <c r="A9" s="7" t="s">
        <v>139</v>
      </c>
      <c r="B9" s="7" t="s">
        <v>136</v>
      </c>
      <c r="C9" s="7" t="s">
        <v>135</v>
      </c>
      <c r="D9" s="36" t="s">
        <v>177</v>
      </c>
      <c r="E9" s="7" t="s">
        <v>56</v>
      </c>
      <c r="F9" s="8">
        <v>3102626594</v>
      </c>
      <c r="G9" s="7" t="s">
        <v>178</v>
      </c>
      <c r="H9" s="7" t="s">
        <v>125</v>
      </c>
      <c r="I9" s="7" t="s">
        <v>69</v>
      </c>
      <c r="J9" s="7" t="s">
        <v>9</v>
      </c>
      <c r="K9" s="7" t="s">
        <v>151</v>
      </c>
      <c r="L9" s="7">
        <v>1</v>
      </c>
    </row>
    <row r="10" spans="1:12" ht="12.65" customHeight="1" x14ac:dyDescent="0.35">
      <c r="A10" s="7" t="s">
        <v>139</v>
      </c>
      <c r="B10" s="7" t="s">
        <v>147</v>
      </c>
      <c r="C10" s="7" t="s">
        <v>135</v>
      </c>
      <c r="D10" s="36" t="s">
        <v>179</v>
      </c>
      <c r="E10" s="7" t="s">
        <v>180</v>
      </c>
      <c r="F10" s="8">
        <v>3102718452</v>
      </c>
      <c r="G10" s="7" t="s">
        <v>181</v>
      </c>
      <c r="H10" s="7" t="s">
        <v>125</v>
      </c>
      <c r="I10" s="7" t="s">
        <v>69</v>
      </c>
      <c r="J10" s="7" t="s">
        <v>128</v>
      </c>
      <c r="K10" s="7" t="s">
        <v>13</v>
      </c>
      <c r="L10" s="7">
        <v>0.5</v>
      </c>
    </row>
    <row r="11" spans="1:12" ht="12.65" customHeight="1" x14ac:dyDescent="0.35">
      <c r="A11" s="7" t="s">
        <v>139</v>
      </c>
      <c r="B11" s="7" t="s">
        <v>136</v>
      </c>
      <c r="C11" s="7" t="s">
        <v>135</v>
      </c>
      <c r="D11" s="36" t="s">
        <v>182</v>
      </c>
      <c r="E11" s="7" t="s">
        <v>183</v>
      </c>
      <c r="F11" s="8">
        <v>3102711709</v>
      </c>
      <c r="G11" s="7" t="s">
        <v>184</v>
      </c>
      <c r="H11" s="7" t="s">
        <v>145</v>
      </c>
      <c r="I11" s="7" t="s">
        <v>63</v>
      </c>
      <c r="J11" s="7" t="s">
        <v>9</v>
      </c>
      <c r="K11" s="7" t="s">
        <v>13</v>
      </c>
      <c r="L11" s="7">
        <v>1</v>
      </c>
    </row>
    <row r="12" spans="1:12" ht="12.65" customHeight="1" x14ac:dyDescent="0.35">
      <c r="A12" s="7" t="s">
        <v>139</v>
      </c>
      <c r="B12" s="7" t="s">
        <v>136</v>
      </c>
      <c r="C12" s="7" t="s">
        <v>135</v>
      </c>
      <c r="D12" s="36" t="s">
        <v>185</v>
      </c>
      <c r="E12" s="7" t="s">
        <v>186</v>
      </c>
      <c r="F12" s="8">
        <v>3102717335</v>
      </c>
      <c r="G12" s="7" t="s">
        <v>187</v>
      </c>
      <c r="H12" s="7" t="s">
        <v>145</v>
      </c>
      <c r="I12" s="7" t="s">
        <v>63</v>
      </c>
      <c r="J12" s="7" t="s">
        <v>9</v>
      </c>
      <c r="K12" s="7" t="s">
        <v>146</v>
      </c>
      <c r="L12" s="7">
        <v>1</v>
      </c>
    </row>
    <row r="13" spans="1:12" ht="12.65" customHeight="1" x14ac:dyDescent="0.35">
      <c r="A13" s="7" t="s">
        <v>139</v>
      </c>
      <c r="B13" s="7" t="s">
        <v>136</v>
      </c>
      <c r="C13" s="7" t="s">
        <v>135</v>
      </c>
      <c r="D13" s="34" t="s">
        <v>188</v>
      </c>
      <c r="E13" s="7" t="s">
        <v>189</v>
      </c>
      <c r="F13" s="8">
        <v>3102716340</v>
      </c>
      <c r="G13" s="7" t="s">
        <v>190</v>
      </c>
      <c r="H13" s="7" t="s">
        <v>145</v>
      </c>
      <c r="I13" s="7" t="s">
        <v>63</v>
      </c>
      <c r="J13" s="7" t="s">
        <v>9</v>
      </c>
      <c r="K13" s="7" t="s">
        <v>11</v>
      </c>
      <c r="L13" s="7">
        <v>1</v>
      </c>
    </row>
    <row r="14" spans="1:12" ht="12.65" customHeight="1" x14ac:dyDescent="0.35">
      <c r="A14" s="7" t="s">
        <v>139</v>
      </c>
      <c r="B14" s="7" t="s">
        <v>136</v>
      </c>
      <c r="C14" s="7" t="s">
        <v>135</v>
      </c>
      <c r="D14" s="36" t="s">
        <v>191</v>
      </c>
      <c r="E14" s="7" t="s">
        <v>192</v>
      </c>
      <c r="F14" s="8">
        <v>3112033169</v>
      </c>
      <c r="G14" s="8" t="s">
        <v>1748</v>
      </c>
      <c r="H14" s="7" t="s">
        <v>145</v>
      </c>
      <c r="I14" s="7" t="s">
        <v>63</v>
      </c>
      <c r="J14" s="7" t="s">
        <v>9</v>
      </c>
      <c r="K14" s="7" t="s">
        <v>11</v>
      </c>
      <c r="L14" s="7">
        <v>1</v>
      </c>
    </row>
    <row r="15" spans="1:12" ht="12.65" customHeight="1" x14ac:dyDescent="0.35">
      <c r="A15" s="7" t="s">
        <v>139</v>
      </c>
      <c r="B15" s="7" t="s">
        <v>136</v>
      </c>
      <c r="C15" s="7" t="s">
        <v>135</v>
      </c>
      <c r="D15" s="36" t="s">
        <v>193</v>
      </c>
      <c r="E15" s="7" t="s">
        <v>194</v>
      </c>
      <c r="F15" s="8">
        <v>3102714520</v>
      </c>
      <c r="G15" s="7" t="s">
        <v>195</v>
      </c>
      <c r="H15" s="7" t="s">
        <v>145</v>
      </c>
      <c r="I15" s="7" t="s">
        <v>65</v>
      </c>
      <c r="J15" s="7" t="s">
        <v>9</v>
      </c>
      <c r="K15" s="7" t="s">
        <v>13</v>
      </c>
      <c r="L15" s="7">
        <v>1</v>
      </c>
    </row>
    <row r="16" spans="1:12" ht="12.65" customHeight="1" x14ac:dyDescent="0.35">
      <c r="A16" s="7" t="s">
        <v>139</v>
      </c>
      <c r="B16" s="7" t="s">
        <v>136</v>
      </c>
      <c r="C16" s="7" t="s">
        <v>135</v>
      </c>
      <c r="D16" s="36" t="s">
        <v>196</v>
      </c>
      <c r="E16" s="7" t="s">
        <v>54</v>
      </c>
      <c r="F16" s="8">
        <v>3102712380</v>
      </c>
      <c r="G16" s="7" t="s">
        <v>197</v>
      </c>
      <c r="H16" s="7" t="s">
        <v>145</v>
      </c>
      <c r="I16" s="7" t="s">
        <v>63</v>
      </c>
      <c r="J16" s="7" t="s">
        <v>9</v>
      </c>
      <c r="K16" s="7" t="s">
        <v>11</v>
      </c>
      <c r="L16" s="7">
        <v>1</v>
      </c>
    </row>
    <row r="17" spans="1:12" ht="12.65" customHeight="1" x14ac:dyDescent="0.35">
      <c r="A17" s="7" t="s">
        <v>139</v>
      </c>
      <c r="B17" s="7" t="s">
        <v>136</v>
      </c>
      <c r="C17" s="7" t="s">
        <v>135</v>
      </c>
      <c r="D17" s="36" t="s">
        <v>198</v>
      </c>
      <c r="E17" s="7" t="s">
        <v>199</v>
      </c>
      <c r="F17" s="8">
        <v>3102701415</v>
      </c>
      <c r="G17" s="7" t="s">
        <v>200</v>
      </c>
      <c r="H17" s="7" t="s">
        <v>125</v>
      </c>
      <c r="I17" s="7" t="s">
        <v>70</v>
      </c>
      <c r="J17" s="7" t="s">
        <v>9</v>
      </c>
      <c r="K17" s="7" t="s">
        <v>36</v>
      </c>
      <c r="L17" s="7">
        <v>1</v>
      </c>
    </row>
    <row r="18" spans="1:12" ht="12.65" customHeight="1" x14ac:dyDescent="0.35">
      <c r="A18" s="7" t="s">
        <v>139</v>
      </c>
      <c r="B18" s="7" t="s">
        <v>136</v>
      </c>
      <c r="C18" s="7" t="s">
        <v>135</v>
      </c>
      <c r="D18" s="36" t="s">
        <v>201</v>
      </c>
      <c r="E18" s="7" t="s">
        <v>202</v>
      </c>
      <c r="F18" s="8">
        <v>3102712507</v>
      </c>
      <c r="G18" s="7" t="s">
        <v>203</v>
      </c>
      <c r="H18" s="7" t="s">
        <v>125</v>
      </c>
      <c r="I18" s="7" t="s">
        <v>69</v>
      </c>
      <c r="J18" s="7" t="s">
        <v>9</v>
      </c>
      <c r="K18" s="7" t="s">
        <v>11</v>
      </c>
      <c r="L18" s="7">
        <v>1</v>
      </c>
    </row>
    <row r="19" spans="1:12" ht="12.65" hidden="1" customHeight="1" x14ac:dyDescent="0.35">
      <c r="A19" s="7" t="s">
        <v>4</v>
      </c>
      <c r="B19" s="7" t="s">
        <v>147</v>
      </c>
      <c r="C19" s="7" t="s">
        <v>135</v>
      </c>
      <c r="D19" s="36" t="s">
        <v>1743</v>
      </c>
      <c r="E19" s="7" t="s">
        <v>4</v>
      </c>
      <c r="F19" s="8" t="s">
        <v>4</v>
      </c>
      <c r="G19" s="7" t="s">
        <v>4</v>
      </c>
      <c r="H19" s="7" t="s">
        <v>125</v>
      </c>
      <c r="I19" s="7" t="s">
        <v>69</v>
      </c>
      <c r="J19" s="7" t="s">
        <v>9</v>
      </c>
      <c r="K19" s="7" t="s">
        <v>11</v>
      </c>
      <c r="L19" s="7">
        <v>1</v>
      </c>
    </row>
    <row r="20" spans="1:12" ht="12.65" customHeight="1" x14ac:dyDescent="0.35">
      <c r="A20" s="7" t="s">
        <v>139</v>
      </c>
      <c r="B20" s="7" t="s">
        <v>147</v>
      </c>
      <c r="C20" s="7" t="s">
        <v>135</v>
      </c>
      <c r="D20" s="36" t="s">
        <v>204</v>
      </c>
      <c r="E20" s="7" t="s">
        <v>205</v>
      </c>
      <c r="F20" s="8">
        <v>3102717024</v>
      </c>
      <c r="G20" s="7" t="s">
        <v>206</v>
      </c>
      <c r="H20" s="7" t="s">
        <v>125</v>
      </c>
      <c r="I20" s="7" t="s">
        <v>71</v>
      </c>
      <c r="J20" s="7" t="s">
        <v>9</v>
      </c>
      <c r="K20" s="7" t="s">
        <v>11</v>
      </c>
      <c r="L20" s="7">
        <v>1</v>
      </c>
    </row>
    <row r="21" spans="1:12" ht="12.65" customHeight="1" x14ac:dyDescent="0.35">
      <c r="A21" s="7" t="s">
        <v>139</v>
      </c>
      <c r="B21" s="7" t="s">
        <v>136</v>
      </c>
      <c r="C21" s="7" t="s">
        <v>135</v>
      </c>
      <c r="D21" s="36" t="s">
        <v>207</v>
      </c>
      <c r="E21" s="7" t="s">
        <v>208</v>
      </c>
      <c r="F21" s="8">
        <v>3102711462</v>
      </c>
      <c r="G21" s="7" t="s">
        <v>209</v>
      </c>
      <c r="H21" s="7" t="s">
        <v>125</v>
      </c>
      <c r="I21" s="7" t="s">
        <v>70</v>
      </c>
      <c r="J21" s="7" t="s">
        <v>9</v>
      </c>
      <c r="K21" s="7" t="s">
        <v>11</v>
      </c>
      <c r="L21" s="7">
        <v>1</v>
      </c>
    </row>
    <row r="22" spans="1:12" ht="12.65" customHeight="1" x14ac:dyDescent="0.35">
      <c r="A22" s="7" t="s">
        <v>139</v>
      </c>
      <c r="B22" s="7" t="s">
        <v>136</v>
      </c>
      <c r="C22" s="7" t="s">
        <v>135</v>
      </c>
      <c r="D22" s="36" t="s">
        <v>210</v>
      </c>
      <c r="E22" s="7" t="s">
        <v>211</v>
      </c>
      <c r="F22" s="8">
        <v>3102716214</v>
      </c>
      <c r="G22" s="7" t="s">
        <v>212</v>
      </c>
      <c r="H22" s="7" t="s">
        <v>125</v>
      </c>
      <c r="I22" s="7" t="s">
        <v>71</v>
      </c>
      <c r="J22" s="7" t="s">
        <v>9</v>
      </c>
      <c r="K22" s="7" t="s">
        <v>29</v>
      </c>
      <c r="L22" s="7">
        <v>1</v>
      </c>
    </row>
    <row r="23" spans="1:12" ht="12.65" customHeight="1" x14ac:dyDescent="0.35">
      <c r="A23" s="7" t="s">
        <v>139</v>
      </c>
      <c r="B23" s="7" t="s">
        <v>136</v>
      </c>
      <c r="C23" s="7" t="s">
        <v>135</v>
      </c>
      <c r="D23" s="36" t="s">
        <v>213</v>
      </c>
      <c r="E23" s="7" t="s">
        <v>51</v>
      </c>
      <c r="F23" s="8">
        <v>3102711641</v>
      </c>
      <c r="G23" s="7" t="s">
        <v>214</v>
      </c>
      <c r="H23" s="7" t="s">
        <v>125</v>
      </c>
      <c r="I23" s="7" t="s">
        <v>71</v>
      </c>
      <c r="J23" s="7" t="s">
        <v>9</v>
      </c>
      <c r="K23" s="7" t="s">
        <v>150</v>
      </c>
      <c r="L23" s="7">
        <v>1</v>
      </c>
    </row>
    <row r="24" spans="1:12" ht="12.65" customHeight="1" x14ac:dyDescent="0.35">
      <c r="A24" s="7" t="s">
        <v>139</v>
      </c>
      <c r="B24" s="7" t="s">
        <v>136</v>
      </c>
      <c r="C24" s="7" t="s">
        <v>135</v>
      </c>
      <c r="D24" s="34" t="s">
        <v>215</v>
      </c>
      <c r="E24" s="7" t="s">
        <v>216</v>
      </c>
      <c r="F24" s="8">
        <v>3102716006</v>
      </c>
      <c r="G24" s="7" t="s">
        <v>217</v>
      </c>
      <c r="H24" s="7" t="s">
        <v>125</v>
      </c>
      <c r="I24" s="7" t="s">
        <v>70</v>
      </c>
      <c r="J24" s="7" t="s">
        <v>9</v>
      </c>
      <c r="K24" s="7" t="s">
        <v>13</v>
      </c>
      <c r="L24" s="7">
        <v>1</v>
      </c>
    </row>
    <row r="25" spans="1:12" ht="12.65" customHeight="1" x14ac:dyDescent="0.35">
      <c r="A25" s="7" t="s">
        <v>139</v>
      </c>
      <c r="B25" s="7" t="s">
        <v>136</v>
      </c>
      <c r="C25" s="7" t="s">
        <v>135</v>
      </c>
      <c r="D25" s="36" t="s">
        <v>218</v>
      </c>
      <c r="E25" s="7" t="s">
        <v>219</v>
      </c>
      <c r="F25" s="8">
        <v>3102710737</v>
      </c>
      <c r="G25" s="7" t="s">
        <v>220</v>
      </c>
      <c r="H25" s="7" t="s">
        <v>144</v>
      </c>
      <c r="I25" s="7" t="s">
        <v>58</v>
      </c>
      <c r="J25" s="7" t="s">
        <v>9</v>
      </c>
      <c r="K25" s="7" t="s">
        <v>11</v>
      </c>
      <c r="L25" s="7">
        <v>1</v>
      </c>
    </row>
    <row r="26" spans="1:12" ht="12.65" customHeight="1" x14ac:dyDescent="0.35">
      <c r="A26" s="7" t="s">
        <v>139</v>
      </c>
      <c r="B26" s="7" t="s">
        <v>136</v>
      </c>
      <c r="C26" s="7" t="s">
        <v>135</v>
      </c>
      <c r="D26" s="36" t="s">
        <v>221</v>
      </c>
      <c r="E26" s="7" t="s">
        <v>222</v>
      </c>
      <c r="F26" s="8">
        <v>3102628927</v>
      </c>
      <c r="G26" s="7" t="s">
        <v>223</v>
      </c>
      <c r="H26" s="7" t="s">
        <v>152</v>
      </c>
      <c r="I26" s="7" t="s">
        <v>67</v>
      </c>
      <c r="J26" s="7" t="s">
        <v>9</v>
      </c>
      <c r="K26" s="7" t="s">
        <v>36</v>
      </c>
      <c r="L26" s="7">
        <v>1</v>
      </c>
    </row>
    <row r="27" spans="1:12" ht="12.65" customHeight="1" x14ac:dyDescent="0.35">
      <c r="A27" s="7" t="s">
        <v>139</v>
      </c>
      <c r="B27" s="7" t="s">
        <v>136</v>
      </c>
      <c r="C27" s="7" t="s">
        <v>135</v>
      </c>
      <c r="D27" s="36" t="s">
        <v>224</v>
      </c>
      <c r="E27" s="7" t="s">
        <v>225</v>
      </c>
      <c r="F27" s="8">
        <v>3102712400</v>
      </c>
      <c r="G27" s="7" t="s">
        <v>226</v>
      </c>
      <c r="H27" s="7" t="s">
        <v>152</v>
      </c>
      <c r="I27" s="7" t="s">
        <v>64</v>
      </c>
      <c r="J27" s="7" t="s">
        <v>9</v>
      </c>
      <c r="K27" s="7" t="s">
        <v>13</v>
      </c>
      <c r="L27" s="7">
        <v>1</v>
      </c>
    </row>
    <row r="28" spans="1:12" ht="12.65" customHeight="1" x14ac:dyDescent="0.35">
      <c r="A28" s="7" t="s">
        <v>139</v>
      </c>
      <c r="B28" s="7" t="s">
        <v>136</v>
      </c>
      <c r="C28" s="7" t="s">
        <v>135</v>
      </c>
      <c r="D28" s="34" t="s">
        <v>227</v>
      </c>
      <c r="E28" s="8" t="s">
        <v>228</v>
      </c>
      <c r="F28" s="8">
        <v>3102712755</v>
      </c>
      <c r="G28" s="7" t="s">
        <v>229</v>
      </c>
      <c r="H28" s="7" t="s">
        <v>152</v>
      </c>
      <c r="I28" s="7" t="s">
        <v>68</v>
      </c>
      <c r="J28" s="7" t="s">
        <v>9</v>
      </c>
      <c r="K28" s="7" t="s">
        <v>11</v>
      </c>
      <c r="L28" s="7">
        <v>1</v>
      </c>
    </row>
    <row r="29" spans="1:12" ht="12.65" customHeight="1" x14ac:dyDescent="0.35">
      <c r="A29" s="7" t="s">
        <v>139</v>
      </c>
      <c r="B29" s="7" t="s">
        <v>136</v>
      </c>
      <c r="C29" s="7" t="s">
        <v>135</v>
      </c>
      <c r="D29" s="36" t="s">
        <v>230</v>
      </c>
      <c r="E29" s="7" t="s">
        <v>231</v>
      </c>
      <c r="F29" s="8">
        <v>3102639803</v>
      </c>
      <c r="G29" s="7" t="s">
        <v>232</v>
      </c>
      <c r="H29" s="7" t="s">
        <v>152</v>
      </c>
      <c r="I29" s="7" t="s">
        <v>64</v>
      </c>
      <c r="J29" s="7" t="s">
        <v>9</v>
      </c>
      <c r="K29" s="7" t="s">
        <v>11</v>
      </c>
      <c r="L29" s="7">
        <v>1</v>
      </c>
    </row>
    <row r="30" spans="1:12" ht="12.65" customHeight="1" x14ac:dyDescent="0.35">
      <c r="A30" s="7" t="s">
        <v>139</v>
      </c>
      <c r="B30" s="7" t="s">
        <v>136</v>
      </c>
      <c r="C30" s="7" t="s">
        <v>135</v>
      </c>
      <c r="D30" s="36" t="s">
        <v>233</v>
      </c>
      <c r="E30" s="7" t="s">
        <v>234</v>
      </c>
      <c r="F30" s="8">
        <v>3102718034</v>
      </c>
      <c r="G30" s="7" t="s">
        <v>235</v>
      </c>
      <c r="H30" s="7" t="s">
        <v>152</v>
      </c>
      <c r="I30" s="7" t="s">
        <v>66</v>
      </c>
      <c r="J30" s="7" t="s">
        <v>9</v>
      </c>
      <c r="K30" s="7" t="s">
        <v>146</v>
      </c>
      <c r="L30" s="7">
        <v>1</v>
      </c>
    </row>
    <row r="31" spans="1:12" ht="12.65" customHeight="1" x14ac:dyDescent="0.35">
      <c r="A31" s="7" t="s">
        <v>139</v>
      </c>
      <c r="B31" s="7" t="s">
        <v>136</v>
      </c>
      <c r="C31" s="7" t="s">
        <v>135</v>
      </c>
      <c r="D31" s="36" t="s">
        <v>1627</v>
      </c>
      <c r="E31" s="7" t="s">
        <v>1628</v>
      </c>
      <c r="F31" s="8">
        <v>3102691909</v>
      </c>
      <c r="G31" s="7" t="s">
        <v>1860</v>
      </c>
      <c r="H31" s="7" t="s">
        <v>152</v>
      </c>
      <c r="I31" s="7" t="s">
        <v>64</v>
      </c>
      <c r="J31" s="7" t="s">
        <v>9</v>
      </c>
      <c r="K31" s="7" t="s">
        <v>11</v>
      </c>
      <c r="L31" s="7">
        <v>1</v>
      </c>
    </row>
    <row r="32" spans="1:12" ht="12.65" customHeight="1" x14ac:dyDescent="0.35">
      <c r="A32" s="7" t="s">
        <v>139</v>
      </c>
      <c r="B32" s="7" t="s">
        <v>136</v>
      </c>
      <c r="C32" s="7" t="s">
        <v>135</v>
      </c>
      <c r="D32" s="36" t="s">
        <v>236</v>
      </c>
      <c r="E32" s="7" t="s">
        <v>237</v>
      </c>
      <c r="F32" s="8">
        <v>3102645315</v>
      </c>
      <c r="G32" s="7" t="s">
        <v>238</v>
      </c>
      <c r="H32" s="7" t="s">
        <v>239</v>
      </c>
      <c r="I32" s="7" t="s">
        <v>62</v>
      </c>
      <c r="J32" s="7" t="s">
        <v>9</v>
      </c>
      <c r="K32" s="7" t="s">
        <v>13</v>
      </c>
      <c r="L32" s="7">
        <v>1</v>
      </c>
    </row>
    <row r="33" spans="1:12" ht="12.65" customHeight="1" x14ac:dyDescent="0.35">
      <c r="A33" s="7" t="s">
        <v>139</v>
      </c>
      <c r="B33" s="7" t="s">
        <v>136</v>
      </c>
      <c r="C33" s="7" t="s">
        <v>135</v>
      </c>
      <c r="D33" s="34" t="s">
        <v>240</v>
      </c>
      <c r="E33" s="7" t="s">
        <v>241</v>
      </c>
      <c r="F33" s="8">
        <v>3102696044</v>
      </c>
      <c r="G33" s="7" t="s">
        <v>242</v>
      </c>
      <c r="H33" s="7" t="s">
        <v>239</v>
      </c>
      <c r="I33" s="7" t="s">
        <v>62</v>
      </c>
      <c r="J33" s="7" t="s">
        <v>9</v>
      </c>
      <c r="K33" s="7" t="s">
        <v>146</v>
      </c>
      <c r="L33" s="7">
        <v>1</v>
      </c>
    </row>
    <row r="34" spans="1:12" ht="12.65" customHeight="1" x14ac:dyDescent="0.35">
      <c r="A34" s="7" t="s">
        <v>139</v>
      </c>
      <c r="B34" s="7" t="s">
        <v>136</v>
      </c>
      <c r="C34" s="7" t="s">
        <v>135</v>
      </c>
      <c r="D34" s="34" t="s">
        <v>243</v>
      </c>
      <c r="E34" s="7" t="s">
        <v>244</v>
      </c>
      <c r="F34" s="8">
        <v>3102710518</v>
      </c>
      <c r="G34" s="7" t="s">
        <v>245</v>
      </c>
      <c r="H34" s="7" t="s">
        <v>125</v>
      </c>
      <c r="I34" s="7" t="s">
        <v>69</v>
      </c>
      <c r="J34" s="7" t="s">
        <v>9</v>
      </c>
      <c r="K34" s="7" t="s">
        <v>36</v>
      </c>
      <c r="L34" s="7">
        <v>1</v>
      </c>
    </row>
    <row r="35" spans="1:12" ht="12.65" customHeight="1" x14ac:dyDescent="0.35">
      <c r="A35" s="7" t="s">
        <v>139</v>
      </c>
      <c r="B35" s="7" t="s">
        <v>136</v>
      </c>
      <c r="C35" s="7" t="s">
        <v>135</v>
      </c>
      <c r="D35" s="34" t="s">
        <v>246</v>
      </c>
      <c r="E35" s="7" t="s">
        <v>247</v>
      </c>
      <c r="F35" s="8">
        <v>3102692553</v>
      </c>
      <c r="G35" s="7" t="s">
        <v>248</v>
      </c>
      <c r="H35" s="7" t="s">
        <v>239</v>
      </c>
      <c r="I35" s="7" t="s">
        <v>62</v>
      </c>
      <c r="J35" s="7" t="s">
        <v>9</v>
      </c>
      <c r="K35" s="7" t="s">
        <v>11</v>
      </c>
      <c r="L35" s="7">
        <v>1</v>
      </c>
    </row>
    <row r="36" spans="1:12" ht="12.65" customHeight="1" x14ac:dyDescent="0.35">
      <c r="A36" s="7" t="s">
        <v>139</v>
      </c>
      <c r="B36" s="7" t="s">
        <v>136</v>
      </c>
      <c r="C36" s="7" t="s">
        <v>135</v>
      </c>
      <c r="D36" s="36" t="s">
        <v>249</v>
      </c>
      <c r="E36" s="7" t="s">
        <v>250</v>
      </c>
      <c r="F36" s="8">
        <v>3102655043</v>
      </c>
      <c r="G36" s="7" t="s">
        <v>251</v>
      </c>
      <c r="H36" s="7" t="s">
        <v>252</v>
      </c>
      <c r="I36" s="7" t="s">
        <v>253</v>
      </c>
      <c r="J36" s="7" t="s">
        <v>16</v>
      </c>
      <c r="K36" s="7" t="s">
        <v>11</v>
      </c>
      <c r="L36" s="7">
        <v>0.5</v>
      </c>
    </row>
    <row r="37" spans="1:12" ht="12.65" customHeight="1" x14ac:dyDescent="0.35">
      <c r="A37" s="7" t="s">
        <v>139</v>
      </c>
      <c r="B37" s="7" t="s">
        <v>136</v>
      </c>
      <c r="C37" s="7" t="s">
        <v>135</v>
      </c>
      <c r="D37" s="34" t="s">
        <v>254</v>
      </c>
      <c r="E37" s="7" t="s">
        <v>255</v>
      </c>
      <c r="F37" s="8">
        <v>3102716176</v>
      </c>
      <c r="G37" s="7" t="s">
        <v>256</v>
      </c>
      <c r="H37" s="7" t="s">
        <v>125</v>
      </c>
      <c r="I37" s="7" t="s">
        <v>69</v>
      </c>
      <c r="J37" s="7" t="s">
        <v>9</v>
      </c>
      <c r="K37" s="7" t="s">
        <v>11</v>
      </c>
      <c r="L37" s="7">
        <v>1</v>
      </c>
    </row>
    <row r="38" spans="1:12" x14ac:dyDescent="0.35">
      <c r="A38" s="7" t="s">
        <v>139</v>
      </c>
      <c r="B38" s="7" t="s">
        <v>136</v>
      </c>
      <c r="C38" s="7" t="s">
        <v>135</v>
      </c>
      <c r="D38" s="34" t="s">
        <v>1665</v>
      </c>
      <c r="E38" s="7" t="s">
        <v>1666</v>
      </c>
      <c r="F38" s="8">
        <v>3102620243</v>
      </c>
      <c r="G38" s="8" t="s">
        <v>1861</v>
      </c>
      <c r="H38" s="7" t="s">
        <v>125</v>
      </c>
      <c r="I38" s="7" t="s">
        <v>69</v>
      </c>
      <c r="J38" s="7" t="s">
        <v>9</v>
      </c>
      <c r="K38" s="7" t="s">
        <v>11</v>
      </c>
      <c r="L38" s="7">
        <v>1</v>
      </c>
    </row>
  </sheetData>
  <phoneticPr fontId="4" type="noConversion"/>
  <conditionalFormatting sqref="B1:D1">
    <cfRule type="expression" dxfId="408" priority="141">
      <formula>AND(B1="CUPO FLEX")</formula>
    </cfRule>
    <cfRule type="cellIs" dxfId="407" priority="142" operator="equal">
      <formula>"CUPO FLEX"</formula>
    </cfRule>
  </conditionalFormatting>
  <conditionalFormatting sqref="D1">
    <cfRule type="duplicateValues" dxfId="406" priority="143"/>
    <cfRule type="duplicateValues" dxfId="405" priority="1332"/>
  </conditionalFormatting>
  <conditionalFormatting sqref="D13">
    <cfRule type="duplicateValues" dxfId="404" priority="98"/>
  </conditionalFormatting>
  <conditionalFormatting sqref="D24">
    <cfRule type="duplicateValues" dxfId="403" priority="38"/>
  </conditionalFormatting>
  <conditionalFormatting sqref="D28">
    <cfRule type="duplicateValues" dxfId="402" priority="26"/>
    <cfRule type="duplicateValues" dxfId="401" priority="27"/>
    <cfRule type="duplicateValues" dxfId="400" priority="28"/>
    <cfRule type="duplicateValues" dxfId="399" priority="29"/>
    <cfRule type="duplicateValues" dxfId="398" priority="30"/>
  </conditionalFormatting>
  <conditionalFormatting sqref="D29:D1048576 D1:D27">
    <cfRule type="duplicateValues" dxfId="397" priority="19747"/>
  </conditionalFormatting>
  <conditionalFormatting sqref="D34:D35">
    <cfRule type="duplicateValues" dxfId="396" priority="19757"/>
  </conditionalFormatting>
  <conditionalFormatting sqref="D34:D36 D29:D32 D2:D27">
    <cfRule type="duplicateValues" dxfId="395" priority="19758"/>
  </conditionalFormatting>
  <conditionalFormatting sqref="D37">
    <cfRule type="duplicateValues" dxfId="394" priority="105"/>
  </conditionalFormatting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82B8-14C0-45EC-884F-90264A9FF687}">
  <sheetPr codeName="Hoja2">
    <tabColor theme="2" tint="-0.249977111117893"/>
  </sheetPr>
  <dimension ref="A1:AL723"/>
  <sheetViews>
    <sheetView showGridLines="0" tabSelected="1" topLeftCell="C1" zoomScale="70" zoomScaleNormal="70" workbookViewId="0">
      <selection activeCell="E20" sqref="E20"/>
    </sheetView>
  </sheetViews>
  <sheetFormatPr baseColWidth="10" defaultColWidth="11.453125" defaultRowHeight="16.5" customHeight="1" x14ac:dyDescent="0.35"/>
  <cols>
    <col min="1" max="1" width="14.1796875" style="3" bestFit="1" customWidth="1"/>
    <col min="2" max="2" width="18.453125" style="3" bestFit="1" customWidth="1"/>
    <col min="3" max="3" width="25.36328125" style="3" bestFit="1" customWidth="1"/>
    <col min="4" max="4" width="19.26953125" style="30" bestFit="1" customWidth="1"/>
    <col min="5" max="5" width="40" style="3" bestFit="1" customWidth="1"/>
    <col min="6" max="6" width="37.81640625" style="3" customWidth="1"/>
    <col min="7" max="7" width="28.7265625" style="3" customWidth="1"/>
    <col min="8" max="8" width="14.54296875" style="3" bestFit="1" customWidth="1"/>
    <col min="9" max="9" width="22.1796875" style="3" customWidth="1"/>
    <col min="10" max="10" width="45.6328125" style="3" customWidth="1"/>
    <col min="11" max="11" width="86.7265625" style="3" customWidth="1"/>
    <col min="12" max="12" width="20.81640625" style="3" customWidth="1" collapsed="1"/>
    <col min="13" max="13" width="26.54296875" style="3" customWidth="1"/>
    <col min="14" max="14" width="14.54296875" style="5" customWidth="1"/>
    <col min="15" max="15" width="23.81640625" style="3" customWidth="1"/>
    <col min="16" max="16" width="21.7265625" style="3" customWidth="1"/>
    <col min="17" max="17" width="15" style="3" customWidth="1" collapsed="1"/>
    <col min="18" max="18" width="35.1796875" style="3" customWidth="1"/>
    <col min="19" max="23" width="36.7265625" style="3" customWidth="1"/>
    <col min="24" max="24" width="22.1796875" style="3" customWidth="1"/>
    <col min="25" max="25" width="27.81640625" style="3" customWidth="1"/>
    <col min="26" max="26" width="24.81640625" style="46" customWidth="1"/>
    <col min="27" max="27" width="21.26953125" style="46" customWidth="1"/>
    <col min="28" max="28" width="25.26953125" style="3" customWidth="1"/>
    <col min="29" max="29" width="21" style="6" customWidth="1"/>
    <col min="30" max="30" width="18" style="3" customWidth="1"/>
    <col min="31" max="31" width="27.1796875" style="3" customWidth="1"/>
    <col min="32" max="32" width="22.453125" style="3" customWidth="1"/>
    <col min="33" max="33" width="25.7265625" style="3" customWidth="1"/>
    <col min="34" max="34" width="19.54296875" style="3" customWidth="1"/>
    <col min="35" max="35" width="29.54296875" style="3" customWidth="1"/>
    <col min="36" max="36" width="23.7265625" style="46" customWidth="1"/>
    <col min="37" max="38" width="11.453125" style="3" customWidth="1"/>
    <col min="39" max="16384" width="11.453125" style="3"/>
  </cols>
  <sheetData>
    <row r="1" spans="1:36" ht="14.5" x14ac:dyDescent="0.35">
      <c r="A1" s="10" t="s">
        <v>2</v>
      </c>
      <c r="B1" s="12" t="s">
        <v>133</v>
      </c>
      <c r="C1" s="12" t="s">
        <v>47</v>
      </c>
      <c r="D1" s="56" t="s">
        <v>140</v>
      </c>
      <c r="E1" s="32" t="s">
        <v>48</v>
      </c>
      <c r="F1" s="13" t="s">
        <v>126</v>
      </c>
      <c r="G1" s="13" t="s">
        <v>0</v>
      </c>
      <c r="H1" s="9" t="s">
        <v>5</v>
      </c>
      <c r="I1" s="47" t="s">
        <v>257</v>
      </c>
      <c r="J1" s="42" t="s">
        <v>7</v>
      </c>
      <c r="K1" s="59" t="s">
        <v>258</v>
      </c>
      <c r="L1" s="9" t="s">
        <v>72</v>
      </c>
      <c r="M1" s="9" t="s">
        <v>73</v>
      </c>
      <c r="N1" s="9" t="s">
        <v>259</v>
      </c>
      <c r="O1" s="9" t="s">
        <v>6</v>
      </c>
      <c r="P1" s="9" t="s">
        <v>260</v>
      </c>
      <c r="Q1" s="9" t="s">
        <v>261</v>
      </c>
      <c r="R1" s="9" t="s">
        <v>152</v>
      </c>
      <c r="S1" s="9" t="s">
        <v>262</v>
      </c>
      <c r="T1" s="9" t="s">
        <v>46</v>
      </c>
      <c r="U1" s="13" t="s">
        <v>263</v>
      </c>
      <c r="V1" s="9" t="s">
        <v>264</v>
      </c>
      <c r="W1" s="9" t="s">
        <v>143</v>
      </c>
      <c r="X1" s="11" t="s">
        <v>265</v>
      </c>
      <c r="Y1" s="11" t="s">
        <v>266</v>
      </c>
      <c r="Z1" s="29" t="s">
        <v>267</v>
      </c>
      <c r="AA1" s="11" t="s">
        <v>268</v>
      </c>
      <c r="AB1" s="9" t="s">
        <v>269</v>
      </c>
      <c r="AC1" s="9" t="s">
        <v>270</v>
      </c>
      <c r="AD1" s="58" t="s">
        <v>131</v>
      </c>
      <c r="AE1" s="27" t="s">
        <v>271</v>
      </c>
      <c r="AF1" s="27" t="s">
        <v>272</v>
      </c>
      <c r="AG1" s="27" t="s">
        <v>273</v>
      </c>
      <c r="AH1" s="66" t="s">
        <v>1849</v>
      </c>
      <c r="AI1" s="27" t="s">
        <v>1851</v>
      </c>
      <c r="AJ1" s="27" t="s">
        <v>1850</v>
      </c>
    </row>
    <row r="2" spans="1:36" ht="12.65" customHeight="1" x14ac:dyDescent="0.35">
      <c r="A2" s="8" t="s">
        <v>139</v>
      </c>
      <c r="B2" s="8" t="s">
        <v>136</v>
      </c>
      <c r="C2" s="8" t="s">
        <v>135</v>
      </c>
      <c r="D2" s="34" t="s">
        <v>249</v>
      </c>
      <c r="E2" s="14" t="s">
        <v>250</v>
      </c>
      <c r="F2" s="14" t="s">
        <v>253</v>
      </c>
      <c r="G2" s="14" t="s">
        <v>252</v>
      </c>
      <c r="H2" s="14" t="s">
        <v>16</v>
      </c>
      <c r="I2" s="34" t="s">
        <v>14</v>
      </c>
      <c r="J2" s="8" t="s">
        <v>14</v>
      </c>
      <c r="K2" s="69" t="s">
        <v>14</v>
      </c>
      <c r="L2" s="8" t="s">
        <v>14</v>
      </c>
      <c r="M2" s="8" t="s">
        <v>14</v>
      </c>
      <c r="N2" s="8" t="s">
        <v>14</v>
      </c>
      <c r="O2" s="8" t="s">
        <v>11</v>
      </c>
      <c r="P2" s="8" t="s">
        <v>274</v>
      </c>
      <c r="Q2" s="8" t="s">
        <v>275</v>
      </c>
      <c r="R2" s="8" t="s">
        <v>14</v>
      </c>
      <c r="S2" s="8" t="s">
        <v>14</v>
      </c>
      <c r="T2" s="8" t="s">
        <v>219</v>
      </c>
      <c r="U2" s="8" t="s">
        <v>219</v>
      </c>
      <c r="V2" s="8">
        <v>0.5</v>
      </c>
      <c r="W2" s="8">
        <v>0.5</v>
      </c>
      <c r="X2" s="51">
        <v>45854</v>
      </c>
      <c r="Y2" s="51">
        <v>45698</v>
      </c>
      <c r="Z2" s="28">
        <v>20</v>
      </c>
      <c r="AA2" s="16" t="s">
        <v>1700</v>
      </c>
      <c r="AB2" s="8" t="s">
        <v>14</v>
      </c>
      <c r="AC2" s="8" t="s">
        <v>14</v>
      </c>
      <c r="AD2" s="8" t="s">
        <v>134</v>
      </c>
      <c r="AE2" s="8">
        <v>3102655043</v>
      </c>
      <c r="AF2" s="8" t="s">
        <v>276</v>
      </c>
      <c r="AG2" s="19" t="s">
        <v>14</v>
      </c>
      <c r="AH2" s="51">
        <v>33395</v>
      </c>
      <c r="AI2" s="28">
        <v>35</v>
      </c>
      <c r="AJ2" s="51" t="s">
        <v>1853</v>
      </c>
    </row>
    <row r="3" spans="1:36" ht="12.65" customHeight="1" x14ac:dyDescent="0.35">
      <c r="A3" s="8" t="s">
        <v>139</v>
      </c>
      <c r="B3" s="8" t="s">
        <v>136</v>
      </c>
      <c r="C3" s="8" t="s">
        <v>135</v>
      </c>
      <c r="D3" s="33" t="s">
        <v>302</v>
      </c>
      <c r="E3" s="14" t="s">
        <v>303</v>
      </c>
      <c r="F3" s="14" t="s">
        <v>57</v>
      </c>
      <c r="G3" s="14" t="s">
        <v>1</v>
      </c>
      <c r="H3" s="14" t="s">
        <v>10</v>
      </c>
      <c r="I3" s="34" t="s">
        <v>304</v>
      </c>
      <c r="J3" s="8" t="s">
        <v>113</v>
      </c>
      <c r="K3" s="69" t="s">
        <v>305</v>
      </c>
      <c r="L3" s="8" t="s">
        <v>75</v>
      </c>
      <c r="M3" s="8" t="s">
        <v>107</v>
      </c>
      <c r="N3" s="8" t="s">
        <v>306</v>
      </c>
      <c r="O3" s="8" t="s">
        <v>11</v>
      </c>
      <c r="P3" s="8" t="s">
        <v>274</v>
      </c>
      <c r="Q3" s="8" t="s">
        <v>275</v>
      </c>
      <c r="R3" s="8" t="s">
        <v>1628</v>
      </c>
      <c r="S3" s="8" t="s">
        <v>247</v>
      </c>
      <c r="T3" s="8" t="s">
        <v>202</v>
      </c>
      <c r="U3" s="8" t="s">
        <v>189</v>
      </c>
      <c r="V3" s="8">
        <v>1</v>
      </c>
      <c r="W3" s="18">
        <v>1</v>
      </c>
      <c r="X3" s="53">
        <v>45659</v>
      </c>
      <c r="Y3" s="53">
        <v>45128</v>
      </c>
      <c r="Z3" s="28">
        <v>38</v>
      </c>
      <c r="AA3" s="16" t="s">
        <v>1701</v>
      </c>
      <c r="AB3" s="8" t="s">
        <v>293</v>
      </c>
      <c r="AC3" s="8" t="s">
        <v>293</v>
      </c>
      <c r="AD3" s="14" t="s">
        <v>134</v>
      </c>
      <c r="AE3" s="14">
        <v>3102702259</v>
      </c>
      <c r="AF3" s="14" t="s">
        <v>276</v>
      </c>
      <c r="AG3" s="8" t="s">
        <v>292</v>
      </c>
      <c r="AH3" s="51">
        <v>37879</v>
      </c>
      <c r="AI3" s="28">
        <v>23</v>
      </c>
      <c r="AJ3" s="51" t="s">
        <v>1852</v>
      </c>
    </row>
    <row r="4" spans="1:36" ht="12.65" customHeight="1" x14ac:dyDescent="0.35">
      <c r="A4" s="8" t="s">
        <v>139</v>
      </c>
      <c r="B4" s="8" t="s">
        <v>136</v>
      </c>
      <c r="C4" s="8" t="s">
        <v>135</v>
      </c>
      <c r="D4" s="34" t="s">
        <v>308</v>
      </c>
      <c r="E4" s="14" t="s">
        <v>309</v>
      </c>
      <c r="F4" s="14" t="s">
        <v>57</v>
      </c>
      <c r="G4" s="14" t="s">
        <v>1</v>
      </c>
      <c r="H4" s="14" t="s">
        <v>10</v>
      </c>
      <c r="I4" s="34" t="s">
        <v>310</v>
      </c>
      <c r="J4" s="8" t="s">
        <v>119</v>
      </c>
      <c r="K4" s="69" t="s">
        <v>311</v>
      </c>
      <c r="L4" s="8" t="s">
        <v>75</v>
      </c>
      <c r="M4" s="8" t="s">
        <v>107</v>
      </c>
      <c r="N4" s="8" t="s">
        <v>306</v>
      </c>
      <c r="O4" s="8" t="s">
        <v>11</v>
      </c>
      <c r="P4" s="8" t="s">
        <v>274</v>
      </c>
      <c r="Q4" s="8" t="s">
        <v>275</v>
      </c>
      <c r="R4" s="8" t="s">
        <v>1628</v>
      </c>
      <c r="S4" s="8" t="s">
        <v>247</v>
      </c>
      <c r="T4" s="8" t="s">
        <v>202</v>
      </c>
      <c r="U4" s="8" t="s">
        <v>189</v>
      </c>
      <c r="V4" s="8">
        <v>1</v>
      </c>
      <c r="W4" s="18">
        <v>1</v>
      </c>
      <c r="X4" s="51">
        <v>45659</v>
      </c>
      <c r="Y4" s="51">
        <v>45407</v>
      </c>
      <c r="Z4" s="28">
        <v>29</v>
      </c>
      <c r="AA4" s="16" t="s">
        <v>1701</v>
      </c>
      <c r="AB4" s="8" t="s">
        <v>293</v>
      </c>
      <c r="AC4" s="8" t="s">
        <v>291</v>
      </c>
      <c r="AD4" s="8" t="s">
        <v>134</v>
      </c>
      <c r="AE4" s="8">
        <v>3102653939</v>
      </c>
      <c r="AF4" s="8" t="s">
        <v>276</v>
      </c>
      <c r="AG4" s="8" t="s">
        <v>292</v>
      </c>
      <c r="AH4" s="51">
        <v>29788</v>
      </c>
      <c r="AI4" s="28">
        <v>45</v>
      </c>
      <c r="AJ4" s="51" t="s">
        <v>1853</v>
      </c>
    </row>
    <row r="5" spans="1:36" ht="12.65" customHeight="1" x14ac:dyDescent="0.35">
      <c r="A5" s="8" t="s">
        <v>139</v>
      </c>
      <c r="B5" s="8" t="s">
        <v>136</v>
      </c>
      <c r="C5" s="8" t="s">
        <v>135</v>
      </c>
      <c r="D5" s="34" t="s">
        <v>312</v>
      </c>
      <c r="E5" s="14" t="s">
        <v>313</v>
      </c>
      <c r="F5" s="14" t="s">
        <v>57</v>
      </c>
      <c r="G5" s="14" t="s">
        <v>1</v>
      </c>
      <c r="H5" s="14" t="s">
        <v>10</v>
      </c>
      <c r="I5" s="34" t="s">
        <v>314</v>
      </c>
      <c r="J5" s="8" t="s">
        <v>98</v>
      </c>
      <c r="K5" s="69" t="s">
        <v>315</v>
      </c>
      <c r="L5" s="8" t="s">
        <v>75</v>
      </c>
      <c r="M5" s="8" t="s">
        <v>75</v>
      </c>
      <c r="N5" s="8" t="s">
        <v>306</v>
      </c>
      <c r="O5" s="8" t="s">
        <v>148</v>
      </c>
      <c r="P5" s="8" t="s">
        <v>279</v>
      </c>
      <c r="Q5" s="8" t="s">
        <v>279</v>
      </c>
      <c r="R5" s="8" t="s">
        <v>234</v>
      </c>
      <c r="S5" s="8" t="s">
        <v>241</v>
      </c>
      <c r="T5" s="8" t="s">
        <v>166</v>
      </c>
      <c r="U5" s="8" t="s">
        <v>189</v>
      </c>
      <c r="V5" s="8">
        <v>1</v>
      </c>
      <c r="W5" s="18">
        <v>1</v>
      </c>
      <c r="X5" s="51">
        <v>45691</v>
      </c>
      <c r="Y5" s="51">
        <v>45691</v>
      </c>
      <c r="Z5" s="28">
        <v>20</v>
      </c>
      <c r="AA5" s="16" t="s">
        <v>1700</v>
      </c>
      <c r="AB5" s="8" t="s">
        <v>294</v>
      </c>
      <c r="AC5" s="8" t="s">
        <v>294</v>
      </c>
      <c r="AD5" s="8" t="s">
        <v>137</v>
      </c>
      <c r="AE5" s="8">
        <v>3102647447</v>
      </c>
      <c r="AF5" s="8" t="s">
        <v>276</v>
      </c>
      <c r="AG5" s="8" t="s">
        <v>292</v>
      </c>
      <c r="AH5" s="51">
        <v>34934</v>
      </c>
      <c r="AI5" s="28">
        <v>31</v>
      </c>
      <c r="AJ5" s="51" t="s">
        <v>1852</v>
      </c>
    </row>
    <row r="6" spans="1:36" ht="12.65" customHeight="1" x14ac:dyDescent="0.35">
      <c r="A6" s="8" t="s">
        <v>139</v>
      </c>
      <c r="B6" s="8" t="s">
        <v>136</v>
      </c>
      <c r="C6" s="8" t="s">
        <v>135</v>
      </c>
      <c r="D6" s="34" t="s">
        <v>316</v>
      </c>
      <c r="E6" s="14" t="s">
        <v>317</v>
      </c>
      <c r="F6" s="14" t="s">
        <v>57</v>
      </c>
      <c r="G6" s="14" t="s">
        <v>1</v>
      </c>
      <c r="H6" s="14" t="s">
        <v>10</v>
      </c>
      <c r="I6" s="34" t="s">
        <v>318</v>
      </c>
      <c r="J6" s="8" t="s">
        <v>104</v>
      </c>
      <c r="K6" s="69" t="s">
        <v>319</v>
      </c>
      <c r="L6" s="8" t="s">
        <v>75</v>
      </c>
      <c r="M6" s="8" t="s">
        <v>75</v>
      </c>
      <c r="N6" s="8" t="s">
        <v>306</v>
      </c>
      <c r="O6" s="8" t="s">
        <v>11</v>
      </c>
      <c r="P6" s="8" t="s">
        <v>274</v>
      </c>
      <c r="Q6" s="8" t="s">
        <v>275</v>
      </c>
      <c r="R6" s="8" t="s">
        <v>1628</v>
      </c>
      <c r="S6" s="8" t="s">
        <v>247</v>
      </c>
      <c r="T6" s="8" t="s">
        <v>202</v>
      </c>
      <c r="U6" s="8" t="s">
        <v>189</v>
      </c>
      <c r="V6" s="8">
        <v>1</v>
      </c>
      <c r="W6" s="18">
        <v>1</v>
      </c>
      <c r="X6" s="51">
        <v>46169</v>
      </c>
      <c r="Y6" s="51">
        <v>46169</v>
      </c>
      <c r="Z6" s="28">
        <v>4</v>
      </c>
      <c r="AA6" s="16" t="s">
        <v>1699</v>
      </c>
      <c r="AB6" s="8" t="s">
        <v>291</v>
      </c>
      <c r="AC6" s="8" t="s">
        <v>291</v>
      </c>
      <c r="AD6" s="8" t="s">
        <v>137</v>
      </c>
      <c r="AE6" s="8" t="s">
        <v>153</v>
      </c>
      <c r="AF6" s="8" t="s">
        <v>153</v>
      </c>
      <c r="AG6" s="8" t="s">
        <v>292</v>
      </c>
      <c r="AH6" s="51">
        <v>38115</v>
      </c>
      <c r="AI6" s="28">
        <v>22</v>
      </c>
      <c r="AJ6" s="51" t="s">
        <v>1853</v>
      </c>
    </row>
    <row r="7" spans="1:36" ht="12.65" customHeight="1" x14ac:dyDescent="0.35">
      <c r="A7" s="8" t="s">
        <v>139</v>
      </c>
      <c r="B7" s="8" t="s">
        <v>136</v>
      </c>
      <c r="C7" s="8" t="s">
        <v>135</v>
      </c>
      <c r="D7" s="35" t="s">
        <v>1761</v>
      </c>
      <c r="E7" s="14" t="s">
        <v>1759</v>
      </c>
      <c r="F7" s="14" t="s">
        <v>57</v>
      </c>
      <c r="G7" s="14" t="s">
        <v>1</v>
      </c>
      <c r="H7" s="14" t="s">
        <v>10</v>
      </c>
      <c r="I7" s="34" t="s">
        <v>320</v>
      </c>
      <c r="J7" s="8" t="s">
        <v>42</v>
      </c>
      <c r="K7" s="69" t="s">
        <v>321</v>
      </c>
      <c r="L7" s="8" t="s">
        <v>75</v>
      </c>
      <c r="M7" s="8" t="s">
        <v>107</v>
      </c>
      <c r="N7" s="8" t="s">
        <v>306</v>
      </c>
      <c r="O7" s="8" t="s">
        <v>13</v>
      </c>
      <c r="P7" s="8" t="s">
        <v>285</v>
      </c>
      <c r="Q7" s="8" t="s">
        <v>285</v>
      </c>
      <c r="R7" s="8" t="s">
        <v>225</v>
      </c>
      <c r="S7" s="8" t="s">
        <v>237</v>
      </c>
      <c r="T7" s="8" t="s">
        <v>175</v>
      </c>
      <c r="U7" s="8" t="s">
        <v>189</v>
      </c>
      <c r="V7" s="8">
        <v>1</v>
      </c>
      <c r="W7" s="18">
        <v>1</v>
      </c>
      <c r="X7" s="53">
        <v>46177</v>
      </c>
      <c r="Y7" s="53">
        <v>46177</v>
      </c>
      <c r="Z7" s="28">
        <v>4</v>
      </c>
      <c r="AA7" s="16" t="s">
        <v>1699</v>
      </c>
      <c r="AB7" s="8" t="s">
        <v>293</v>
      </c>
      <c r="AC7" s="8" t="s">
        <v>291</v>
      </c>
      <c r="AD7" s="8" t="s">
        <v>137</v>
      </c>
      <c r="AE7" s="8" t="s">
        <v>153</v>
      </c>
      <c r="AF7" s="8" t="s">
        <v>153</v>
      </c>
      <c r="AG7" s="8" t="s">
        <v>292</v>
      </c>
      <c r="AH7" s="51">
        <v>35922</v>
      </c>
      <c r="AI7" s="28">
        <v>28</v>
      </c>
      <c r="AJ7" s="51" t="s">
        <v>1853</v>
      </c>
    </row>
    <row r="8" spans="1:36" ht="12.65" customHeight="1" x14ac:dyDescent="0.35">
      <c r="A8" s="8" t="s">
        <v>139</v>
      </c>
      <c r="B8" s="8" t="s">
        <v>136</v>
      </c>
      <c r="C8" s="8" t="s">
        <v>135</v>
      </c>
      <c r="D8" s="34" t="s">
        <v>322</v>
      </c>
      <c r="E8" s="14" t="s">
        <v>323</v>
      </c>
      <c r="F8" s="14" t="s">
        <v>57</v>
      </c>
      <c r="G8" s="14" t="s">
        <v>1</v>
      </c>
      <c r="H8" s="14" t="s">
        <v>10</v>
      </c>
      <c r="I8" s="34" t="s">
        <v>324</v>
      </c>
      <c r="J8" s="8" t="s">
        <v>94</v>
      </c>
      <c r="K8" s="69" t="s">
        <v>325</v>
      </c>
      <c r="L8" s="8" t="s">
        <v>75</v>
      </c>
      <c r="M8" s="8" t="s">
        <v>75</v>
      </c>
      <c r="N8" s="8" t="s">
        <v>306</v>
      </c>
      <c r="O8" s="8" t="s">
        <v>146</v>
      </c>
      <c r="P8" s="8" t="s">
        <v>283</v>
      </c>
      <c r="Q8" s="8" t="s">
        <v>326</v>
      </c>
      <c r="R8" s="8" t="s">
        <v>234</v>
      </c>
      <c r="S8" s="8" t="s">
        <v>241</v>
      </c>
      <c r="T8" s="8" t="s">
        <v>169</v>
      </c>
      <c r="U8" s="8" t="s">
        <v>189</v>
      </c>
      <c r="V8" s="8">
        <v>1</v>
      </c>
      <c r="W8" s="18">
        <v>1</v>
      </c>
      <c r="X8" s="51">
        <v>45659</v>
      </c>
      <c r="Y8" s="51">
        <v>44508</v>
      </c>
      <c r="Z8" s="28">
        <v>59</v>
      </c>
      <c r="AA8" s="16" t="s">
        <v>1701</v>
      </c>
      <c r="AB8" s="8" t="s">
        <v>291</v>
      </c>
      <c r="AC8" s="8" t="s">
        <v>291</v>
      </c>
      <c r="AD8" s="8" t="s">
        <v>134</v>
      </c>
      <c r="AE8" s="8">
        <v>3102608430</v>
      </c>
      <c r="AF8" s="8" t="s">
        <v>276</v>
      </c>
      <c r="AG8" s="8" t="s">
        <v>292</v>
      </c>
      <c r="AH8" s="51">
        <v>33653</v>
      </c>
      <c r="AI8" s="28">
        <v>34</v>
      </c>
      <c r="AJ8" s="51" t="s">
        <v>1853</v>
      </c>
    </row>
    <row r="9" spans="1:36" ht="12.65" customHeight="1" x14ac:dyDescent="0.35">
      <c r="A9" s="8" t="s">
        <v>139</v>
      </c>
      <c r="B9" s="8" t="s">
        <v>136</v>
      </c>
      <c r="C9" s="8" t="s">
        <v>135</v>
      </c>
      <c r="D9" s="34" t="s">
        <v>327</v>
      </c>
      <c r="E9" s="14" t="s">
        <v>328</v>
      </c>
      <c r="F9" s="14" t="s">
        <v>57</v>
      </c>
      <c r="G9" s="14" t="s">
        <v>1</v>
      </c>
      <c r="H9" s="14" t="s">
        <v>10</v>
      </c>
      <c r="I9" s="34" t="s">
        <v>329</v>
      </c>
      <c r="J9" s="8" t="s">
        <v>95</v>
      </c>
      <c r="K9" s="69" t="s">
        <v>330</v>
      </c>
      <c r="L9" s="8" t="s">
        <v>75</v>
      </c>
      <c r="M9" s="8" t="s">
        <v>75</v>
      </c>
      <c r="N9" s="8" t="s">
        <v>306</v>
      </c>
      <c r="O9" s="8" t="s">
        <v>36</v>
      </c>
      <c r="P9" s="8" t="s">
        <v>282</v>
      </c>
      <c r="Q9" s="8" t="s">
        <v>543</v>
      </c>
      <c r="R9" s="8" t="s">
        <v>222</v>
      </c>
      <c r="S9" s="8" t="s">
        <v>237</v>
      </c>
      <c r="T9" s="8" t="s">
        <v>199</v>
      </c>
      <c r="U9" s="8" t="s">
        <v>189</v>
      </c>
      <c r="V9" s="8">
        <v>1</v>
      </c>
      <c r="W9" s="18">
        <v>1</v>
      </c>
      <c r="X9" s="51">
        <v>45944</v>
      </c>
      <c r="Y9" s="51">
        <v>45944</v>
      </c>
      <c r="Z9" s="28">
        <v>12</v>
      </c>
      <c r="AA9" s="16" t="s">
        <v>1700</v>
      </c>
      <c r="AB9" s="8" t="s">
        <v>291</v>
      </c>
      <c r="AC9" s="8" t="s">
        <v>291</v>
      </c>
      <c r="AD9" s="8" t="s">
        <v>137</v>
      </c>
      <c r="AE9" s="8">
        <v>3102698904</v>
      </c>
      <c r="AF9" s="8" t="s">
        <v>276</v>
      </c>
      <c r="AG9" s="8" t="s">
        <v>292</v>
      </c>
      <c r="AH9" s="51">
        <v>33538</v>
      </c>
      <c r="AI9" s="28">
        <v>34</v>
      </c>
      <c r="AJ9" s="51" t="s">
        <v>1853</v>
      </c>
    </row>
    <row r="10" spans="1:36" ht="12.65" customHeight="1" x14ac:dyDescent="0.35">
      <c r="A10" s="8" t="s">
        <v>139</v>
      </c>
      <c r="B10" s="8" t="s">
        <v>136</v>
      </c>
      <c r="C10" s="8" t="s">
        <v>135</v>
      </c>
      <c r="D10" s="34" t="s">
        <v>1770</v>
      </c>
      <c r="E10" s="8" t="s">
        <v>1771</v>
      </c>
      <c r="F10" s="14" t="s">
        <v>57</v>
      </c>
      <c r="G10" s="14" t="s">
        <v>1</v>
      </c>
      <c r="H10" s="14" t="s">
        <v>10</v>
      </c>
      <c r="I10" s="34" t="s">
        <v>332</v>
      </c>
      <c r="J10" s="8" t="s">
        <v>101</v>
      </c>
      <c r="K10" s="69" t="s">
        <v>333</v>
      </c>
      <c r="L10" s="8" t="s">
        <v>75</v>
      </c>
      <c r="M10" s="8" t="s">
        <v>75</v>
      </c>
      <c r="N10" s="8" t="s">
        <v>306</v>
      </c>
      <c r="O10" s="8" t="s">
        <v>11</v>
      </c>
      <c r="P10" s="8" t="s">
        <v>274</v>
      </c>
      <c r="Q10" s="8" t="s">
        <v>275</v>
      </c>
      <c r="R10" s="8" t="s">
        <v>1628</v>
      </c>
      <c r="S10" s="8" t="s">
        <v>247</v>
      </c>
      <c r="T10" s="8" t="s">
        <v>172</v>
      </c>
      <c r="U10" s="8" t="s">
        <v>189</v>
      </c>
      <c r="V10" s="8">
        <v>1</v>
      </c>
      <c r="W10" s="18">
        <v>1</v>
      </c>
      <c r="X10" s="51">
        <v>46184</v>
      </c>
      <c r="Y10" s="51">
        <v>46184</v>
      </c>
      <c r="Z10" s="28">
        <v>4</v>
      </c>
      <c r="AA10" s="16" t="s">
        <v>1699</v>
      </c>
      <c r="AB10" s="8" t="s">
        <v>294</v>
      </c>
      <c r="AC10" s="8" t="s">
        <v>294</v>
      </c>
      <c r="AD10" s="8" t="s">
        <v>137</v>
      </c>
      <c r="AE10" s="8" t="s">
        <v>153</v>
      </c>
      <c r="AF10" s="8" t="s">
        <v>153</v>
      </c>
      <c r="AG10" s="8" t="s">
        <v>292</v>
      </c>
      <c r="AH10" s="51">
        <v>34862</v>
      </c>
      <c r="AI10" s="28">
        <v>31</v>
      </c>
      <c r="AJ10" s="51" t="s">
        <v>1853</v>
      </c>
    </row>
    <row r="11" spans="1:36" ht="12.65" customHeight="1" x14ac:dyDescent="0.35">
      <c r="A11" s="8" t="s">
        <v>139</v>
      </c>
      <c r="B11" s="8" t="s">
        <v>136</v>
      </c>
      <c r="C11" s="8" t="s">
        <v>50</v>
      </c>
      <c r="D11" s="34" t="s">
        <v>1719</v>
      </c>
      <c r="E11" s="8" t="s">
        <v>1752</v>
      </c>
      <c r="F11" s="14" t="s">
        <v>57</v>
      </c>
      <c r="G11" s="14" t="s">
        <v>1</v>
      </c>
      <c r="H11" s="14" t="s">
        <v>10</v>
      </c>
      <c r="I11" s="34" t="s">
        <v>334</v>
      </c>
      <c r="J11" s="8" t="s">
        <v>112</v>
      </c>
      <c r="K11" s="69" t="s">
        <v>335</v>
      </c>
      <c r="L11" s="8" t="s">
        <v>75</v>
      </c>
      <c r="M11" s="8" t="s">
        <v>107</v>
      </c>
      <c r="N11" s="8" t="s">
        <v>306</v>
      </c>
      <c r="O11" s="8" t="s">
        <v>11</v>
      </c>
      <c r="P11" s="8" t="s">
        <v>274</v>
      </c>
      <c r="Q11" s="8" t="s">
        <v>275</v>
      </c>
      <c r="R11" s="8" t="s">
        <v>1628</v>
      </c>
      <c r="S11" s="8" t="s">
        <v>247</v>
      </c>
      <c r="T11" s="8" t="s">
        <v>202</v>
      </c>
      <c r="U11" s="8" t="s">
        <v>189</v>
      </c>
      <c r="V11" s="8">
        <v>1</v>
      </c>
      <c r="W11" s="18">
        <v>1</v>
      </c>
      <c r="X11" s="51">
        <v>46171</v>
      </c>
      <c r="Y11" s="51">
        <v>46171</v>
      </c>
      <c r="Z11" s="28">
        <v>4</v>
      </c>
      <c r="AA11" s="16" t="s">
        <v>1699</v>
      </c>
      <c r="AB11" s="8" t="s">
        <v>293</v>
      </c>
      <c r="AC11" s="8" t="s">
        <v>291</v>
      </c>
      <c r="AD11" s="8" t="s">
        <v>137</v>
      </c>
      <c r="AE11" s="8" t="s">
        <v>153</v>
      </c>
      <c r="AF11" s="8" t="s">
        <v>153</v>
      </c>
      <c r="AG11" s="8" t="s">
        <v>292</v>
      </c>
      <c r="AH11" s="51">
        <v>36034</v>
      </c>
      <c r="AI11" s="28">
        <v>28</v>
      </c>
      <c r="AJ11" s="51" t="s">
        <v>1852</v>
      </c>
    </row>
    <row r="12" spans="1:36" ht="12.65" customHeight="1" x14ac:dyDescent="0.35">
      <c r="A12" s="8" t="s">
        <v>139</v>
      </c>
      <c r="B12" s="8" t="s">
        <v>136</v>
      </c>
      <c r="C12" s="8" t="s">
        <v>135</v>
      </c>
      <c r="D12" s="34" t="s">
        <v>336</v>
      </c>
      <c r="E12" s="8" t="s">
        <v>337</v>
      </c>
      <c r="F12" s="14" t="s">
        <v>57</v>
      </c>
      <c r="G12" s="14" t="s">
        <v>1</v>
      </c>
      <c r="H12" s="14" t="s">
        <v>10</v>
      </c>
      <c r="I12" s="34" t="s">
        <v>338</v>
      </c>
      <c r="J12" s="8" t="s">
        <v>99</v>
      </c>
      <c r="K12" s="69" t="s">
        <v>339</v>
      </c>
      <c r="L12" s="8" t="s">
        <v>75</v>
      </c>
      <c r="M12" s="8" t="s">
        <v>75</v>
      </c>
      <c r="N12" s="8" t="s">
        <v>306</v>
      </c>
      <c r="O12" s="8" t="s">
        <v>151</v>
      </c>
      <c r="P12" s="8" t="s">
        <v>289</v>
      </c>
      <c r="Q12" s="8" t="s">
        <v>331</v>
      </c>
      <c r="R12" s="8" t="s">
        <v>222</v>
      </c>
      <c r="S12" s="8" t="s">
        <v>237</v>
      </c>
      <c r="T12" s="8" t="s">
        <v>56</v>
      </c>
      <c r="U12" s="8" t="s">
        <v>189</v>
      </c>
      <c r="V12" s="8">
        <v>1</v>
      </c>
      <c r="W12" s="18">
        <v>1</v>
      </c>
      <c r="X12" s="51">
        <v>45659</v>
      </c>
      <c r="Y12" s="51">
        <v>45484</v>
      </c>
      <c r="Z12" s="28">
        <v>27</v>
      </c>
      <c r="AA12" s="16" t="s">
        <v>1701</v>
      </c>
      <c r="AB12" s="8" t="s">
        <v>291</v>
      </c>
      <c r="AC12" s="8" t="s">
        <v>291</v>
      </c>
      <c r="AD12" s="8" t="s">
        <v>134</v>
      </c>
      <c r="AE12" s="8">
        <v>3102625061</v>
      </c>
      <c r="AF12" s="8" t="s">
        <v>276</v>
      </c>
      <c r="AG12" s="8" t="s">
        <v>292</v>
      </c>
      <c r="AH12" s="51">
        <v>36124</v>
      </c>
      <c r="AI12" s="28">
        <v>27</v>
      </c>
      <c r="AJ12" s="51" t="s">
        <v>1853</v>
      </c>
    </row>
    <row r="13" spans="1:36" ht="12.65" customHeight="1" x14ac:dyDescent="0.35">
      <c r="A13" s="8" t="s">
        <v>139</v>
      </c>
      <c r="B13" s="8" t="s">
        <v>136</v>
      </c>
      <c r="C13" s="8" t="s">
        <v>135</v>
      </c>
      <c r="D13" s="33" t="s">
        <v>1787</v>
      </c>
      <c r="E13" s="14" t="s">
        <v>1786</v>
      </c>
      <c r="F13" s="14" t="s">
        <v>57</v>
      </c>
      <c r="G13" s="14" t="s">
        <v>1</v>
      </c>
      <c r="H13" s="14" t="s">
        <v>10</v>
      </c>
      <c r="I13" s="34" t="s">
        <v>340</v>
      </c>
      <c r="J13" s="8" t="s">
        <v>43</v>
      </c>
      <c r="K13" s="69" t="s">
        <v>341</v>
      </c>
      <c r="L13" s="8" t="s">
        <v>75</v>
      </c>
      <c r="M13" s="8" t="s">
        <v>107</v>
      </c>
      <c r="N13" s="8" t="s">
        <v>306</v>
      </c>
      <c r="O13" s="8" t="s">
        <v>13</v>
      </c>
      <c r="P13" s="8" t="s">
        <v>285</v>
      </c>
      <c r="Q13" s="8" t="s">
        <v>285</v>
      </c>
      <c r="R13" s="8" t="s">
        <v>225</v>
      </c>
      <c r="S13" s="8" t="s">
        <v>237</v>
      </c>
      <c r="T13" s="8" t="s">
        <v>175</v>
      </c>
      <c r="U13" s="8" t="s">
        <v>189</v>
      </c>
      <c r="V13" s="8">
        <v>1</v>
      </c>
      <c r="W13" s="18">
        <v>1</v>
      </c>
      <c r="X13" s="51">
        <v>46199</v>
      </c>
      <c r="Y13" s="51">
        <v>46199</v>
      </c>
      <c r="Z13" s="28">
        <v>3</v>
      </c>
      <c r="AA13" s="16" t="s">
        <v>1699</v>
      </c>
      <c r="AB13" s="8" t="s">
        <v>395</v>
      </c>
      <c r="AC13" s="8" t="s">
        <v>294</v>
      </c>
      <c r="AD13" s="8" t="s">
        <v>137</v>
      </c>
      <c r="AE13" s="8" t="s">
        <v>153</v>
      </c>
      <c r="AF13" s="8" t="s">
        <v>153</v>
      </c>
      <c r="AG13" s="8" t="s">
        <v>292</v>
      </c>
      <c r="AH13" s="51">
        <v>33534</v>
      </c>
      <c r="AI13" s="28">
        <v>34</v>
      </c>
      <c r="AJ13" s="51" t="s">
        <v>1853</v>
      </c>
    </row>
    <row r="14" spans="1:36" ht="12.65" customHeight="1" x14ac:dyDescent="0.35">
      <c r="A14" s="8" t="s">
        <v>139</v>
      </c>
      <c r="B14" s="8" t="s">
        <v>136</v>
      </c>
      <c r="C14" s="8" t="s">
        <v>135</v>
      </c>
      <c r="D14" s="35" t="s">
        <v>342</v>
      </c>
      <c r="E14" s="14" t="s">
        <v>343</v>
      </c>
      <c r="F14" s="14" t="s">
        <v>57</v>
      </c>
      <c r="G14" s="14" t="s">
        <v>1</v>
      </c>
      <c r="H14" s="14" t="s">
        <v>10</v>
      </c>
      <c r="I14" s="34" t="s">
        <v>344</v>
      </c>
      <c r="J14" s="8" t="s">
        <v>114</v>
      </c>
      <c r="K14" s="69" t="s">
        <v>345</v>
      </c>
      <c r="L14" s="8" t="s">
        <v>75</v>
      </c>
      <c r="M14" s="8" t="s">
        <v>107</v>
      </c>
      <c r="N14" s="8" t="s">
        <v>306</v>
      </c>
      <c r="O14" s="8" t="s">
        <v>44</v>
      </c>
      <c r="P14" s="8" t="s">
        <v>346</v>
      </c>
      <c r="Q14" s="8" t="s">
        <v>275</v>
      </c>
      <c r="R14" s="8" t="s">
        <v>1628</v>
      </c>
      <c r="S14" s="8" t="s">
        <v>247</v>
      </c>
      <c r="T14" s="8" t="s">
        <v>211</v>
      </c>
      <c r="U14" s="8" t="s">
        <v>189</v>
      </c>
      <c r="V14" s="8">
        <v>1</v>
      </c>
      <c r="W14" s="18">
        <v>1</v>
      </c>
      <c r="X14" s="51">
        <v>45659</v>
      </c>
      <c r="Y14" s="51">
        <v>45530</v>
      </c>
      <c r="Z14" s="28">
        <v>25</v>
      </c>
      <c r="AA14" s="16" t="s">
        <v>1701</v>
      </c>
      <c r="AB14" s="8" t="s">
        <v>293</v>
      </c>
      <c r="AC14" s="8" t="s">
        <v>291</v>
      </c>
      <c r="AD14" s="8" t="s">
        <v>134</v>
      </c>
      <c r="AE14" s="8">
        <v>3102676129</v>
      </c>
      <c r="AF14" s="8" t="s">
        <v>276</v>
      </c>
      <c r="AG14" s="8" t="s">
        <v>292</v>
      </c>
      <c r="AH14" s="51">
        <v>33972</v>
      </c>
      <c r="AI14" s="28">
        <v>33</v>
      </c>
      <c r="AJ14" s="51" t="s">
        <v>1853</v>
      </c>
    </row>
    <row r="15" spans="1:36" ht="12.65" customHeight="1" x14ac:dyDescent="0.35">
      <c r="A15" s="8" t="s">
        <v>139</v>
      </c>
      <c r="B15" s="8" t="s">
        <v>136</v>
      </c>
      <c r="C15" s="8" t="s">
        <v>135</v>
      </c>
      <c r="D15" s="34" t="s">
        <v>347</v>
      </c>
      <c r="E15" s="14" t="s">
        <v>348</v>
      </c>
      <c r="F15" s="14" t="s">
        <v>57</v>
      </c>
      <c r="G15" s="14" t="s">
        <v>1</v>
      </c>
      <c r="H15" s="14" t="s">
        <v>10</v>
      </c>
      <c r="I15" s="34" t="s">
        <v>349</v>
      </c>
      <c r="J15" s="8" t="s">
        <v>116</v>
      </c>
      <c r="K15" s="69" t="s">
        <v>350</v>
      </c>
      <c r="L15" s="8" t="s">
        <v>75</v>
      </c>
      <c r="M15" s="8" t="s">
        <v>107</v>
      </c>
      <c r="N15" s="8" t="s">
        <v>306</v>
      </c>
      <c r="O15" s="8" t="s">
        <v>351</v>
      </c>
      <c r="P15" s="8" t="s">
        <v>274</v>
      </c>
      <c r="Q15" s="8" t="s">
        <v>275</v>
      </c>
      <c r="R15" s="8" t="s">
        <v>1628</v>
      </c>
      <c r="S15" s="8" t="s">
        <v>247</v>
      </c>
      <c r="T15" s="8" t="s">
        <v>202</v>
      </c>
      <c r="U15" s="8" t="s">
        <v>189</v>
      </c>
      <c r="V15" s="8">
        <v>1</v>
      </c>
      <c r="W15" s="18">
        <v>1</v>
      </c>
      <c r="X15" s="51">
        <v>45684</v>
      </c>
      <c r="Y15" s="51">
        <v>45684</v>
      </c>
      <c r="Z15" s="28">
        <v>20</v>
      </c>
      <c r="AA15" s="16" t="s">
        <v>1700</v>
      </c>
      <c r="AB15" s="8" t="s">
        <v>293</v>
      </c>
      <c r="AC15" s="8" t="s">
        <v>291</v>
      </c>
      <c r="AD15" s="8" t="s">
        <v>137</v>
      </c>
      <c r="AE15" s="8">
        <v>3102674547</v>
      </c>
      <c r="AF15" s="8" t="s">
        <v>276</v>
      </c>
      <c r="AG15" s="8" t="s">
        <v>292</v>
      </c>
      <c r="AH15" s="51">
        <v>37082</v>
      </c>
      <c r="AI15" s="28">
        <v>25</v>
      </c>
      <c r="AJ15" s="51" t="s">
        <v>1853</v>
      </c>
    </row>
    <row r="16" spans="1:36" ht="12.65" customHeight="1" x14ac:dyDescent="0.35">
      <c r="A16" s="8" t="s">
        <v>139</v>
      </c>
      <c r="B16" s="8" t="s">
        <v>136</v>
      </c>
      <c r="C16" s="8" t="s">
        <v>135</v>
      </c>
      <c r="D16" s="34" t="s">
        <v>352</v>
      </c>
      <c r="E16" s="14" t="s">
        <v>353</v>
      </c>
      <c r="F16" s="14" t="s">
        <v>57</v>
      </c>
      <c r="G16" s="14" t="s">
        <v>1</v>
      </c>
      <c r="H16" s="14" t="s">
        <v>10</v>
      </c>
      <c r="I16" s="34" t="s">
        <v>354</v>
      </c>
      <c r="J16" s="8" t="s">
        <v>111</v>
      </c>
      <c r="K16" s="69" t="s">
        <v>355</v>
      </c>
      <c r="L16" s="8" t="s">
        <v>75</v>
      </c>
      <c r="M16" s="8" t="s">
        <v>107</v>
      </c>
      <c r="N16" s="8" t="s">
        <v>306</v>
      </c>
      <c r="O16" s="8" t="s">
        <v>11</v>
      </c>
      <c r="P16" s="8" t="s">
        <v>274</v>
      </c>
      <c r="Q16" s="8" t="s">
        <v>275</v>
      </c>
      <c r="R16" s="8" t="s">
        <v>1628</v>
      </c>
      <c r="S16" s="8" t="s">
        <v>247</v>
      </c>
      <c r="T16" s="8" t="s">
        <v>172</v>
      </c>
      <c r="U16" s="8" t="s">
        <v>189</v>
      </c>
      <c r="V16" s="8">
        <v>0</v>
      </c>
      <c r="W16" s="18">
        <v>0.5</v>
      </c>
      <c r="X16" s="51">
        <v>45708</v>
      </c>
      <c r="Y16" s="51">
        <v>45708</v>
      </c>
      <c r="Z16" s="28">
        <v>19</v>
      </c>
      <c r="AA16" s="16" t="s">
        <v>1700</v>
      </c>
      <c r="AB16" s="8" t="s">
        <v>395</v>
      </c>
      <c r="AC16" s="8" t="s">
        <v>294</v>
      </c>
      <c r="AD16" s="8" t="s">
        <v>137</v>
      </c>
      <c r="AE16" s="8">
        <v>3102632482</v>
      </c>
      <c r="AF16" s="8" t="s">
        <v>276</v>
      </c>
      <c r="AG16" s="8" t="s">
        <v>292</v>
      </c>
      <c r="AH16" s="51">
        <v>28257</v>
      </c>
      <c r="AI16" s="28">
        <v>49</v>
      </c>
      <c r="AJ16" s="51" t="s">
        <v>1853</v>
      </c>
    </row>
    <row r="17" spans="1:36" ht="12.65" customHeight="1" x14ac:dyDescent="0.35">
      <c r="A17" s="8" t="s">
        <v>139</v>
      </c>
      <c r="B17" s="8" t="s">
        <v>136</v>
      </c>
      <c r="C17" s="8" t="s">
        <v>135</v>
      </c>
      <c r="D17" s="34" t="s">
        <v>352</v>
      </c>
      <c r="E17" s="14" t="s">
        <v>353</v>
      </c>
      <c r="F17" s="14" t="s">
        <v>57</v>
      </c>
      <c r="G17" s="14" t="s">
        <v>1</v>
      </c>
      <c r="H17" s="14" t="s">
        <v>10</v>
      </c>
      <c r="I17" s="34" t="s">
        <v>356</v>
      </c>
      <c r="J17" s="8" t="s">
        <v>109</v>
      </c>
      <c r="K17" s="69" t="s">
        <v>357</v>
      </c>
      <c r="L17" s="8" t="s">
        <v>75</v>
      </c>
      <c r="M17" s="8" t="s">
        <v>107</v>
      </c>
      <c r="N17" s="8" t="s">
        <v>306</v>
      </c>
      <c r="O17" s="8" t="s">
        <v>11</v>
      </c>
      <c r="P17" s="8" t="s">
        <v>274</v>
      </c>
      <c r="Q17" s="8" t="s">
        <v>275</v>
      </c>
      <c r="R17" s="8" t="s">
        <v>1628</v>
      </c>
      <c r="S17" s="8" t="s">
        <v>247</v>
      </c>
      <c r="T17" s="8" t="s">
        <v>172</v>
      </c>
      <c r="U17" s="8" t="s">
        <v>189</v>
      </c>
      <c r="V17" s="8">
        <v>1</v>
      </c>
      <c r="W17" s="18">
        <v>0.5</v>
      </c>
      <c r="X17" s="51">
        <v>45708</v>
      </c>
      <c r="Y17" s="51">
        <v>45708</v>
      </c>
      <c r="Z17" s="28">
        <v>19</v>
      </c>
      <c r="AA17" s="16" t="s">
        <v>1700</v>
      </c>
      <c r="AB17" s="8" t="s">
        <v>395</v>
      </c>
      <c r="AC17" s="8" t="s">
        <v>294</v>
      </c>
      <c r="AD17" s="8" t="s">
        <v>137</v>
      </c>
      <c r="AE17" s="8">
        <v>3102632482</v>
      </c>
      <c r="AF17" s="8" t="s">
        <v>276</v>
      </c>
      <c r="AG17" s="8" t="s">
        <v>292</v>
      </c>
      <c r="AH17" s="51">
        <v>28257</v>
      </c>
      <c r="AI17" s="28">
        <v>49</v>
      </c>
      <c r="AJ17" s="51" t="s">
        <v>1853</v>
      </c>
    </row>
    <row r="18" spans="1:36" ht="12.65" customHeight="1" x14ac:dyDescent="0.35">
      <c r="A18" s="8" t="s">
        <v>139</v>
      </c>
      <c r="B18" s="8" t="s">
        <v>136</v>
      </c>
      <c r="C18" s="8" t="s">
        <v>135</v>
      </c>
      <c r="D18" s="34" t="s">
        <v>358</v>
      </c>
      <c r="E18" s="14" t="s">
        <v>359</v>
      </c>
      <c r="F18" s="14" t="s">
        <v>57</v>
      </c>
      <c r="G18" s="14" t="s">
        <v>1</v>
      </c>
      <c r="H18" s="14" t="s">
        <v>10</v>
      </c>
      <c r="I18" s="34" t="s">
        <v>360</v>
      </c>
      <c r="J18" s="8" t="s">
        <v>115</v>
      </c>
      <c r="K18" s="69" t="s">
        <v>361</v>
      </c>
      <c r="L18" s="8" t="s">
        <v>75</v>
      </c>
      <c r="M18" s="8" t="s">
        <v>107</v>
      </c>
      <c r="N18" s="8" t="s">
        <v>306</v>
      </c>
      <c r="O18" s="8" t="s">
        <v>362</v>
      </c>
      <c r="P18" s="8" t="s">
        <v>363</v>
      </c>
      <c r="Q18" s="8" t="s">
        <v>331</v>
      </c>
      <c r="R18" s="8" t="s">
        <v>222</v>
      </c>
      <c r="S18" s="8" t="s">
        <v>237</v>
      </c>
      <c r="T18" s="8" t="s">
        <v>56</v>
      </c>
      <c r="U18" s="8" t="s">
        <v>189</v>
      </c>
      <c r="V18" s="8">
        <v>1</v>
      </c>
      <c r="W18" s="18">
        <v>1</v>
      </c>
      <c r="X18" s="51">
        <v>45659</v>
      </c>
      <c r="Y18" s="51">
        <v>43655</v>
      </c>
      <c r="Z18" s="28">
        <v>87</v>
      </c>
      <c r="AA18" s="16" t="s">
        <v>1701</v>
      </c>
      <c r="AB18" s="8" t="s">
        <v>293</v>
      </c>
      <c r="AC18" s="8" t="s">
        <v>291</v>
      </c>
      <c r="AD18" s="8" t="s">
        <v>134</v>
      </c>
      <c r="AE18" s="8">
        <v>3102657128</v>
      </c>
      <c r="AF18" s="8" t="s">
        <v>276</v>
      </c>
      <c r="AG18" s="8" t="s">
        <v>292</v>
      </c>
      <c r="AH18" s="51">
        <v>31096</v>
      </c>
      <c r="AI18" s="28">
        <v>41</v>
      </c>
      <c r="AJ18" s="51" t="s">
        <v>1853</v>
      </c>
    </row>
    <row r="19" spans="1:36" ht="12.65" customHeight="1" x14ac:dyDescent="0.35">
      <c r="A19" s="8" t="s">
        <v>139</v>
      </c>
      <c r="B19" s="8" t="s">
        <v>136</v>
      </c>
      <c r="C19" s="8" t="s">
        <v>135</v>
      </c>
      <c r="D19" s="34" t="s">
        <v>364</v>
      </c>
      <c r="E19" s="14" t="s">
        <v>365</v>
      </c>
      <c r="F19" s="14" t="s">
        <v>57</v>
      </c>
      <c r="G19" s="14" t="s">
        <v>1</v>
      </c>
      <c r="H19" s="14" t="s">
        <v>10</v>
      </c>
      <c r="I19" s="34" t="s">
        <v>366</v>
      </c>
      <c r="J19" s="8" t="s">
        <v>105</v>
      </c>
      <c r="K19" s="69" t="s">
        <v>367</v>
      </c>
      <c r="L19" s="8" t="s">
        <v>75</v>
      </c>
      <c r="M19" s="8" t="s">
        <v>75</v>
      </c>
      <c r="N19" s="8" t="s">
        <v>306</v>
      </c>
      <c r="O19" s="8" t="s">
        <v>11</v>
      </c>
      <c r="P19" s="8" t="s">
        <v>274</v>
      </c>
      <c r="Q19" s="8" t="s">
        <v>275</v>
      </c>
      <c r="R19" s="8" t="s">
        <v>1628</v>
      </c>
      <c r="S19" s="8" t="s">
        <v>247</v>
      </c>
      <c r="T19" s="8" t="s">
        <v>202</v>
      </c>
      <c r="U19" s="8" t="s">
        <v>189</v>
      </c>
      <c r="V19" s="8">
        <v>1</v>
      </c>
      <c r="W19" s="18">
        <v>1</v>
      </c>
      <c r="X19" s="51">
        <v>45659</v>
      </c>
      <c r="Y19" s="51">
        <v>45246</v>
      </c>
      <c r="Z19" s="28">
        <v>35</v>
      </c>
      <c r="AA19" s="16" t="s">
        <v>1701</v>
      </c>
      <c r="AB19" s="8" t="s">
        <v>291</v>
      </c>
      <c r="AC19" s="8" t="s">
        <v>291</v>
      </c>
      <c r="AD19" s="8" t="s">
        <v>134</v>
      </c>
      <c r="AE19" s="8">
        <v>3102614882</v>
      </c>
      <c r="AF19" s="8" t="s">
        <v>276</v>
      </c>
      <c r="AG19" s="8" t="s">
        <v>292</v>
      </c>
      <c r="AH19" s="51">
        <v>35930</v>
      </c>
      <c r="AI19" s="28">
        <v>28</v>
      </c>
      <c r="AJ19" s="51" t="s">
        <v>1852</v>
      </c>
    </row>
    <row r="20" spans="1:36" ht="12.65" customHeight="1" x14ac:dyDescent="0.35">
      <c r="A20" s="8" t="s">
        <v>139</v>
      </c>
      <c r="B20" s="8" t="s">
        <v>136</v>
      </c>
      <c r="C20" s="8" t="s">
        <v>135</v>
      </c>
      <c r="D20" s="34" t="s">
        <v>1762</v>
      </c>
      <c r="E20" s="14" t="s">
        <v>1760</v>
      </c>
      <c r="F20" s="14" t="s">
        <v>57</v>
      </c>
      <c r="G20" s="14" t="s">
        <v>1</v>
      </c>
      <c r="H20" s="14" t="s">
        <v>10</v>
      </c>
      <c r="I20" s="34" t="s">
        <v>368</v>
      </c>
      <c r="J20" s="8" t="s">
        <v>102</v>
      </c>
      <c r="K20" s="69" t="s">
        <v>369</v>
      </c>
      <c r="L20" s="8" t="s">
        <v>75</v>
      </c>
      <c r="M20" s="8" t="s">
        <v>75</v>
      </c>
      <c r="N20" s="8" t="s">
        <v>306</v>
      </c>
      <c r="O20" s="8" t="s">
        <v>29</v>
      </c>
      <c r="P20" s="8" t="s">
        <v>277</v>
      </c>
      <c r="Q20" s="8" t="s">
        <v>278</v>
      </c>
      <c r="R20" s="8" t="s">
        <v>231</v>
      </c>
      <c r="S20" s="8" t="s">
        <v>247</v>
      </c>
      <c r="T20" s="8" t="s">
        <v>211</v>
      </c>
      <c r="U20" s="8" t="s">
        <v>189</v>
      </c>
      <c r="V20" s="8">
        <v>1</v>
      </c>
      <c r="W20" s="18">
        <v>0.5</v>
      </c>
      <c r="X20" s="51">
        <v>46177</v>
      </c>
      <c r="Y20" s="51">
        <v>46177</v>
      </c>
      <c r="Z20" s="28">
        <v>4</v>
      </c>
      <c r="AA20" s="16" t="s">
        <v>1699</v>
      </c>
      <c r="AB20" s="8" t="s">
        <v>291</v>
      </c>
      <c r="AC20" s="8" t="s">
        <v>291</v>
      </c>
      <c r="AD20" s="8" t="s">
        <v>137</v>
      </c>
      <c r="AE20" s="8" t="s">
        <v>153</v>
      </c>
      <c r="AF20" s="8" t="s">
        <v>153</v>
      </c>
      <c r="AG20" s="8" t="s">
        <v>292</v>
      </c>
      <c r="AH20" s="51">
        <v>38699</v>
      </c>
      <c r="AI20" s="28">
        <v>20</v>
      </c>
      <c r="AJ20" s="51" t="s">
        <v>1852</v>
      </c>
    </row>
    <row r="21" spans="1:36" ht="12.65" customHeight="1" x14ac:dyDescent="0.35">
      <c r="A21" s="8" t="s">
        <v>139</v>
      </c>
      <c r="B21" s="8" t="s">
        <v>136</v>
      </c>
      <c r="C21" s="8" t="s">
        <v>135</v>
      </c>
      <c r="D21" s="34" t="s">
        <v>1762</v>
      </c>
      <c r="E21" s="14" t="s">
        <v>1760</v>
      </c>
      <c r="F21" s="14" t="s">
        <v>57</v>
      </c>
      <c r="G21" s="14" t="s">
        <v>1</v>
      </c>
      <c r="H21" s="14" t="s">
        <v>10</v>
      </c>
      <c r="I21" s="34" t="s">
        <v>370</v>
      </c>
      <c r="J21" s="8" t="s">
        <v>110</v>
      </c>
      <c r="K21" s="69" t="s">
        <v>371</v>
      </c>
      <c r="L21" s="8" t="s">
        <v>75</v>
      </c>
      <c r="M21" s="8" t="s">
        <v>107</v>
      </c>
      <c r="N21" s="8" t="s">
        <v>306</v>
      </c>
      <c r="O21" s="8" t="s">
        <v>29</v>
      </c>
      <c r="P21" s="8" t="s">
        <v>277</v>
      </c>
      <c r="Q21" s="8" t="s">
        <v>278</v>
      </c>
      <c r="R21" s="8" t="s">
        <v>231</v>
      </c>
      <c r="S21" s="8" t="s">
        <v>247</v>
      </c>
      <c r="T21" s="8" t="s">
        <v>211</v>
      </c>
      <c r="U21" s="8" t="s">
        <v>189</v>
      </c>
      <c r="V21" s="8">
        <v>0</v>
      </c>
      <c r="W21" s="18">
        <v>0.5</v>
      </c>
      <c r="X21" s="51">
        <v>46177</v>
      </c>
      <c r="Y21" s="51">
        <v>46177</v>
      </c>
      <c r="Z21" s="28">
        <v>4</v>
      </c>
      <c r="AA21" s="16" t="s">
        <v>1699</v>
      </c>
      <c r="AB21" s="8" t="s">
        <v>293</v>
      </c>
      <c r="AC21" s="8" t="s">
        <v>294</v>
      </c>
      <c r="AD21" s="8" t="s">
        <v>137</v>
      </c>
      <c r="AE21" s="8" t="s">
        <v>153</v>
      </c>
      <c r="AF21" s="8" t="s">
        <v>153</v>
      </c>
      <c r="AG21" s="8" t="s">
        <v>292</v>
      </c>
      <c r="AH21" s="51">
        <v>38699</v>
      </c>
      <c r="AI21" s="28">
        <v>20</v>
      </c>
      <c r="AJ21" s="51" t="s">
        <v>1852</v>
      </c>
    </row>
    <row r="22" spans="1:36" ht="12.65" customHeight="1" x14ac:dyDescent="0.35">
      <c r="A22" s="8" t="s">
        <v>139</v>
      </c>
      <c r="B22" s="8" t="s">
        <v>136</v>
      </c>
      <c r="C22" s="8" t="s">
        <v>135</v>
      </c>
      <c r="D22" s="34" t="s">
        <v>372</v>
      </c>
      <c r="E22" s="14" t="s">
        <v>373</v>
      </c>
      <c r="F22" s="14" t="s">
        <v>57</v>
      </c>
      <c r="G22" s="14" t="s">
        <v>1</v>
      </c>
      <c r="H22" s="14" t="s">
        <v>10</v>
      </c>
      <c r="I22" s="34" t="s">
        <v>366</v>
      </c>
      <c r="J22" s="8" t="s">
        <v>105</v>
      </c>
      <c r="K22" s="69" t="s">
        <v>367</v>
      </c>
      <c r="L22" s="8" t="s">
        <v>75</v>
      </c>
      <c r="M22" s="8" t="s">
        <v>75</v>
      </c>
      <c r="N22" s="8" t="s">
        <v>306</v>
      </c>
      <c r="O22" s="8" t="s">
        <v>11</v>
      </c>
      <c r="P22" s="8" t="s">
        <v>274</v>
      </c>
      <c r="Q22" s="8" t="s">
        <v>275</v>
      </c>
      <c r="R22" s="8" t="s">
        <v>1628</v>
      </c>
      <c r="S22" s="8" t="s">
        <v>247</v>
      </c>
      <c r="T22" s="8" t="s">
        <v>202</v>
      </c>
      <c r="U22" s="8" t="s">
        <v>189</v>
      </c>
      <c r="V22" s="8">
        <v>1</v>
      </c>
      <c r="W22" s="18">
        <v>1</v>
      </c>
      <c r="X22" s="51">
        <v>46135</v>
      </c>
      <c r="Y22" s="51">
        <v>46135</v>
      </c>
      <c r="Z22" s="28">
        <v>5</v>
      </c>
      <c r="AA22" s="16" t="s">
        <v>1699</v>
      </c>
      <c r="AB22" s="8" t="s">
        <v>291</v>
      </c>
      <c r="AC22" s="8" t="s">
        <v>291</v>
      </c>
      <c r="AD22" s="8" t="s">
        <v>137</v>
      </c>
      <c r="AE22" s="8" t="s">
        <v>153</v>
      </c>
      <c r="AF22" s="8" t="s">
        <v>153</v>
      </c>
      <c r="AG22" s="8" t="s">
        <v>292</v>
      </c>
      <c r="AH22" s="51">
        <v>35286</v>
      </c>
      <c r="AI22" s="28">
        <v>30</v>
      </c>
      <c r="AJ22" s="51" t="s">
        <v>1853</v>
      </c>
    </row>
    <row r="23" spans="1:36" ht="12.65" customHeight="1" x14ac:dyDescent="0.35">
      <c r="A23" s="8" t="s">
        <v>139</v>
      </c>
      <c r="B23" s="8" t="s">
        <v>136</v>
      </c>
      <c r="C23" s="8" t="s">
        <v>135</v>
      </c>
      <c r="D23" s="34" t="s">
        <v>374</v>
      </c>
      <c r="E23" s="14" t="s">
        <v>375</v>
      </c>
      <c r="F23" s="14" t="s">
        <v>57</v>
      </c>
      <c r="G23" s="14" t="s">
        <v>1</v>
      </c>
      <c r="H23" s="14" t="s">
        <v>10</v>
      </c>
      <c r="I23" s="8" t="s">
        <v>376</v>
      </c>
      <c r="J23" s="8" t="s">
        <v>96</v>
      </c>
      <c r="K23" s="69" t="s">
        <v>377</v>
      </c>
      <c r="L23" s="8" t="s">
        <v>75</v>
      </c>
      <c r="M23" s="8" t="s">
        <v>75</v>
      </c>
      <c r="N23" s="8" t="s">
        <v>306</v>
      </c>
      <c r="O23" s="8" t="s">
        <v>36</v>
      </c>
      <c r="P23" s="8" t="s">
        <v>282</v>
      </c>
      <c r="Q23" s="8" t="s">
        <v>543</v>
      </c>
      <c r="R23" s="8" t="s">
        <v>222</v>
      </c>
      <c r="S23" s="8" t="s">
        <v>237</v>
      </c>
      <c r="T23" s="8" t="s">
        <v>199</v>
      </c>
      <c r="U23" s="8" t="s">
        <v>189</v>
      </c>
      <c r="V23" s="8">
        <v>1</v>
      </c>
      <c r="W23" s="18">
        <v>1</v>
      </c>
      <c r="X23" s="51">
        <v>45945</v>
      </c>
      <c r="Y23" s="51">
        <v>45945</v>
      </c>
      <c r="Z23" s="28">
        <v>12</v>
      </c>
      <c r="AA23" s="16" t="s">
        <v>1700</v>
      </c>
      <c r="AB23" s="8" t="s">
        <v>291</v>
      </c>
      <c r="AC23" s="8" t="s">
        <v>294</v>
      </c>
      <c r="AD23" s="8" t="s">
        <v>137</v>
      </c>
      <c r="AE23" s="8">
        <v>3102658778</v>
      </c>
      <c r="AF23" s="8" t="s">
        <v>276</v>
      </c>
      <c r="AG23" s="8" t="s">
        <v>292</v>
      </c>
      <c r="AH23" s="51">
        <v>32687</v>
      </c>
      <c r="AI23" s="28">
        <v>37</v>
      </c>
      <c r="AJ23" s="51" t="s">
        <v>1853</v>
      </c>
    </row>
    <row r="24" spans="1:36" ht="12.65" customHeight="1" x14ac:dyDescent="0.35">
      <c r="A24" s="8" t="s">
        <v>139</v>
      </c>
      <c r="B24" s="8" t="s">
        <v>1243</v>
      </c>
      <c r="C24" s="8" t="s">
        <v>135</v>
      </c>
      <c r="D24" s="35" t="s">
        <v>1021</v>
      </c>
      <c r="E24" s="14" t="s">
        <v>1022</v>
      </c>
      <c r="F24" s="14" t="s">
        <v>57</v>
      </c>
      <c r="G24" s="14" t="s">
        <v>1</v>
      </c>
      <c r="H24" s="14" t="s">
        <v>9</v>
      </c>
      <c r="I24" s="34" t="s">
        <v>318</v>
      </c>
      <c r="J24" s="8" t="s">
        <v>104</v>
      </c>
      <c r="K24" s="69" t="s">
        <v>319</v>
      </c>
      <c r="L24" s="8" t="s">
        <v>75</v>
      </c>
      <c r="M24" s="8" t="s">
        <v>75</v>
      </c>
      <c r="N24" s="8" t="s">
        <v>306</v>
      </c>
      <c r="O24" s="8" t="s">
        <v>11</v>
      </c>
      <c r="P24" s="8" t="s">
        <v>274</v>
      </c>
      <c r="Q24" s="8" t="s">
        <v>275</v>
      </c>
      <c r="R24" s="8" t="s">
        <v>1628</v>
      </c>
      <c r="S24" s="8" t="s">
        <v>247</v>
      </c>
      <c r="T24" s="8" t="s">
        <v>202</v>
      </c>
      <c r="U24" s="8" t="s">
        <v>189</v>
      </c>
      <c r="V24" s="8">
        <v>1</v>
      </c>
      <c r="W24" s="18">
        <v>1</v>
      </c>
      <c r="X24" s="51">
        <v>46128</v>
      </c>
      <c r="Y24" s="51">
        <v>46128</v>
      </c>
      <c r="Z24" s="28">
        <v>6</v>
      </c>
      <c r="AA24" s="16" t="s">
        <v>1710</v>
      </c>
      <c r="AB24" s="8" t="s">
        <v>291</v>
      </c>
      <c r="AC24" s="8" t="s">
        <v>291</v>
      </c>
      <c r="AD24" s="19" t="s">
        <v>137</v>
      </c>
      <c r="AE24" s="19" t="s">
        <v>153</v>
      </c>
      <c r="AF24" s="19" t="s">
        <v>153</v>
      </c>
      <c r="AG24" s="8" t="s">
        <v>292</v>
      </c>
      <c r="AH24" s="51">
        <v>34734</v>
      </c>
      <c r="AI24" s="28">
        <v>31</v>
      </c>
      <c r="AJ24" s="51" t="s">
        <v>1853</v>
      </c>
    </row>
    <row r="25" spans="1:36" ht="12.65" customHeight="1" x14ac:dyDescent="0.35">
      <c r="A25" s="8" t="s">
        <v>139</v>
      </c>
      <c r="B25" s="8" t="s">
        <v>136</v>
      </c>
      <c r="C25" s="8" t="s">
        <v>135</v>
      </c>
      <c r="D25" s="34" t="s">
        <v>866</v>
      </c>
      <c r="E25" s="14" t="s">
        <v>867</v>
      </c>
      <c r="F25" s="14" t="s">
        <v>57</v>
      </c>
      <c r="G25" s="14" t="s">
        <v>1</v>
      </c>
      <c r="H25" s="14" t="s">
        <v>9</v>
      </c>
      <c r="I25" s="34" t="s">
        <v>465</v>
      </c>
      <c r="J25" s="8" t="s">
        <v>466</v>
      </c>
      <c r="K25" s="69" t="s">
        <v>467</v>
      </c>
      <c r="L25" s="8" t="s">
        <v>299</v>
      </c>
      <c r="M25" s="8" t="s">
        <v>299</v>
      </c>
      <c r="N25" s="8" t="s">
        <v>306</v>
      </c>
      <c r="O25" s="8" t="s">
        <v>151</v>
      </c>
      <c r="P25" s="8" t="s">
        <v>289</v>
      </c>
      <c r="Q25" s="8" t="s">
        <v>331</v>
      </c>
      <c r="R25" s="8" t="s">
        <v>222</v>
      </c>
      <c r="S25" s="8" t="s">
        <v>237</v>
      </c>
      <c r="T25" s="8" t="s">
        <v>56</v>
      </c>
      <c r="U25" s="8" t="s">
        <v>194</v>
      </c>
      <c r="V25" s="8">
        <v>1</v>
      </c>
      <c r="W25" s="18">
        <v>1</v>
      </c>
      <c r="X25" s="51">
        <v>46150</v>
      </c>
      <c r="Y25" s="51">
        <v>46150</v>
      </c>
      <c r="Z25" s="28">
        <v>5</v>
      </c>
      <c r="AA25" s="16" t="s">
        <v>1699</v>
      </c>
      <c r="AB25" s="8" t="s">
        <v>294</v>
      </c>
      <c r="AC25" s="8" t="s">
        <v>294</v>
      </c>
      <c r="AD25" s="8" t="s">
        <v>137</v>
      </c>
      <c r="AE25" s="8" t="s">
        <v>153</v>
      </c>
      <c r="AF25" s="8" t="s">
        <v>153</v>
      </c>
      <c r="AG25" s="8" t="s">
        <v>292</v>
      </c>
      <c r="AH25" s="51">
        <v>37155</v>
      </c>
      <c r="AI25" s="28">
        <v>25</v>
      </c>
      <c r="AJ25" s="51" t="s">
        <v>1853</v>
      </c>
    </row>
    <row r="26" spans="1:36" ht="12.65" customHeight="1" x14ac:dyDescent="0.35">
      <c r="A26" s="8" t="s">
        <v>139</v>
      </c>
      <c r="B26" s="8" t="s">
        <v>136</v>
      </c>
      <c r="C26" s="8" t="s">
        <v>135</v>
      </c>
      <c r="D26" s="34" t="s">
        <v>1793</v>
      </c>
      <c r="E26" s="14" t="s">
        <v>1790</v>
      </c>
      <c r="F26" s="14" t="s">
        <v>57</v>
      </c>
      <c r="G26" s="14" t="s">
        <v>1</v>
      </c>
      <c r="H26" s="14" t="s">
        <v>9</v>
      </c>
      <c r="I26" s="34" t="s">
        <v>378</v>
      </c>
      <c r="J26" s="8" t="s">
        <v>868</v>
      </c>
      <c r="K26" s="69" t="s">
        <v>379</v>
      </c>
      <c r="L26" s="8" t="s">
        <v>299</v>
      </c>
      <c r="M26" s="8" t="s">
        <v>299</v>
      </c>
      <c r="N26" s="8" t="s">
        <v>306</v>
      </c>
      <c r="O26" s="8" t="s">
        <v>36</v>
      </c>
      <c r="P26" s="8" t="s">
        <v>282</v>
      </c>
      <c r="Q26" s="8" t="s">
        <v>543</v>
      </c>
      <c r="R26" s="8" t="s">
        <v>222</v>
      </c>
      <c r="S26" s="8" t="s">
        <v>237</v>
      </c>
      <c r="T26" s="8" t="s">
        <v>244</v>
      </c>
      <c r="U26" s="8" t="s">
        <v>194</v>
      </c>
      <c r="V26" s="8">
        <v>1</v>
      </c>
      <c r="W26" s="18">
        <v>1</v>
      </c>
      <c r="X26" s="51">
        <v>46204</v>
      </c>
      <c r="Y26" s="51">
        <v>46204</v>
      </c>
      <c r="Z26" s="28">
        <v>3</v>
      </c>
      <c r="AA26" s="16" t="s">
        <v>1699</v>
      </c>
      <c r="AB26" s="8" t="s">
        <v>294</v>
      </c>
      <c r="AC26" s="8" t="s">
        <v>293</v>
      </c>
      <c r="AD26" s="19" t="s">
        <v>137</v>
      </c>
      <c r="AE26" s="19" t="s">
        <v>153</v>
      </c>
      <c r="AF26" s="19" t="s">
        <v>153</v>
      </c>
      <c r="AG26" s="8" t="s">
        <v>292</v>
      </c>
      <c r="AH26" s="51">
        <v>37750</v>
      </c>
      <c r="AI26" s="28">
        <v>23</v>
      </c>
      <c r="AJ26" s="51" t="s">
        <v>1853</v>
      </c>
    </row>
    <row r="27" spans="1:36" ht="12.65" customHeight="1" x14ac:dyDescent="0.35">
      <c r="A27" s="8" t="s">
        <v>139</v>
      </c>
      <c r="B27" s="8" t="s">
        <v>136</v>
      </c>
      <c r="C27" s="8" t="s">
        <v>135</v>
      </c>
      <c r="D27" s="35" t="s">
        <v>1269</v>
      </c>
      <c r="E27" s="20" t="s">
        <v>1270</v>
      </c>
      <c r="F27" s="14" t="s">
        <v>57</v>
      </c>
      <c r="G27" s="14" t="s">
        <v>1</v>
      </c>
      <c r="H27" s="14" t="s">
        <v>9</v>
      </c>
      <c r="I27" s="34" t="s">
        <v>749</v>
      </c>
      <c r="J27" s="8" t="s">
        <v>750</v>
      </c>
      <c r="K27" s="69" t="s">
        <v>751</v>
      </c>
      <c r="L27" s="8" t="s">
        <v>871</v>
      </c>
      <c r="M27" s="8" t="s">
        <v>872</v>
      </c>
      <c r="N27" s="8" t="s">
        <v>393</v>
      </c>
      <c r="O27" s="8" t="s">
        <v>296</v>
      </c>
      <c r="P27" s="8" t="s">
        <v>274</v>
      </c>
      <c r="Q27" s="8" t="s">
        <v>275</v>
      </c>
      <c r="R27" s="8" t="s">
        <v>231</v>
      </c>
      <c r="S27" s="8" t="s">
        <v>247</v>
      </c>
      <c r="T27" s="14" t="s">
        <v>1666</v>
      </c>
      <c r="U27" s="8" t="s">
        <v>54</v>
      </c>
      <c r="V27" s="8">
        <v>1</v>
      </c>
      <c r="W27" s="18">
        <v>0.8</v>
      </c>
      <c r="X27" s="54">
        <v>45659</v>
      </c>
      <c r="Y27" s="54">
        <v>41803</v>
      </c>
      <c r="Z27" s="28">
        <v>148</v>
      </c>
      <c r="AA27" s="16" t="s">
        <v>1701</v>
      </c>
      <c r="AB27" s="8" t="s">
        <v>294</v>
      </c>
      <c r="AC27" s="8" t="s">
        <v>294</v>
      </c>
      <c r="AD27" s="19" t="s">
        <v>134</v>
      </c>
      <c r="AE27" s="19">
        <v>3102660893</v>
      </c>
      <c r="AF27" s="19" t="s">
        <v>276</v>
      </c>
      <c r="AG27" s="8" t="s">
        <v>295</v>
      </c>
      <c r="AH27" s="51">
        <v>30156</v>
      </c>
      <c r="AI27" s="28">
        <v>44</v>
      </c>
      <c r="AJ27" s="51" t="s">
        <v>1853</v>
      </c>
    </row>
    <row r="28" spans="1:36" ht="12.65" customHeight="1" x14ac:dyDescent="0.35">
      <c r="A28" s="8" t="s">
        <v>139</v>
      </c>
      <c r="B28" s="8" t="s">
        <v>136</v>
      </c>
      <c r="C28" s="8" t="s">
        <v>135</v>
      </c>
      <c r="D28" s="35" t="s">
        <v>1269</v>
      </c>
      <c r="E28" s="20" t="s">
        <v>1270</v>
      </c>
      <c r="F28" s="14" t="s">
        <v>57</v>
      </c>
      <c r="G28" s="14" t="s">
        <v>1</v>
      </c>
      <c r="H28" s="14" t="s">
        <v>9</v>
      </c>
      <c r="I28" s="34" t="s">
        <v>805</v>
      </c>
      <c r="J28" s="8" t="s">
        <v>1829</v>
      </c>
      <c r="K28" s="69" t="s">
        <v>1830</v>
      </c>
      <c r="L28" s="8" t="s">
        <v>871</v>
      </c>
      <c r="M28" s="8" t="s">
        <v>872</v>
      </c>
      <c r="N28" s="8" t="s">
        <v>393</v>
      </c>
      <c r="O28" s="8" t="s">
        <v>296</v>
      </c>
      <c r="P28" s="8" t="s">
        <v>274</v>
      </c>
      <c r="Q28" s="8" t="s">
        <v>275</v>
      </c>
      <c r="R28" s="8" t="s">
        <v>231</v>
      </c>
      <c r="S28" s="8" t="s">
        <v>247</v>
      </c>
      <c r="T28" s="14" t="s">
        <v>1666</v>
      </c>
      <c r="U28" s="8" t="s">
        <v>54</v>
      </c>
      <c r="V28" s="8">
        <v>0</v>
      </c>
      <c r="W28" s="18">
        <v>0.2</v>
      </c>
      <c r="X28" s="54">
        <v>45659</v>
      </c>
      <c r="Y28" s="54">
        <v>41803</v>
      </c>
      <c r="Z28" s="28">
        <v>148</v>
      </c>
      <c r="AA28" s="16" t="s">
        <v>1701</v>
      </c>
      <c r="AB28" s="8" t="s">
        <v>307</v>
      </c>
      <c r="AC28" s="8" t="s">
        <v>307</v>
      </c>
      <c r="AD28" s="19" t="s">
        <v>134</v>
      </c>
      <c r="AE28" s="19">
        <v>3102660893</v>
      </c>
      <c r="AF28" s="19" t="s">
        <v>276</v>
      </c>
      <c r="AG28" s="8" t="s">
        <v>295</v>
      </c>
      <c r="AH28" s="51">
        <v>30156</v>
      </c>
      <c r="AI28" s="28">
        <v>44</v>
      </c>
      <c r="AJ28" s="51" t="s">
        <v>1853</v>
      </c>
    </row>
    <row r="29" spans="1:36" ht="12.65" customHeight="1" x14ac:dyDescent="0.35">
      <c r="A29" s="8" t="s">
        <v>139</v>
      </c>
      <c r="B29" s="8" t="s">
        <v>136</v>
      </c>
      <c r="C29" s="8" t="s">
        <v>1716</v>
      </c>
      <c r="D29" s="34" t="s">
        <v>873</v>
      </c>
      <c r="E29" s="14" t="s">
        <v>874</v>
      </c>
      <c r="F29" s="14" t="s">
        <v>57</v>
      </c>
      <c r="G29" s="14" t="s">
        <v>1</v>
      </c>
      <c r="H29" s="14" t="s">
        <v>9</v>
      </c>
      <c r="I29" s="34" t="s">
        <v>368</v>
      </c>
      <c r="J29" s="8" t="s">
        <v>102</v>
      </c>
      <c r="K29" s="69" t="s">
        <v>369</v>
      </c>
      <c r="L29" s="8" t="s">
        <v>75</v>
      </c>
      <c r="M29" s="8" t="s">
        <v>75</v>
      </c>
      <c r="N29" s="8" t="s">
        <v>306</v>
      </c>
      <c r="O29" s="8" t="s">
        <v>29</v>
      </c>
      <c r="P29" s="8" t="s">
        <v>277</v>
      </c>
      <c r="Q29" s="8" t="s">
        <v>278</v>
      </c>
      <c r="R29" s="8" t="s">
        <v>231</v>
      </c>
      <c r="S29" s="8" t="s">
        <v>247</v>
      </c>
      <c r="T29" s="8" t="s">
        <v>211</v>
      </c>
      <c r="U29" s="8" t="s">
        <v>189</v>
      </c>
      <c r="V29" s="8">
        <v>0</v>
      </c>
      <c r="W29" s="18">
        <v>0</v>
      </c>
      <c r="X29" s="51">
        <v>45659</v>
      </c>
      <c r="Y29" s="51">
        <v>45470</v>
      </c>
      <c r="Z29" s="28">
        <v>27</v>
      </c>
      <c r="AA29" s="16" t="s">
        <v>1701</v>
      </c>
      <c r="AB29" s="8" t="s">
        <v>291</v>
      </c>
      <c r="AC29" s="8" t="s">
        <v>291</v>
      </c>
      <c r="AD29" s="8" t="s">
        <v>134</v>
      </c>
      <c r="AE29" s="8">
        <v>3102683969</v>
      </c>
      <c r="AF29" s="8" t="s">
        <v>276</v>
      </c>
      <c r="AG29" s="8" t="s">
        <v>292</v>
      </c>
      <c r="AH29" s="51">
        <v>35076</v>
      </c>
      <c r="AI29" s="28">
        <v>30</v>
      </c>
      <c r="AJ29" s="51" t="s">
        <v>1853</v>
      </c>
    </row>
    <row r="30" spans="1:36" ht="12.65" customHeight="1" x14ac:dyDescent="0.35">
      <c r="A30" s="8" t="s">
        <v>139</v>
      </c>
      <c r="B30" s="8" t="s">
        <v>136</v>
      </c>
      <c r="C30" s="8" t="s">
        <v>1805</v>
      </c>
      <c r="D30" s="34" t="s">
        <v>1695</v>
      </c>
      <c r="E30" s="14" t="s">
        <v>1694</v>
      </c>
      <c r="F30" s="14" t="s">
        <v>57</v>
      </c>
      <c r="G30" s="14" t="s">
        <v>1</v>
      </c>
      <c r="H30" s="14" t="s">
        <v>9</v>
      </c>
      <c r="I30" s="34" t="s">
        <v>368</v>
      </c>
      <c r="J30" s="8" t="s">
        <v>102</v>
      </c>
      <c r="K30" s="69" t="s">
        <v>369</v>
      </c>
      <c r="L30" s="8" t="s">
        <v>75</v>
      </c>
      <c r="M30" s="8" t="s">
        <v>75</v>
      </c>
      <c r="N30" s="8" t="s">
        <v>306</v>
      </c>
      <c r="O30" s="8" t="s">
        <v>29</v>
      </c>
      <c r="P30" s="8" t="s">
        <v>277</v>
      </c>
      <c r="Q30" s="8" t="s">
        <v>278</v>
      </c>
      <c r="R30" s="8" t="s">
        <v>231</v>
      </c>
      <c r="S30" s="8" t="s">
        <v>247</v>
      </c>
      <c r="T30" s="8" t="s">
        <v>211</v>
      </c>
      <c r="U30" s="8" t="s">
        <v>189</v>
      </c>
      <c r="V30" s="8">
        <v>1</v>
      </c>
      <c r="W30" s="18">
        <v>1</v>
      </c>
      <c r="X30" s="51">
        <v>46273</v>
      </c>
      <c r="Y30" s="51">
        <v>46273</v>
      </c>
      <c r="Z30" s="28">
        <v>1</v>
      </c>
      <c r="AA30" s="16" t="s">
        <v>1698</v>
      </c>
      <c r="AB30" s="8" t="s">
        <v>291</v>
      </c>
      <c r="AC30" s="8" t="s">
        <v>291</v>
      </c>
      <c r="AD30" s="19" t="s">
        <v>137</v>
      </c>
      <c r="AE30" s="8" t="s">
        <v>153</v>
      </c>
      <c r="AF30" s="8" t="s">
        <v>153</v>
      </c>
      <c r="AG30" s="8" t="s">
        <v>292</v>
      </c>
      <c r="AH30" s="51">
        <v>37817</v>
      </c>
      <c r="AI30" s="28">
        <v>23</v>
      </c>
      <c r="AJ30" s="51" t="s">
        <v>1853</v>
      </c>
    </row>
    <row r="31" spans="1:36" ht="12.65" customHeight="1" x14ac:dyDescent="0.35">
      <c r="A31" s="8" t="s">
        <v>139</v>
      </c>
      <c r="B31" s="8" t="s">
        <v>136</v>
      </c>
      <c r="C31" s="8" t="s">
        <v>135</v>
      </c>
      <c r="D31" s="33" t="s">
        <v>875</v>
      </c>
      <c r="E31" s="14" t="s">
        <v>876</v>
      </c>
      <c r="F31" s="14" t="s">
        <v>57</v>
      </c>
      <c r="G31" s="14" t="s">
        <v>1</v>
      </c>
      <c r="H31" s="14" t="s">
        <v>9</v>
      </c>
      <c r="I31" s="34" t="s">
        <v>630</v>
      </c>
      <c r="J31" s="8" t="s">
        <v>631</v>
      </c>
      <c r="K31" s="69" t="s">
        <v>632</v>
      </c>
      <c r="L31" s="8" t="s">
        <v>299</v>
      </c>
      <c r="M31" s="8" t="s">
        <v>299</v>
      </c>
      <c r="N31" s="8" t="s">
        <v>306</v>
      </c>
      <c r="O31" s="8" t="s">
        <v>148</v>
      </c>
      <c r="P31" s="8" t="s">
        <v>279</v>
      </c>
      <c r="Q31" s="8" t="s">
        <v>279</v>
      </c>
      <c r="R31" s="8" t="s">
        <v>225</v>
      </c>
      <c r="S31" s="8" t="s">
        <v>241</v>
      </c>
      <c r="T31" s="8" t="s">
        <v>166</v>
      </c>
      <c r="U31" s="8" t="s">
        <v>194</v>
      </c>
      <c r="V31" s="8">
        <v>1</v>
      </c>
      <c r="W31" s="18">
        <v>1</v>
      </c>
      <c r="X31" s="51">
        <v>45939</v>
      </c>
      <c r="Y31" s="51">
        <v>45939</v>
      </c>
      <c r="Z31" s="28">
        <v>12</v>
      </c>
      <c r="AA31" s="16" t="s">
        <v>1700</v>
      </c>
      <c r="AB31" s="8" t="s">
        <v>291</v>
      </c>
      <c r="AC31" s="8" t="s">
        <v>291</v>
      </c>
      <c r="AD31" s="8" t="s">
        <v>137</v>
      </c>
      <c r="AE31" s="8">
        <v>3102634703</v>
      </c>
      <c r="AF31" s="8" t="s">
        <v>276</v>
      </c>
      <c r="AG31" s="8" t="s">
        <v>292</v>
      </c>
      <c r="AH31" s="51">
        <v>34696</v>
      </c>
      <c r="AI31" s="28">
        <v>31</v>
      </c>
      <c r="AJ31" s="51" t="s">
        <v>1853</v>
      </c>
    </row>
    <row r="32" spans="1:36" ht="12.65" customHeight="1" x14ac:dyDescent="0.35">
      <c r="A32" s="8" t="s">
        <v>139</v>
      </c>
      <c r="B32" s="8" t="s">
        <v>136</v>
      </c>
      <c r="C32" s="8" t="s">
        <v>135</v>
      </c>
      <c r="D32" s="34" t="s">
        <v>877</v>
      </c>
      <c r="E32" s="14" t="s">
        <v>878</v>
      </c>
      <c r="F32" s="14" t="s">
        <v>57</v>
      </c>
      <c r="G32" s="14" t="s">
        <v>1</v>
      </c>
      <c r="H32" s="14" t="s">
        <v>9</v>
      </c>
      <c r="I32" s="34" t="s">
        <v>318</v>
      </c>
      <c r="J32" s="8" t="s">
        <v>104</v>
      </c>
      <c r="K32" s="69" t="s">
        <v>319</v>
      </c>
      <c r="L32" s="8" t="s">
        <v>75</v>
      </c>
      <c r="M32" s="8" t="s">
        <v>75</v>
      </c>
      <c r="N32" s="8" t="s">
        <v>306</v>
      </c>
      <c r="O32" s="8" t="s">
        <v>11</v>
      </c>
      <c r="P32" s="8" t="s">
        <v>274</v>
      </c>
      <c r="Q32" s="8" t="s">
        <v>275</v>
      </c>
      <c r="R32" s="8" t="s">
        <v>1628</v>
      </c>
      <c r="S32" s="8" t="s">
        <v>247</v>
      </c>
      <c r="T32" s="8" t="s">
        <v>202</v>
      </c>
      <c r="U32" s="8" t="s">
        <v>189</v>
      </c>
      <c r="V32" s="8">
        <v>1</v>
      </c>
      <c r="W32" s="18">
        <v>1</v>
      </c>
      <c r="X32" s="51">
        <v>45932</v>
      </c>
      <c r="Y32" s="51">
        <v>45932</v>
      </c>
      <c r="Z32" s="28">
        <v>12</v>
      </c>
      <c r="AA32" s="16" t="s">
        <v>1700</v>
      </c>
      <c r="AB32" s="8" t="s">
        <v>291</v>
      </c>
      <c r="AC32" s="8" t="s">
        <v>291</v>
      </c>
      <c r="AD32" s="19" t="s">
        <v>137</v>
      </c>
      <c r="AE32" s="8" t="s">
        <v>153</v>
      </c>
      <c r="AF32" s="8" t="s">
        <v>153</v>
      </c>
      <c r="AG32" s="8" t="s">
        <v>292</v>
      </c>
      <c r="AH32" s="51">
        <v>38845</v>
      </c>
      <c r="AI32" s="28">
        <v>20</v>
      </c>
      <c r="AJ32" s="51" t="s">
        <v>1852</v>
      </c>
    </row>
    <row r="33" spans="1:36" ht="12.65" customHeight="1" x14ac:dyDescent="0.35">
      <c r="A33" s="8" t="s">
        <v>139</v>
      </c>
      <c r="B33" s="8" t="s">
        <v>136</v>
      </c>
      <c r="C33" s="8" t="s">
        <v>418</v>
      </c>
      <c r="D33" s="35" t="s">
        <v>1756</v>
      </c>
      <c r="E33" s="14" t="s">
        <v>1755</v>
      </c>
      <c r="F33" s="14" t="s">
        <v>57</v>
      </c>
      <c r="G33" s="14" t="s">
        <v>1</v>
      </c>
      <c r="H33" s="14" t="s">
        <v>9</v>
      </c>
      <c r="I33" s="34" t="s">
        <v>1708</v>
      </c>
      <c r="J33" s="8" t="s">
        <v>1729</v>
      </c>
      <c r="K33" s="69" t="s">
        <v>1709</v>
      </c>
      <c r="L33" s="8" t="s">
        <v>410</v>
      </c>
      <c r="M33" s="8" t="s">
        <v>410</v>
      </c>
      <c r="N33" s="8" t="s">
        <v>306</v>
      </c>
      <c r="O33" s="8" t="s">
        <v>17</v>
      </c>
      <c r="P33" s="8" t="s">
        <v>290</v>
      </c>
      <c r="Q33" s="8" t="s">
        <v>279</v>
      </c>
      <c r="R33" s="8" t="s">
        <v>234</v>
      </c>
      <c r="S33" s="8" t="s">
        <v>241</v>
      </c>
      <c r="T33" s="8" t="s">
        <v>166</v>
      </c>
      <c r="U33" s="8" t="s">
        <v>54</v>
      </c>
      <c r="V33" s="8">
        <v>1</v>
      </c>
      <c r="W33" s="18">
        <v>0.5</v>
      </c>
      <c r="X33" s="51">
        <v>46235</v>
      </c>
      <c r="Y33" s="51">
        <v>46235</v>
      </c>
      <c r="Z33" s="28">
        <v>2</v>
      </c>
      <c r="AA33" s="16" t="s">
        <v>1698</v>
      </c>
      <c r="AB33" s="8" t="s">
        <v>294</v>
      </c>
      <c r="AC33" s="8" t="s">
        <v>395</v>
      </c>
      <c r="AD33" s="8" t="s">
        <v>137</v>
      </c>
      <c r="AE33" s="8" t="s">
        <v>153</v>
      </c>
      <c r="AF33" s="8" t="s">
        <v>153</v>
      </c>
      <c r="AG33" s="8" t="s">
        <v>295</v>
      </c>
      <c r="AH33" s="51">
        <v>38640</v>
      </c>
      <c r="AI33" s="28">
        <v>21</v>
      </c>
      <c r="AJ33" s="51" t="s">
        <v>1852</v>
      </c>
    </row>
    <row r="34" spans="1:36" ht="12.65" customHeight="1" x14ac:dyDescent="0.35">
      <c r="A34" s="8" t="s">
        <v>139</v>
      </c>
      <c r="B34" s="8" t="s">
        <v>136</v>
      </c>
      <c r="C34" s="8" t="s">
        <v>418</v>
      </c>
      <c r="D34" s="35" t="s">
        <v>1756</v>
      </c>
      <c r="E34" s="14" t="s">
        <v>1755</v>
      </c>
      <c r="F34" s="14" t="s">
        <v>57</v>
      </c>
      <c r="G34" s="14" t="s">
        <v>1</v>
      </c>
      <c r="H34" s="14" t="s">
        <v>9</v>
      </c>
      <c r="I34" s="34" t="s">
        <v>1702</v>
      </c>
      <c r="J34" s="8" t="s">
        <v>1703</v>
      </c>
      <c r="K34" s="69" t="s">
        <v>1704</v>
      </c>
      <c r="L34" s="8" t="s">
        <v>410</v>
      </c>
      <c r="M34" s="8" t="s">
        <v>410</v>
      </c>
      <c r="N34" s="8" t="s">
        <v>306</v>
      </c>
      <c r="O34" s="8" t="s">
        <v>17</v>
      </c>
      <c r="P34" s="8" t="s">
        <v>290</v>
      </c>
      <c r="Q34" s="8" t="s">
        <v>279</v>
      </c>
      <c r="R34" s="8" t="s">
        <v>234</v>
      </c>
      <c r="S34" s="8" t="s">
        <v>241</v>
      </c>
      <c r="T34" s="8" t="s">
        <v>166</v>
      </c>
      <c r="U34" s="8" t="s">
        <v>54</v>
      </c>
      <c r="V34" s="8">
        <v>0</v>
      </c>
      <c r="W34" s="18">
        <v>0.5</v>
      </c>
      <c r="X34" s="51">
        <v>46235</v>
      </c>
      <c r="Y34" s="51">
        <v>46235</v>
      </c>
      <c r="Z34" s="28">
        <v>2</v>
      </c>
      <c r="AA34" s="16" t="s">
        <v>1698</v>
      </c>
      <c r="AB34" s="8" t="s">
        <v>294</v>
      </c>
      <c r="AC34" s="8" t="s">
        <v>395</v>
      </c>
      <c r="AD34" s="8" t="s">
        <v>137</v>
      </c>
      <c r="AE34" s="8" t="s">
        <v>153</v>
      </c>
      <c r="AF34" s="8" t="s">
        <v>153</v>
      </c>
      <c r="AG34" s="8" t="s">
        <v>295</v>
      </c>
      <c r="AH34" s="51">
        <v>38640</v>
      </c>
      <c r="AI34" s="28">
        <v>21</v>
      </c>
      <c r="AJ34" s="51" t="s">
        <v>1852</v>
      </c>
    </row>
    <row r="35" spans="1:36" ht="12.65" customHeight="1" x14ac:dyDescent="0.35">
      <c r="A35" s="8" t="s">
        <v>139</v>
      </c>
      <c r="B35" s="8" t="s">
        <v>136</v>
      </c>
      <c r="C35" s="8" t="s">
        <v>135</v>
      </c>
      <c r="D35" s="35" t="s">
        <v>879</v>
      </c>
      <c r="E35" s="14" t="s">
        <v>880</v>
      </c>
      <c r="F35" s="14" t="s">
        <v>57</v>
      </c>
      <c r="G35" s="14" t="s">
        <v>1</v>
      </c>
      <c r="H35" s="14" t="s">
        <v>9</v>
      </c>
      <c r="I35" s="34" t="s">
        <v>688</v>
      </c>
      <c r="J35" s="8" t="s">
        <v>18</v>
      </c>
      <c r="K35" s="69" t="s">
        <v>689</v>
      </c>
      <c r="L35" s="8" t="s">
        <v>299</v>
      </c>
      <c r="M35" s="8" t="s">
        <v>299</v>
      </c>
      <c r="N35" s="8" t="s">
        <v>306</v>
      </c>
      <c r="O35" s="8" t="s">
        <v>17</v>
      </c>
      <c r="P35" s="8" t="s">
        <v>290</v>
      </c>
      <c r="Q35" s="8" t="s">
        <v>279</v>
      </c>
      <c r="R35" s="8" t="s">
        <v>234</v>
      </c>
      <c r="S35" s="8" t="s">
        <v>241</v>
      </c>
      <c r="T35" s="8" t="s">
        <v>166</v>
      </c>
      <c r="U35" s="8" t="s">
        <v>194</v>
      </c>
      <c r="V35" s="8">
        <v>1</v>
      </c>
      <c r="W35" s="18">
        <v>1</v>
      </c>
      <c r="X35" s="54">
        <v>45931</v>
      </c>
      <c r="Y35" s="54">
        <v>45931</v>
      </c>
      <c r="Z35" s="28">
        <v>12</v>
      </c>
      <c r="AA35" s="16" t="s">
        <v>1700</v>
      </c>
      <c r="AB35" s="8" t="s">
        <v>294</v>
      </c>
      <c r="AC35" s="8" t="s">
        <v>294</v>
      </c>
      <c r="AD35" s="41" t="s">
        <v>137</v>
      </c>
      <c r="AE35" s="41">
        <v>3102628265</v>
      </c>
      <c r="AF35" s="41" t="s">
        <v>276</v>
      </c>
      <c r="AG35" s="8" t="s">
        <v>292</v>
      </c>
      <c r="AH35" s="51">
        <v>38418</v>
      </c>
      <c r="AI35" s="28">
        <v>21</v>
      </c>
      <c r="AJ35" s="51" t="s">
        <v>1852</v>
      </c>
    </row>
    <row r="36" spans="1:36" ht="12.65" customHeight="1" x14ac:dyDescent="0.35">
      <c r="A36" s="8" t="s">
        <v>139</v>
      </c>
      <c r="B36" s="8" t="s">
        <v>136</v>
      </c>
      <c r="C36" s="8" t="s">
        <v>135</v>
      </c>
      <c r="D36" s="35" t="s">
        <v>881</v>
      </c>
      <c r="E36" s="14" t="s">
        <v>882</v>
      </c>
      <c r="F36" s="14" t="s">
        <v>57</v>
      </c>
      <c r="G36" s="14" t="s">
        <v>1</v>
      </c>
      <c r="H36" s="14" t="s">
        <v>9</v>
      </c>
      <c r="I36" s="34" t="s">
        <v>614</v>
      </c>
      <c r="J36" s="8" t="s">
        <v>883</v>
      </c>
      <c r="K36" s="69" t="s">
        <v>615</v>
      </c>
      <c r="L36" s="8" t="s">
        <v>548</v>
      </c>
      <c r="M36" s="8" t="s">
        <v>548</v>
      </c>
      <c r="N36" s="8" t="s">
        <v>306</v>
      </c>
      <c r="O36" s="8" t="s">
        <v>146</v>
      </c>
      <c r="P36" s="8" t="s">
        <v>283</v>
      </c>
      <c r="Q36" s="8" t="s">
        <v>326</v>
      </c>
      <c r="R36" s="8" t="s">
        <v>234</v>
      </c>
      <c r="S36" s="8" t="s">
        <v>241</v>
      </c>
      <c r="T36" s="8" t="s">
        <v>160</v>
      </c>
      <c r="U36" s="8" t="s">
        <v>186</v>
      </c>
      <c r="V36" s="8">
        <v>1</v>
      </c>
      <c r="W36" s="18">
        <v>1</v>
      </c>
      <c r="X36" s="51">
        <v>46093</v>
      </c>
      <c r="Y36" s="53">
        <v>46093</v>
      </c>
      <c r="Z36" s="28">
        <v>7</v>
      </c>
      <c r="AA36" s="16" t="s">
        <v>1710</v>
      </c>
      <c r="AB36" s="8" t="s">
        <v>294</v>
      </c>
      <c r="AC36" s="8" t="s">
        <v>294</v>
      </c>
      <c r="AD36" s="14" t="s">
        <v>137</v>
      </c>
      <c r="AE36" s="8" t="s">
        <v>153</v>
      </c>
      <c r="AF36" s="8" t="s">
        <v>153</v>
      </c>
      <c r="AG36" s="8" t="s">
        <v>292</v>
      </c>
      <c r="AH36" s="51">
        <v>33492</v>
      </c>
      <c r="AI36" s="28">
        <v>35</v>
      </c>
      <c r="AJ36" s="51" t="s">
        <v>1853</v>
      </c>
    </row>
    <row r="37" spans="1:36" ht="12.65" customHeight="1" x14ac:dyDescent="0.35">
      <c r="A37" s="8" t="s">
        <v>139</v>
      </c>
      <c r="B37" s="8" t="s">
        <v>136</v>
      </c>
      <c r="C37" s="8" t="s">
        <v>135</v>
      </c>
      <c r="D37" s="33" t="s">
        <v>1747</v>
      </c>
      <c r="E37" s="14" t="s">
        <v>1746</v>
      </c>
      <c r="F37" s="14" t="s">
        <v>57</v>
      </c>
      <c r="G37" s="14" t="s">
        <v>1</v>
      </c>
      <c r="H37" s="14" t="s">
        <v>9</v>
      </c>
      <c r="I37" s="34" t="s">
        <v>732</v>
      </c>
      <c r="J37" s="8" t="s">
        <v>733</v>
      </c>
      <c r="K37" s="69" t="s">
        <v>734</v>
      </c>
      <c r="L37" s="8" t="s">
        <v>382</v>
      </c>
      <c r="M37" s="8" t="s">
        <v>382</v>
      </c>
      <c r="N37" s="8" t="s">
        <v>306</v>
      </c>
      <c r="O37" s="8" t="s">
        <v>11</v>
      </c>
      <c r="P37" s="8" t="s">
        <v>274</v>
      </c>
      <c r="Q37" s="8" t="s">
        <v>275</v>
      </c>
      <c r="R37" s="8" t="s">
        <v>1628</v>
      </c>
      <c r="S37" s="8" t="s">
        <v>247</v>
      </c>
      <c r="T37" s="8" t="s">
        <v>163</v>
      </c>
      <c r="U37" s="8" t="s">
        <v>192</v>
      </c>
      <c r="V37" s="8">
        <v>1</v>
      </c>
      <c r="W37" s="18">
        <v>1</v>
      </c>
      <c r="X37" s="51">
        <v>46169</v>
      </c>
      <c r="Y37" s="51">
        <v>46169</v>
      </c>
      <c r="Z37" s="28">
        <v>4</v>
      </c>
      <c r="AA37" s="16" t="s">
        <v>1699</v>
      </c>
      <c r="AB37" s="8" t="s">
        <v>294</v>
      </c>
      <c r="AC37" s="8" t="s">
        <v>294</v>
      </c>
      <c r="AD37" s="19" t="s">
        <v>137</v>
      </c>
      <c r="AE37" s="19" t="s">
        <v>153</v>
      </c>
      <c r="AF37" s="19" t="s">
        <v>153</v>
      </c>
      <c r="AG37" s="8" t="s">
        <v>292</v>
      </c>
      <c r="AH37" s="51">
        <v>34522</v>
      </c>
      <c r="AI37" s="28">
        <v>32</v>
      </c>
      <c r="AJ37" s="19" t="s">
        <v>1852</v>
      </c>
    </row>
    <row r="38" spans="1:36" ht="12.65" customHeight="1" x14ac:dyDescent="0.35">
      <c r="A38" s="8" t="s">
        <v>139</v>
      </c>
      <c r="B38" s="8" t="s">
        <v>136</v>
      </c>
      <c r="C38" s="8" t="s">
        <v>135</v>
      </c>
      <c r="D38" s="33" t="s">
        <v>886</v>
      </c>
      <c r="E38" s="14" t="s">
        <v>887</v>
      </c>
      <c r="F38" s="14" t="s">
        <v>57</v>
      </c>
      <c r="G38" s="14" t="s">
        <v>1</v>
      </c>
      <c r="H38" s="14" t="s">
        <v>9</v>
      </c>
      <c r="I38" s="34" t="s">
        <v>332</v>
      </c>
      <c r="J38" s="8" t="s">
        <v>101</v>
      </c>
      <c r="K38" s="69" t="s">
        <v>333</v>
      </c>
      <c r="L38" s="8" t="s">
        <v>75</v>
      </c>
      <c r="M38" s="8" t="s">
        <v>75</v>
      </c>
      <c r="N38" s="8" t="s">
        <v>306</v>
      </c>
      <c r="O38" s="8" t="s">
        <v>11</v>
      </c>
      <c r="P38" s="8" t="s">
        <v>274</v>
      </c>
      <c r="Q38" s="8" t="s">
        <v>275</v>
      </c>
      <c r="R38" s="8" t="s">
        <v>1628</v>
      </c>
      <c r="S38" s="8" t="s">
        <v>247</v>
      </c>
      <c r="T38" s="8" t="s">
        <v>172</v>
      </c>
      <c r="U38" s="8" t="s">
        <v>189</v>
      </c>
      <c r="V38" s="8">
        <v>1</v>
      </c>
      <c r="W38" s="18">
        <v>1</v>
      </c>
      <c r="X38" s="51">
        <v>46045</v>
      </c>
      <c r="Y38" s="51">
        <v>46045</v>
      </c>
      <c r="Z38" s="28">
        <v>8</v>
      </c>
      <c r="AA38" s="16" t="s">
        <v>1710</v>
      </c>
      <c r="AB38" s="8" t="s">
        <v>294</v>
      </c>
      <c r="AC38" s="8" t="s">
        <v>294</v>
      </c>
      <c r="AD38" s="8" t="s">
        <v>137</v>
      </c>
      <c r="AE38" s="8" t="s">
        <v>153</v>
      </c>
      <c r="AF38" s="8" t="s">
        <v>153</v>
      </c>
      <c r="AG38" s="8" t="s">
        <v>292</v>
      </c>
      <c r="AH38" s="51">
        <v>35470</v>
      </c>
      <c r="AI38" s="28">
        <v>29</v>
      </c>
      <c r="AJ38" s="51" t="s">
        <v>1853</v>
      </c>
    </row>
    <row r="39" spans="1:36" ht="12.65" customHeight="1" x14ac:dyDescent="0.35">
      <c r="A39" s="8" t="s">
        <v>139</v>
      </c>
      <c r="B39" s="8" t="s">
        <v>136</v>
      </c>
      <c r="C39" s="8" t="s">
        <v>135</v>
      </c>
      <c r="D39" s="33" t="s">
        <v>888</v>
      </c>
      <c r="E39" s="14" t="s">
        <v>889</v>
      </c>
      <c r="F39" s="14" t="s">
        <v>57</v>
      </c>
      <c r="G39" s="14" t="s">
        <v>1</v>
      </c>
      <c r="H39" s="14" t="s">
        <v>9</v>
      </c>
      <c r="I39" s="34" t="s">
        <v>338</v>
      </c>
      <c r="J39" s="8" t="s">
        <v>99</v>
      </c>
      <c r="K39" s="69" t="s">
        <v>339</v>
      </c>
      <c r="L39" s="8" t="s">
        <v>75</v>
      </c>
      <c r="M39" s="8" t="s">
        <v>75</v>
      </c>
      <c r="N39" s="8" t="s">
        <v>306</v>
      </c>
      <c r="O39" s="8" t="s">
        <v>151</v>
      </c>
      <c r="P39" s="8" t="s">
        <v>289</v>
      </c>
      <c r="Q39" s="8" t="s">
        <v>331</v>
      </c>
      <c r="R39" s="8" t="s">
        <v>222</v>
      </c>
      <c r="S39" s="8" t="s">
        <v>237</v>
      </c>
      <c r="T39" s="8" t="s">
        <v>56</v>
      </c>
      <c r="U39" s="8" t="s">
        <v>189</v>
      </c>
      <c r="V39" s="8">
        <v>1</v>
      </c>
      <c r="W39" s="18">
        <v>1</v>
      </c>
      <c r="X39" s="51">
        <v>45659</v>
      </c>
      <c r="Y39" s="51">
        <v>45407</v>
      </c>
      <c r="Z39" s="28">
        <v>29</v>
      </c>
      <c r="AA39" s="16" t="s">
        <v>1701</v>
      </c>
      <c r="AB39" s="8" t="s">
        <v>291</v>
      </c>
      <c r="AC39" s="8" t="s">
        <v>291</v>
      </c>
      <c r="AD39" s="8" t="s">
        <v>134</v>
      </c>
      <c r="AE39" s="8">
        <v>3102605760</v>
      </c>
      <c r="AF39" s="8" t="s">
        <v>276</v>
      </c>
      <c r="AG39" s="8" t="s">
        <v>292</v>
      </c>
      <c r="AH39" s="51">
        <v>36611</v>
      </c>
      <c r="AI39" s="28">
        <v>26</v>
      </c>
      <c r="AJ39" s="51" t="s">
        <v>1853</v>
      </c>
    </row>
    <row r="40" spans="1:36" ht="12.65" customHeight="1" x14ac:dyDescent="0.35">
      <c r="A40" s="8" t="s">
        <v>139</v>
      </c>
      <c r="B40" s="8" t="s">
        <v>136</v>
      </c>
      <c r="C40" s="8" t="s">
        <v>135</v>
      </c>
      <c r="D40" s="35" t="s">
        <v>1912</v>
      </c>
      <c r="E40" s="14" t="s">
        <v>1913</v>
      </c>
      <c r="F40" s="14" t="s">
        <v>57</v>
      </c>
      <c r="G40" s="14" t="s">
        <v>1</v>
      </c>
      <c r="H40" s="14" t="s">
        <v>9</v>
      </c>
      <c r="I40" s="34" t="s">
        <v>349</v>
      </c>
      <c r="J40" s="8" t="s">
        <v>116</v>
      </c>
      <c r="K40" s="69" t="s">
        <v>350</v>
      </c>
      <c r="L40" s="8" t="s">
        <v>75</v>
      </c>
      <c r="M40" s="8" t="s">
        <v>107</v>
      </c>
      <c r="N40" s="8" t="s">
        <v>306</v>
      </c>
      <c r="O40" s="8" t="s">
        <v>351</v>
      </c>
      <c r="P40" s="8" t="s">
        <v>274</v>
      </c>
      <c r="Q40" s="8" t="s">
        <v>275</v>
      </c>
      <c r="R40" s="8" t="s">
        <v>1628</v>
      </c>
      <c r="S40" s="8" t="s">
        <v>247</v>
      </c>
      <c r="T40" s="8" t="s">
        <v>202</v>
      </c>
      <c r="U40" s="8" t="s">
        <v>189</v>
      </c>
      <c r="V40" s="8">
        <v>1</v>
      </c>
      <c r="W40" s="18">
        <v>1</v>
      </c>
      <c r="X40" s="51">
        <v>46312</v>
      </c>
      <c r="Y40" s="51">
        <v>46312</v>
      </c>
      <c r="Z40" s="28">
        <v>0</v>
      </c>
      <c r="AA40" s="16" t="s">
        <v>1698</v>
      </c>
      <c r="AB40" s="8" t="s">
        <v>293</v>
      </c>
      <c r="AC40" s="8" t="s">
        <v>291</v>
      </c>
      <c r="AD40" s="8" t="s">
        <v>137</v>
      </c>
      <c r="AE40" s="8" t="s">
        <v>153</v>
      </c>
      <c r="AF40" s="8" t="s">
        <v>153</v>
      </c>
      <c r="AG40" s="8" t="s">
        <v>292</v>
      </c>
      <c r="AH40" s="51" t="s">
        <v>4</v>
      </c>
      <c r="AI40" s="28" t="s">
        <v>4</v>
      </c>
      <c r="AJ40" s="51" t="s">
        <v>4</v>
      </c>
    </row>
    <row r="41" spans="1:36" ht="12.65" customHeight="1" x14ac:dyDescent="0.35">
      <c r="A41" s="8" t="s">
        <v>139</v>
      </c>
      <c r="B41" s="8" t="s">
        <v>136</v>
      </c>
      <c r="C41" s="8" t="s">
        <v>135</v>
      </c>
      <c r="D41" s="33" t="s">
        <v>1186</v>
      </c>
      <c r="E41" s="14" t="s">
        <v>1187</v>
      </c>
      <c r="F41" s="14" t="s">
        <v>57</v>
      </c>
      <c r="G41" s="14" t="s">
        <v>1</v>
      </c>
      <c r="H41" s="14" t="s">
        <v>9</v>
      </c>
      <c r="I41" s="34" t="s">
        <v>647</v>
      </c>
      <c r="J41" s="8" t="s">
        <v>892</v>
      </c>
      <c r="K41" s="69" t="s">
        <v>648</v>
      </c>
      <c r="L41" s="8" t="s">
        <v>471</v>
      </c>
      <c r="M41" s="8" t="s">
        <v>649</v>
      </c>
      <c r="N41" s="8" t="s">
        <v>393</v>
      </c>
      <c r="O41" s="8" t="s">
        <v>17</v>
      </c>
      <c r="P41" s="8" t="s">
        <v>290</v>
      </c>
      <c r="Q41" s="8" t="s">
        <v>279</v>
      </c>
      <c r="R41" s="8" t="s">
        <v>234</v>
      </c>
      <c r="S41" s="8" t="s">
        <v>241</v>
      </c>
      <c r="T41" s="8" t="s">
        <v>166</v>
      </c>
      <c r="U41" s="8" t="s">
        <v>183</v>
      </c>
      <c r="V41" s="8">
        <v>1</v>
      </c>
      <c r="W41" s="18">
        <v>0.25</v>
      </c>
      <c r="X41" s="54">
        <v>45659</v>
      </c>
      <c r="Y41" s="54">
        <v>45288</v>
      </c>
      <c r="Z41" s="28">
        <v>33</v>
      </c>
      <c r="AA41" s="16" t="s">
        <v>1701</v>
      </c>
      <c r="AB41" s="8" t="s">
        <v>307</v>
      </c>
      <c r="AC41" s="8" t="s">
        <v>307</v>
      </c>
      <c r="AD41" s="41" t="s">
        <v>134</v>
      </c>
      <c r="AE41" s="41">
        <v>3102668732</v>
      </c>
      <c r="AF41" s="41" t="s">
        <v>276</v>
      </c>
      <c r="AG41" s="8" t="s">
        <v>295</v>
      </c>
      <c r="AH41" s="51">
        <v>34570</v>
      </c>
      <c r="AI41" s="28">
        <v>32</v>
      </c>
      <c r="AJ41" s="51" t="s">
        <v>1853</v>
      </c>
    </row>
    <row r="42" spans="1:36" ht="12.65" customHeight="1" x14ac:dyDescent="0.35">
      <c r="A42" s="8" t="s">
        <v>139</v>
      </c>
      <c r="B42" s="8" t="s">
        <v>136</v>
      </c>
      <c r="C42" s="8" t="s">
        <v>135</v>
      </c>
      <c r="D42" s="33" t="s">
        <v>1186</v>
      </c>
      <c r="E42" s="14" t="s">
        <v>1187</v>
      </c>
      <c r="F42" s="14" t="s">
        <v>57</v>
      </c>
      <c r="G42" s="14" t="s">
        <v>1</v>
      </c>
      <c r="H42" s="14" t="s">
        <v>9</v>
      </c>
      <c r="I42" s="34" t="s">
        <v>650</v>
      </c>
      <c r="J42" s="8" t="s">
        <v>651</v>
      </c>
      <c r="K42" s="69" t="s">
        <v>652</v>
      </c>
      <c r="L42" s="8" t="s">
        <v>471</v>
      </c>
      <c r="M42" s="8" t="s">
        <v>653</v>
      </c>
      <c r="N42" s="8" t="s">
        <v>393</v>
      </c>
      <c r="O42" s="8" t="s">
        <v>17</v>
      </c>
      <c r="P42" s="8" t="s">
        <v>290</v>
      </c>
      <c r="Q42" s="8" t="s">
        <v>279</v>
      </c>
      <c r="R42" s="8" t="s">
        <v>234</v>
      </c>
      <c r="S42" s="8" t="s">
        <v>241</v>
      </c>
      <c r="T42" s="8" t="s">
        <v>166</v>
      </c>
      <c r="U42" s="8" t="s">
        <v>183</v>
      </c>
      <c r="V42" s="8">
        <v>0</v>
      </c>
      <c r="W42" s="18">
        <v>0.75</v>
      </c>
      <c r="X42" s="54">
        <v>45659</v>
      </c>
      <c r="Y42" s="54">
        <v>45288</v>
      </c>
      <c r="Z42" s="28">
        <v>33</v>
      </c>
      <c r="AA42" s="16" t="s">
        <v>1701</v>
      </c>
      <c r="AB42" s="8" t="s">
        <v>293</v>
      </c>
      <c r="AC42" s="8" t="s">
        <v>293</v>
      </c>
      <c r="AD42" s="41" t="s">
        <v>134</v>
      </c>
      <c r="AE42" s="41">
        <v>3102668732</v>
      </c>
      <c r="AF42" s="41" t="s">
        <v>276</v>
      </c>
      <c r="AG42" s="8" t="s">
        <v>295</v>
      </c>
      <c r="AH42" s="51">
        <v>34570</v>
      </c>
      <c r="AI42" s="28">
        <v>32</v>
      </c>
      <c r="AJ42" s="51" t="s">
        <v>1853</v>
      </c>
    </row>
    <row r="43" spans="1:36" ht="12.65" customHeight="1" x14ac:dyDescent="0.35">
      <c r="A43" s="8" t="s">
        <v>139</v>
      </c>
      <c r="B43" s="8" t="s">
        <v>136</v>
      </c>
      <c r="C43" s="8" t="s">
        <v>135</v>
      </c>
      <c r="D43" s="33" t="s">
        <v>893</v>
      </c>
      <c r="E43" s="14" t="s">
        <v>894</v>
      </c>
      <c r="F43" s="14" t="s">
        <v>57</v>
      </c>
      <c r="G43" s="14" t="s">
        <v>1</v>
      </c>
      <c r="H43" s="14" t="s">
        <v>9</v>
      </c>
      <c r="I43" s="34" t="s">
        <v>501</v>
      </c>
      <c r="J43" s="8" t="s">
        <v>502</v>
      </c>
      <c r="K43" s="69" t="s">
        <v>503</v>
      </c>
      <c r="L43" s="8" t="s">
        <v>299</v>
      </c>
      <c r="M43" s="8" t="s">
        <v>299</v>
      </c>
      <c r="N43" s="8" t="s">
        <v>306</v>
      </c>
      <c r="O43" s="8" t="s">
        <v>149</v>
      </c>
      <c r="P43" s="8" t="s">
        <v>286</v>
      </c>
      <c r="Q43" s="8" t="s">
        <v>865</v>
      </c>
      <c r="R43" s="8" t="s">
        <v>1628</v>
      </c>
      <c r="S43" s="8" t="s">
        <v>247</v>
      </c>
      <c r="T43" s="8" t="s">
        <v>157</v>
      </c>
      <c r="U43" s="8" t="s">
        <v>194</v>
      </c>
      <c r="V43" s="8">
        <v>1</v>
      </c>
      <c r="W43" s="18">
        <v>1</v>
      </c>
      <c r="X43" s="51">
        <v>46161</v>
      </c>
      <c r="Y43" s="51">
        <v>46161</v>
      </c>
      <c r="Z43" s="28">
        <v>4</v>
      </c>
      <c r="AA43" s="16" t="s">
        <v>1699</v>
      </c>
      <c r="AB43" s="8" t="s">
        <v>291</v>
      </c>
      <c r="AC43" s="8" t="s">
        <v>291</v>
      </c>
      <c r="AD43" s="8" t="s">
        <v>137</v>
      </c>
      <c r="AE43" s="8" t="s">
        <v>153</v>
      </c>
      <c r="AF43" s="8" t="s">
        <v>153</v>
      </c>
      <c r="AG43" s="8" t="s">
        <v>292</v>
      </c>
      <c r="AH43" s="51">
        <v>36209</v>
      </c>
      <c r="AI43" s="28">
        <v>27</v>
      </c>
      <c r="AJ43" s="51" t="s">
        <v>1852</v>
      </c>
    </row>
    <row r="44" spans="1:36" ht="12.65" customHeight="1" x14ac:dyDescent="0.35">
      <c r="A44" s="8" t="s">
        <v>139</v>
      </c>
      <c r="B44" s="8" t="s">
        <v>136</v>
      </c>
      <c r="C44" s="8" t="s">
        <v>418</v>
      </c>
      <c r="D44" s="33" t="s">
        <v>1788</v>
      </c>
      <c r="E44" s="14" t="s">
        <v>1789</v>
      </c>
      <c r="F44" s="14" t="s">
        <v>57</v>
      </c>
      <c r="G44" s="14" t="s">
        <v>1</v>
      </c>
      <c r="H44" s="14" t="s">
        <v>9</v>
      </c>
      <c r="I44" s="34" t="s">
        <v>860</v>
      </c>
      <c r="J44" s="8" t="s">
        <v>861</v>
      </c>
      <c r="K44" s="69" t="s">
        <v>862</v>
      </c>
      <c r="L44" s="8" t="s">
        <v>299</v>
      </c>
      <c r="M44" s="8" t="s">
        <v>299</v>
      </c>
      <c r="N44" s="8" t="s">
        <v>306</v>
      </c>
      <c r="O44" s="8" t="s">
        <v>11</v>
      </c>
      <c r="P44" s="8" t="s">
        <v>274</v>
      </c>
      <c r="Q44" s="8" t="s">
        <v>275</v>
      </c>
      <c r="R44" s="8" t="s">
        <v>231</v>
      </c>
      <c r="S44" s="8" t="s">
        <v>247</v>
      </c>
      <c r="T44" s="8" t="s">
        <v>208</v>
      </c>
      <c r="U44" s="8" t="s">
        <v>194</v>
      </c>
      <c r="V44" s="8">
        <v>1</v>
      </c>
      <c r="W44" s="18">
        <v>1</v>
      </c>
      <c r="X44" s="23">
        <v>46199</v>
      </c>
      <c r="Y44" s="23">
        <v>46199</v>
      </c>
      <c r="Z44" s="28">
        <v>3</v>
      </c>
      <c r="AA44" s="16" t="s">
        <v>1699</v>
      </c>
      <c r="AB44" s="8" t="s">
        <v>294</v>
      </c>
      <c r="AC44" s="8" t="s">
        <v>294</v>
      </c>
      <c r="AD44" s="8" t="s">
        <v>137</v>
      </c>
      <c r="AE44" s="8" t="s">
        <v>153</v>
      </c>
      <c r="AF44" s="8" t="s">
        <v>153</v>
      </c>
      <c r="AG44" s="8" t="s">
        <v>292</v>
      </c>
      <c r="AH44" s="51">
        <v>39475</v>
      </c>
      <c r="AI44" s="28">
        <v>18</v>
      </c>
      <c r="AJ44" s="51" t="s">
        <v>1852</v>
      </c>
    </row>
    <row r="45" spans="1:36" ht="12.65" customHeight="1" x14ac:dyDescent="0.35">
      <c r="A45" s="8" t="s">
        <v>139</v>
      </c>
      <c r="B45" s="8" t="s">
        <v>136</v>
      </c>
      <c r="C45" s="8" t="s">
        <v>135</v>
      </c>
      <c r="D45" s="33" t="s">
        <v>1294</v>
      </c>
      <c r="E45" s="14" t="s">
        <v>1295</v>
      </c>
      <c r="F45" s="14" t="s">
        <v>57</v>
      </c>
      <c r="G45" s="14" t="s">
        <v>1</v>
      </c>
      <c r="H45" s="14" t="s">
        <v>9</v>
      </c>
      <c r="I45" s="34" t="s">
        <v>474</v>
      </c>
      <c r="J45" s="8" t="s">
        <v>897</v>
      </c>
      <c r="K45" s="69" t="s">
        <v>475</v>
      </c>
      <c r="L45" s="8" t="s">
        <v>299</v>
      </c>
      <c r="M45" s="8" t="s">
        <v>299</v>
      </c>
      <c r="N45" s="8" t="s">
        <v>306</v>
      </c>
      <c r="O45" s="8" t="s">
        <v>11</v>
      </c>
      <c r="P45" s="8" t="s">
        <v>274</v>
      </c>
      <c r="Q45" s="8" t="s">
        <v>275</v>
      </c>
      <c r="R45" s="8" t="s">
        <v>231</v>
      </c>
      <c r="S45" s="8" t="s">
        <v>247</v>
      </c>
      <c r="T45" s="8" t="s">
        <v>208</v>
      </c>
      <c r="U45" s="8" t="s">
        <v>194</v>
      </c>
      <c r="V45" s="8">
        <v>1</v>
      </c>
      <c r="W45" s="18">
        <v>1</v>
      </c>
      <c r="X45" s="53">
        <v>45763</v>
      </c>
      <c r="Y45" s="53">
        <v>45763</v>
      </c>
      <c r="Z45" s="28">
        <v>18</v>
      </c>
      <c r="AA45" s="16" t="s">
        <v>1700</v>
      </c>
      <c r="AB45" s="8" t="s">
        <v>291</v>
      </c>
      <c r="AC45" s="8" t="s">
        <v>291</v>
      </c>
      <c r="AD45" s="14" t="s">
        <v>134</v>
      </c>
      <c r="AE45" s="14">
        <v>3102705131</v>
      </c>
      <c r="AF45" s="14" t="s">
        <v>276</v>
      </c>
      <c r="AG45" s="8" t="s">
        <v>292</v>
      </c>
      <c r="AH45" s="51">
        <v>34156</v>
      </c>
      <c r="AI45" s="28">
        <v>33</v>
      </c>
      <c r="AJ45" s="51" t="s">
        <v>1853</v>
      </c>
    </row>
    <row r="46" spans="1:36" ht="12.65" customHeight="1" x14ac:dyDescent="0.35">
      <c r="A46" s="8" t="s">
        <v>139</v>
      </c>
      <c r="B46" s="8" t="s">
        <v>136</v>
      </c>
      <c r="C46" s="8" t="s">
        <v>135</v>
      </c>
      <c r="D46" s="34" t="s">
        <v>1777</v>
      </c>
      <c r="E46" s="8" t="s">
        <v>1778</v>
      </c>
      <c r="F46" s="14" t="s">
        <v>57</v>
      </c>
      <c r="G46" s="14" t="s">
        <v>1</v>
      </c>
      <c r="H46" s="14" t="s">
        <v>9</v>
      </c>
      <c r="I46" s="34" t="s">
        <v>775</v>
      </c>
      <c r="J46" s="8" t="s">
        <v>79</v>
      </c>
      <c r="K46" s="69" t="s">
        <v>776</v>
      </c>
      <c r="L46" s="8" t="s">
        <v>75</v>
      </c>
      <c r="M46" s="8" t="s">
        <v>76</v>
      </c>
      <c r="N46" s="8" t="s">
        <v>306</v>
      </c>
      <c r="O46" s="8" t="s">
        <v>400</v>
      </c>
      <c r="P46" s="8" t="s">
        <v>285</v>
      </c>
      <c r="Q46" s="8" t="s">
        <v>285</v>
      </c>
      <c r="R46" s="8" t="s">
        <v>225</v>
      </c>
      <c r="S46" s="8" t="s">
        <v>237</v>
      </c>
      <c r="T46" s="8" t="s">
        <v>175</v>
      </c>
      <c r="U46" s="8" t="s">
        <v>189</v>
      </c>
      <c r="V46" s="8">
        <v>1</v>
      </c>
      <c r="W46" s="18">
        <v>1</v>
      </c>
      <c r="X46" s="51">
        <v>46190</v>
      </c>
      <c r="Y46" s="51">
        <v>46190</v>
      </c>
      <c r="Z46" s="28">
        <v>3</v>
      </c>
      <c r="AA46" s="16" t="s">
        <v>1699</v>
      </c>
      <c r="AB46" s="8" t="s">
        <v>395</v>
      </c>
      <c r="AC46" s="8" t="s">
        <v>294</v>
      </c>
      <c r="AD46" s="39" t="s">
        <v>137</v>
      </c>
      <c r="AE46" s="39" t="s">
        <v>153</v>
      </c>
      <c r="AF46" s="39" t="s">
        <v>153</v>
      </c>
      <c r="AG46" s="8" t="s">
        <v>292</v>
      </c>
      <c r="AH46" s="51">
        <v>36522</v>
      </c>
      <c r="AI46" s="28">
        <v>26</v>
      </c>
      <c r="AJ46" s="51" t="s">
        <v>1853</v>
      </c>
    </row>
    <row r="47" spans="1:36" ht="12.65" customHeight="1" x14ac:dyDescent="0.35">
      <c r="A47" s="8" t="s">
        <v>139</v>
      </c>
      <c r="B47" s="8" t="s">
        <v>1243</v>
      </c>
      <c r="C47" s="8" t="s">
        <v>135</v>
      </c>
      <c r="D47" s="34" t="s">
        <v>900</v>
      </c>
      <c r="E47" s="14" t="s">
        <v>901</v>
      </c>
      <c r="F47" s="14" t="s">
        <v>57</v>
      </c>
      <c r="G47" s="14" t="s">
        <v>1</v>
      </c>
      <c r="H47" s="14" t="s">
        <v>9</v>
      </c>
      <c r="I47" s="34" t="s">
        <v>297</v>
      </c>
      <c r="J47" s="8" t="s">
        <v>902</v>
      </c>
      <c r="K47" s="69" t="s">
        <v>298</v>
      </c>
      <c r="L47" s="8" t="s">
        <v>299</v>
      </c>
      <c r="M47" s="8" t="s">
        <v>299</v>
      </c>
      <c r="N47" s="8" t="s">
        <v>306</v>
      </c>
      <c r="O47" s="8" t="s">
        <v>13</v>
      </c>
      <c r="P47" s="8" t="s">
        <v>285</v>
      </c>
      <c r="Q47" s="8" t="s">
        <v>285</v>
      </c>
      <c r="R47" s="8" t="s">
        <v>225</v>
      </c>
      <c r="S47" s="8" t="s">
        <v>237</v>
      </c>
      <c r="T47" s="8" t="s">
        <v>175</v>
      </c>
      <c r="U47" s="8" t="s">
        <v>194</v>
      </c>
      <c r="V47" s="8">
        <v>1</v>
      </c>
      <c r="W47" s="18">
        <v>1</v>
      </c>
      <c r="X47" s="51">
        <v>46086</v>
      </c>
      <c r="Y47" s="51">
        <v>46086</v>
      </c>
      <c r="Z47" s="28">
        <v>7</v>
      </c>
      <c r="AA47" s="16" t="s">
        <v>1710</v>
      </c>
      <c r="AB47" s="8" t="s">
        <v>291</v>
      </c>
      <c r="AC47" s="8" t="s">
        <v>291</v>
      </c>
      <c r="AD47" s="19" t="s">
        <v>137</v>
      </c>
      <c r="AE47" s="19" t="s">
        <v>153</v>
      </c>
      <c r="AF47" s="19" t="s">
        <v>153</v>
      </c>
      <c r="AG47" s="8" t="s">
        <v>292</v>
      </c>
      <c r="AH47" s="51">
        <v>38353</v>
      </c>
      <c r="AI47" s="28">
        <v>21</v>
      </c>
      <c r="AJ47" s="51" t="s">
        <v>1853</v>
      </c>
    </row>
    <row r="48" spans="1:36" ht="12.65" customHeight="1" x14ac:dyDescent="0.35">
      <c r="A48" s="8" t="s">
        <v>139</v>
      </c>
      <c r="B48" s="8" t="s">
        <v>136</v>
      </c>
      <c r="C48" s="8" t="s">
        <v>135</v>
      </c>
      <c r="D48" s="35" t="s">
        <v>903</v>
      </c>
      <c r="E48" s="14" t="s">
        <v>904</v>
      </c>
      <c r="F48" s="14" t="s">
        <v>57</v>
      </c>
      <c r="G48" s="14" t="s">
        <v>1</v>
      </c>
      <c r="H48" s="14" t="s">
        <v>9</v>
      </c>
      <c r="I48" s="34" t="s">
        <v>737</v>
      </c>
      <c r="J48" s="8" t="s">
        <v>905</v>
      </c>
      <c r="K48" s="69" t="s">
        <v>738</v>
      </c>
      <c r="L48" s="8" t="s">
        <v>442</v>
      </c>
      <c r="M48" s="8" t="s">
        <v>598</v>
      </c>
      <c r="N48" s="8" t="s">
        <v>393</v>
      </c>
      <c r="O48" s="8" t="s">
        <v>150</v>
      </c>
      <c r="P48" s="8" t="s">
        <v>280</v>
      </c>
      <c r="Q48" s="8" t="s">
        <v>281</v>
      </c>
      <c r="R48" s="8" t="s">
        <v>222</v>
      </c>
      <c r="S48" s="8" t="s">
        <v>237</v>
      </c>
      <c r="T48" s="8" t="s">
        <v>51</v>
      </c>
      <c r="U48" s="8" t="s">
        <v>183</v>
      </c>
      <c r="V48" s="8">
        <v>1</v>
      </c>
      <c r="W48" s="18">
        <v>1</v>
      </c>
      <c r="X48" s="51">
        <v>45659</v>
      </c>
      <c r="Y48" s="51">
        <v>44672</v>
      </c>
      <c r="Z48" s="28">
        <v>53</v>
      </c>
      <c r="AA48" s="16" t="s">
        <v>1701</v>
      </c>
      <c r="AB48" s="8" t="s">
        <v>291</v>
      </c>
      <c r="AC48" s="8" t="s">
        <v>291</v>
      </c>
      <c r="AD48" s="8" t="s">
        <v>134</v>
      </c>
      <c r="AE48" s="8">
        <v>3102612025</v>
      </c>
      <c r="AF48" s="8" t="s">
        <v>276</v>
      </c>
      <c r="AG48" s="8" t="s">
        <v>292</v>
      </c>
      <c r="AH48" s="51">
        <v>36305</v>
      </c>
      <c r="AI48" s="28">
        <v>27</v>
      </c>
      <c r="AJ48" s="51" t="s">
        <v>1852</v>
      </c>
    </row>
    <row r="49" spans="1:36" ht="12.65" customHeight="1" x14ac:dyDescent="0.35">
      <c r="A49" s="8" t="s">
        <v>139</v>
      </c>
      <c r="B49" s="8" t="s">
        <v>136</v>
      </c>
      <c r="C49" s="8" t="s">
        <v>418</v>
      </c>
      <c r="D49" s="33" t="s">
        <v>1345</v>
      </c>
      <c r="E49" s="14" t="s">
        <v>1346</v>
      </c>
      <c r="F49" s="14" t="s">
        <v>57</v>
      </c>
      <c r="G49" s="14" t="s">
        <v>1</v>
      </c>
      <c r="H49" s="14" t="s">
        <v>9</v>
      </c>
      <c r="I49" s="34" t="s">
        <v>438</v>
      </c>
      <c r="J49" s="8" t="s">
        <v>909</v>
      </c>
      <c r="K49" s="69" t="s">
        <v>439</v>
      </c>
      <c r="L49" s="8" t="s">
        <v>299</v>
      </c>
      <c r="M49" s="8" t="s">
        <v>299</v>
      </c>
      <c r="N49" s="8" t="s">
        <v>306</v>
      </c>
      <c r="O49" s="8" t="s">
        <v>36</v>
      </c>
      <c r="P49" s="8" t="s">
        <v>282</v>
      </c>
      <c r="Q49" s="8" t="s">
        <v>543</v>
      </c>
      <c r="R49" s="8" t="s">
        <v>222</v>
      </c>
      <c r="S49" s="8" t="s">
        <v>237</v>
      </c>
      <c r="T49" s="8" t="s">
        <v>244</v>
      </c>
      <c r="U49" s="8" t="s">
        <v>194</v>
      </c>
      <c r="V49" s="8">
        <v>1</v>
      </c>
      <c r="W49" s="18">
        <v>1</v>
      </c>
      <c r="X49" s="23">
        <v>46231</v>
      </c>
      <c r="Y49" s="53">
        <v>46058</v>
      </c>
      <c r="Z49" s="28">
        <v>8</v>
      </c>
      <c r="AA49" s="16" t="s">
        <v>1710</v>
      </c>
      <c r="AB49" s="8" t="s">
        <v>294</v>
      </c>
      <c r="AC49" s="8" t="s">
        <v>294</v>
      </c>
      <c r="AD49" s="14" t="s">
        <v>137</v>
      </c>
      <c r="AE49" s="14" t="s">
        <v>153</v>
      </c>
      <c r="AF49" s="14" t="s">
        <v>153</v>
      </c>
      <c r="AG49" s="8" t="s">
        <v>292</v>
      </c>
      <c r="AH49" s="53">
        <v>33463</v>
      </c>
      <c r="AI49" s="31">
        <v>35</v>
      </c>
      <c r="AJ49" s="74" t="s">
        <v>1853</v>
      </c>
    </row>
    <row r="50" spans="1:36" ht="12.65" customHeight="1" x14ac:dyDescent="0.35">
      <c r="A50" s="8" t="s">
        <v>139</v>
      </c>
      <c r="B50" s="8" t="s">
        <v>136</v>
      </c>
      <c r="C50" s="8" t="s">
        <v>135</v>
      </c>
      <c r="D50" s="34" t="s">
        <v>907</v>
      </c>
      <c r="E50" s="14" t="s">
        <v>908</v>
      </c>
      <c r="F50" s="14" t="s">
        <v>57</v>
      </c>
      <c r="G50" s="14" t="s">
        <v>1</v>
      </c>
      <c r="H50" s="14" t="s">
        <v>9</v>
      </c>
      <c r="I50" s="34" t="s">
        <v>741</v>
      </c>
      <c r="J50" s="8" t="s">
        <v>742</v>
      </c>
      <c r="K50" s="69" t="s">
        <v>743</v>
      </c>
      <c r="L50" s="8" t="s">
        <v>299</v>
      </c>
      <c r="M50" s="8" t="s">
        <v>299</v>
      </c>
      <c r="N50" s="8" t="s">
        <v>306</v>
      </c>
      <c r="O50" s="8" t="s">
        <v>36</v>
      </c>
      <c r="P50" s="8" t="s">
        <v>282</v>
      </c>
      <c r="Q50" s="8" t="s">
        <v>543</v>
      </c>
      <c r="R50" s="8" t="s">
        <v>222</v>
      </c>
      <c r="S50" s="8" t="s">
        <v>237</v>
      </c>
      <c r="T50" s="8" t="s">
        <v>244</v>
      </c>
      <c r="U50" s="8" t="s">
        <v>194</v>
      </c>
      <c r="V50" s="8">
        <v>1</v>
      </c>
      <c r="W50" s="18">
        <v>1</v>
      </c>
      <c r="X50" s="51">
        <v>45721</v>
      </c>
      <c r="Y50" s="51">
        <v>45721</v>
      </c>
      <c r="Z50" s="28">
        <v>19</v>
      </c>
      <c r="AA50" s="16" t="s">
        <v>1700</v>
      </c>
      <c r="AB50" s="8" t="s">
        <v>294</v>
      </c>
      <c r="AC50" s="8" t="s">
        <v>294</v>
      </c>
      <c r="AD50" s="19" t="s">
        <v>137</v>
      </c>
      <c r="AE50" s="19">
        <v>3102678347</v>
      </c>
      <c r="AF50" s="19" t="s">
        <v>276</v>
      </c>
      <c r="AG50" s="8" t="s">
        <v>292</v>
      </c>
      <c r="AH50" s="51">
        <v>35990</v>
      </c>
      <c r="AI50" s="28">
        <v>28</v>
      </c>
      <c r="AJ50" s="51" t="s">
        <v>1852</v>
      </c>
    </row>
    <row r="51" spans="1:36" ht="12.65" customHeight="1" x14ac:dyDescent="0.35">
      <c r="A51" s="8" t="s">
        <v>139</v>
      </c>
      <c r="B51" s="8" t="s">
        <v>136</v>
      </c>
      <c r="C51" s="8" t="s">
        <v>418</v>
      </c>
      <c r="D51" s="33" t="s">
        <v>1827</v>
      </c>
      <c r="E51" s="14" t="s">
        <v>1826</v>
      </c>
      <c r="F51" s="14" t="s">
        <v>57</v>
      </c>
      <c r="G51" s="14" t="s">
        <v>1</v>
      </c>
      <c r="H51" s="14" t="s">
        <v>9</v>
      </c>
      <c r="I51" s="34" t="s">
        <v>314</v>
      </c>
      <c r="J51" s="8" t="s">
        <v>98</v>
      </c>
      <c r="K51" s="69" t="s">
        <v>315</v>
      </c>
      <c r="L51" s="8" t="s">
        <v>75</v>
      </c>
      <c r="M51" s="8" t="s">
        <v>75</v>
      </c>
      <c r="N51" s="8" t="s">
        <v>306</v>
      </c>
      <c r="O51" s="8" t="s">
        <v>622</v>
      </c>
      <c r="P51" s="8" t="s">
        <v>279</v>
      </c>
      <c r="Q51" s="8" t="s">
        <v>279</v>
      </c>
      <c r="R51" s="8" t="s">
        <v>234</v>
      </c>
      <c r="S51" s="8" t="s">
        <v>241</v>
      </c>
      <c r="T51" s="14" t="s">
        <v>166</v>
      </c>
      <c r="U51" s="8" t="s">
        <v>189</v>
      </c>
      <c r="V51" s="8">
        <v>1</v>
      </c>
      <c r="W51" s="18">
        <v>1</v>
      </c>
      <c r="X51" s="51">
        <v>46238</v>
      </c>
      <c r="Y51" s="51">
        <v>46238</v>
      </c>
      <c r="Z51" s="28">
        <v>2</v>
      </c>
      <c r="AA51" s="16" t="s">
        <v>1698</v>
      </c>
      <c r="AB51" s="8" t="s">
        <v>294</v>
      </c>
      <c r="AC51" s="8" t="s">
        <v>294</v>
      </c>
      <c r="AD51" s="8" t="s">
        <v>137</v>
      </c>
      <c r="AE51" s="8" t="s">
        <v>153</v>
      </c>
      <c r="AF51" s="8" t="s">
        <v>153</v>
      </c>
      <c r="AG51" s="8" t="s">
        <v>292</v>
      </c>
      <c r="AH51" s="51">
        <v>34323</v>
      </c>
      <c r="AI51" s="28">
        <v>32</v>
      </c>
      <c r="AJ51" s="51" t="s">
        <v>1852</v>
      </c>
    </row>
    <row r="52" spans="1:36" ht="12.65" customHeight="1" x14ac:dyDescent="0.35">
      <c r="A52" s="8" t="s">
        <v>139</v>
      </c>
      <c r="B52" s="8" t="s">
        <v>1243</v>
      </c>
      <c r="C52" s="8" t="s">
        <v>135</v>
      </c>
      <c r="D52" s="35" t="s">
        <v>1908</v>
      </c>
      <c r="E52" s="14" t="s">
        <v>1906</v>
      </c>
      <c r="F52" s="14" t="s">
        <v>61</v>
      </c>
      <c r="G52" s="14" t="s">
        <v>1</v>
      </c>
      <c r="H52" s="14" t="s">
        <v>9</v>
      </c>
      <c r="I52" s="34" t="s">
        <v>314</v>
      </c>
      <c r="J52" s="8" t="s">
        <v>98</v>
      </c>
      <c r="K52" s="69" t="s">
        <v>315</v>
      </c>
      <c r="L52" s="8" t="s">
        <v>75</v>
      </c>
      <c r="M52" s="8" t="s">
        <v>75</v>
      </c>
      <c r="N52" s="8" t="s">
        <v>306</v>
      </c>
      <c r="O52" s="8" t="s">
        <v>622</v>
      </c>
      <c r="P52" s="8" t="s">
        <v>279</v>
      </c>
      <c r="Q52" s="8" t="s">
        <v>279</v>
      </c>
      <c r="R52" s="8" t="s">
        <v>234</v>
      </c>
      <c r="S52" s="8" t="s">
        <v>241</v>
      </c>
      <c r="T52" s="8" t="s">
        <v>166</v>
      </c>
      <c r="U52" s="8" t="s">
        <v>189</v>
      </c>
      <c r="V52" s="8">
        <v>1</v>
      </c>
      <c r="W52" s="18">
        <v>1</v>
      </c>
      <c r="X52" s="51">
        <v>46311</v>
      </c>
      <c r="Y52" s="51">
        <v>46311</v>
      </c>
      <c r="Z52" s="28">
        <v>0</v>
      </c>
      <c r="AA52" s="16" t="s">
        <v>1698</v>
      </c>
      <c r="AB52" s="8" t="s">
        <v>294</v>
      </c>
      <c r="AC52" s="8" t="s">
        <v>294</v>
      </c>
      <c r="AD52" s="19" t="s">
        <v>137</v>
      </c>
      <c r="AE52" s="19" t="s">
        <v>153</v>
      </c>
      <c r="AF52" s="19" t="s">
        <v>153</v>
      </c>
      <c r="AG52" s="8" t="s">
        <v>292</v>
      </c>
      <c r="AH52" s="51" t="s">
        <v>4</v>
      </c>
      <c r="AI52" s="28" t="s">
        <v>4</v>
      </c>
      <c r="AJ52" s="19" t="s">
        <v>4</v>
      </c>
    </row>
    <row r="53" spans="1:36" ht="12.65" customHeight="1" x14ac:dyDescent="0.35">
      <c r="A53" s="8" t="s">
        <v>139</v>
      </c>
      <c r="B53" s="8" t="s">
        <v>136</v>
      </c>
      <c r="C53" s="8" t="s">
        <v>135</v>
      </c>
      <c r="D53" s="33" t="s">
        <v>1443</v>
      </c>
      <c r="E53" s="14" t="s">
        <v>1444</v>
      </c>
      <c r="F53" s="14" t="s">
        <v>57</v>
      </c>
      <c r="G53" s="14" t="s">
        <v>1</v>
      </c>
      <c r="H53" s="14" t="s">
        <v>9</v>
      </c>
      <c r="I53" s="34" t="s">
        <v>787</v>
      </c>
      <c r="J53" s="8" t="s">
        <v>912</v>
      </c>
      <c r="K53" s="69" t="s">
        <v>788</v>
      </c>
      <c r="L53" s="8" t="s">
        <v>410</v>
      </c>
      <c r="M53" s="8" t="s">
        <v>410</v>
      </c>
      <c r="N53" s="8" t="s">
        <v>306</v>
      </c>
      <c r="O53" s="8" t="s">
        <v>296</v>
      </c>
      <c r="P53" s="8" t="s">
        <v>274</v>
      </c>
      <c r="Q53" s="8" t="s">
        <v>275</v>
      </c>
      <c r="R53" s="8" t="s">
        <v>231</v>
      </c>
      <c r="S53" s="8" t="s">
        <v>247</v>
      </c>
      <c r="T53" s="8" t="s">
        <v>255</v>
      </c>
      <c r="U53" s="8" t="s">
        <v>54</v>
      </c>
      <c r="V53" s="8">
        <v>1</v>
      </c>
      <c r="W53" s="18">
        <v>1</v>
      </c>
      <c r="X53" s="54">
        <v>46058</v>
      </c>
      <c r="Y53" s="54">
        <v>46058</v>
      </c>
      <c r="Z53" s="28">
        <v>8</v>
      </c>
      <c r="AA53" s="16" t="s">
        <v>1710</v>
      </c>
      <c r="AB53" s="8" t="s">
        <v>291</v>
      </c>
      <c r="AC53" s="8" t="s">
        <v>291</v>
      </c>
      <c r="AD53" s="54" t="s">
        <v>137</v>
      </c>
      <c r="AE53" s="41">
        <v>3102709012</v>
      </c>
      <c r="AF53" s="54" t="s">
        <v>276</v>
      </c>
      <c r="AG53" s="8" t="s">
        <v>292</v>
      </c>
      <c r="AH53" s="51">
        <v>32669</v>
      </c>
      <c r="AI53" s="28">
        <v>37</v>
      </c>
      <c r="AJ53" s="51" t="s">
        <v>1853</v>
      </c>
    </row>
    <row r="54" spans="1:36" ht="12.65" customHeight="1" x14ac:dyDescent="0.35">
      <c r="A54" s="8" t="s">
        <v>139</v>
      </c>
      <c r="B54" s="8" t="s">
        <v>136</v>
      </c>
      <c r="C54" s="8" t="s">
        <v>135</v>
      </c>
      <c r="D54" s="35" t="s">
        <v>1392</v>
      </c>
      <c r="E54" s="14" t="s">
        <v>55</v>
      </c>
      <c r="F54" s="14" t="s">
        <v>57</v>
      </c>
      <c r="G54" s="14" t="s">
        <v>1</v>
      </c>
      <c r="H54" s="14" t="s">
        <v>9</v>
      </c>
      <c r="I54" s="34" t="s">
        <v>366</v>
      </c>
      <c r="J54" s="8" t="s">
        <v>105</v>
      </c>
      <c r="K54" s="69" t="s">
        <v>367</v>
      </c>
      <c r="L54" s="8" t="s">
        <v>75</v>
      </c>
      <c r="M54" s="8" t="s">
        <v>75</v>
      </c>
      <c r="N54" s="8" t="s">
        <v>306</v>
      </c>
      <c r="O54" s="8" t="s">
        <v>11</v>
      </c>
      <c r="P54" s="8" t="s">
        <v>274</v>
      </c>
      <c r="Q54" s="8" t="s">
        <v>275</v>
      </c>
      <c r="R54" s="8" t="s">
        <v>1628</v>
      </c>
      <c r="S54" s="8" t="s">
        <v>247</v>
      </c>
      <c r="T54" s="8" t="s">
        <v>202</v>
      </c>
      <c r="U54" s="8" t="s">
        <v>189</v>
      </c>
      <c r="V54" s="8">
        <v>1</v>
      </c>
      <c r="W54" s="18">
        <v>1</v>
      </c>
      <c r="X54" s="51">
        <v>45868</v>
      </c>
      <c r="Y54" s="51">
        <v>45868</v>
      </c>
      <c r="Z54" s="28">
        <v>14</v>
      </c>
      <c r="AA54" s="16" t="s">
        <v>1700</v>
      </c>
      <c r="AB54" s="8" t="s">
        <v>291</v>
      </c>
      <c r="AC54" s="8" t="s">
        <v>291</v>
      </c>
      <c r="AD54" s="19" t="s">
        <v>137</v>
      </c>
      <c r="AE54" s="19" t="s">
        <v>153</v>
      </c>
      <c r="AF54" s="19" t="s">
        <v>153</v>
      </c>
      <c r="AG54" s="8" t="s">
        <v>292</v>
      </c>
      <c r="AH54" s="51">
        <v>26658</v>
      </c>
      <c r="AI54" s="28">
        <v>53</v>
      </c>
      <c r="AJ54" s="51" t="s">
        <v>1853</v>
      </c>
    </row>
    <row r="55" spans="1:36" ht="12.65" customHeight="1" x14ac:dyDescent="0.35">
      <c r="A55" s="8" t="s">
        <v>139</v>
      </c>
      <c r="B55" s="8" t="s">
        <v>136</v>
      </c>
      <c r="C55" s="8" t="s">
        <v>135</v>
      </c>
      <c r="D55" s="34" t="s">
        <v>913</v>
      </c>
      <c r="E55" s="14" t="s">
        <v>914</v>
      </c>
      <c r="F55" s="14" t="s">
        <v>57</v>
      </c>
      <c r="G55" s="14" t="s">
        <v>1</v>
      </c>
      <c r="H55" s="14" t="s">
        <v>9</v>
      </c>
      <c r="I55" s="34" t="s">
        <v>915</v>
      </c>
      <c r="J55" s="8" t="s">
        <v>916</v>
      </c>
      <c r="K55" s="69" t="s">
        <v>917</v>
      </c>
      <c r="L55" s="8" t="s">
        <v>471</v>
      </c>
      <c r="M55" s="8" t="s">
        <v>490</v>
      </c>
      <c r="N55" s="8" t="s">
        <v>393</v>
      </c>
      <c r="O55" s="8" t="s">
        <v>148</v>
      </c>
      <c r="P55" s="8" t="s">
        <v>279</v>
      </c>
      <c r="Q55" s="8" t="s">
        <v>279</v>
      </c>
      <c r="R55" s="8" t="s">
        <v>225</v>
      </c>
      <c r="S55" s="8" t="s">
        <v>241</v>
      </c>
      <c r="T55" s="8" t="s">
        <v>166</v>
      </c>
      <c r="U55" s="8" t="s">
        <v>183</v>
      </c>
      <c r="V55" s="8">
        <v>1</v>
      </c>
      <c r="W55" s="18">
        <v>0.33333333333333331</v>
      </c>
      <c r="X55" s="51">
        <v>45982</v>
      </c>
      <c r="Y55" s="51">
        <v>45982</v>
      </c>
      <c r="Z55" s="28">
        <v>10</v>
      </c>
      <c r="AA55" s="16" t="s">
        <v>1711</v>
      </c>
      <c r="AB55" s="8" t="s">
        <v>395</v>
      </c>
      <c r="AC55" s="8" t="s">
        <v>395</v>
      </c>
      <c r="AD55" s="8" t="s">
        <v>137</v>
      </c>
      <c r="AE55" s="8">
        <v>3102683341</v>
      </c>
      <c r="AF55" s="8" t="s">
        <v>276</v>
      </c>
      <c r="AG55" s="8" t="s">
        <v>295</v>
      </c>
      <c r="AH55" s="51">
        <v>33891</v>
      </c>
      <c r="AI55" s="28">
        <v>34</v>
      </c>
      <c r="AJ55" s="51" t="s">
        <v>1852</v>
      </c>
    </row>
    <row r="56" spans="1:36" ht="12.65" customHeight="1" x14ac:dyDescent="0.35">
      <c r="A56" s="8" t="s">
        <v>139</v>
      </c>
      <c r="B56" s="8" t="s">
        <v>136</v>
      </c>
      <c r="C56" s="8" t="s">
        <v>135</v>
      </c>
      <c r="D56" s="34" t="s">
        <v>913</v>
      </c>
      <c r="E56" s="14" t="s">
        <v>914</v>
      </c>
      <c r="F56" s="14" t="s">
        <v>57</v>
      </c>
      <c r="G56" s="14" t="s">
        <v>1</v>
      </c>
      <c r="H56" s="14" t="s">
        <v>9</v>
      </c>
      <c r="I56" s="34" t="s">
        <v>918</v>
      </c>
      <c r="J56" s="8" t="s">
        <v>919</v>
      </c>
      <c r="K56" s="69" t="s">
        <v>920</v>
      </c>
      <c r="L56" s="8" t="s">
        <v>471</v>
      </c>
      <c r="M56" s="8" t="s">
        <v>490</v>
      </c>
      <c r="N56" s="8" t="s">
        <v>393</v>
      </c>
      <c r="O56" s="8" t="s">
        <v>148</v>
      </c>
      <c r="P56" s="8" t="s">
        <v>279</v>
      </c>
      <c r="Q56" s="8" t="s">
        <v>279</v>
      </c>
      <c r="R56" s="8" t="s">
        <v>225</v>
      </c>
      <c r="S56" s="8" t="s">
        <v>241</v>
      </c>
      <c r="T56" s="14" t="s">
        <v>166</v>
      </c>
      <c r="U56" s="8" t="s">
        <v>183</v>
      </c>
      <c r="V56" s="8">
        <v>0</v>
      </c>
      <c r="W56" s="18">
        <v>0.33333333333333331</v>
      </c>
      <c r="X56" s="51">
        <v>45982</v>
      </c>
      <c r="Y56" s="51">
        <v>45982</v>
      </c>
      <c r="Z56" s="28">
        <v>10</v>
      </c>
      <c r="AA56" s="16" t="s">
        <v>1711</v>
      </c>
      <c r="AB56" s="8" t="s">
        <v>395</v>
      </c>
      <c r="AC56" s="8" t="s">
        <v>395</v>
      </c>
      <c r="AD56" s="8" t="s">
        <v>137</v>
      </c>
      <c r="AE56" s="8">
        <v>3102683341</v>
      </c>
      <c r="AF56" s="8" t="s">
        <v>276</v>
      </c>
      <c r="AG56" s="8" t="s">
        <v>295</v>
      </c>
      <c r="AH56" s="51">
        <v>33891</v>
      </c>
      <c r="AI56" s="28">
        <v>34</v>
      </c>
      <c r="AJ56" s="51" t="s">
        <v>1852</v>
      </c>
    </row>
    <row r="57" spans="1:36" ht="12.65" customHeight="1" x14ac:dyDescent="0.35">
      <c r="A57" s="8" t="s">
        <v>139</v>
      </c>
      <c r="B57" s="8" t="s">
        <v>136</v>
      </c>
      <c r="C57" s="8" t="s">
        <v>135</v>
      </c>
      <c r="D57" s="34" t="s">
        <v>913</v>
      </c>
      <c r="E57" s="14" t="s">
        <v>914</v>
      </c>
      <c r="F57" s="14" t="s">
        <v>57</v>
      </c>
      <c r="G57" s="14" t="s">
        <v>1</v>
      </c>
      <c r="H57" s="14" t="s">
        <v>9</v>
      </c>
      <c r="I57" s="34" t="s">
        <v>921</v>
      </c>
      <c r="J57" s="8" t="s">
        <v>922</v>
      </c>
      <c r="K57" s="69" t="s">
        <v>923</v>
      </c>
      <c r="L57" s="8" t="s">
        <v>471</v>
      </c>
      <c r="M57" s="8" t="s">
        <v>490</v>
      </c>
      <c r="N57" s="8" t="s">
        <v>393</v>
      </c>
      <c r="O57" s="8" t="s">
        <v>148</v>
      </c>
      <c r="P57" s="8" t="s">
        <v>279</v>
      </c>
      <c r="Q57" s="8" t="s">
        <v>279</v>
      </c>
      <c r="R57" s="8" t="s">
        <v>225</v>
      </c>
      <c r="S57" s="8" t="s">
        <v>241</v>
      </c>
      <c r="T57" s="8" t="s">
        <v>166</v>
      </c>
      <c r="U57" s="8" t="s">
        <v>183</v>
      </c>
      <c r="V57" s="8">
        <v>0</v>
      </c>
      <c r="W57" s="18">
        <v>0.33333333333333331</v>
      </c>
      <c r="X57" s="51">
        <v>45982</v>
      </c>
      <c r="Y57" s="51">
        <v>45982</v>
      </c>
      <c r="Z57" s="28">
        <v>10</v>
      </c>
      <c r="AA57" s="16" t="s">
        <v>1711</v>
      </c>
      <c r="AB57" s="8" t="s">
        <v>395</v>
      </c>
      <c r="AC57" s="8" t="s">
        <v>395</v>
      </c>
      <c r="AD57" s="8" t="s">
        <v>137</v>
      </c>
      <c r="AE57" s="8">
        <v>3102683341</v>
      </c>
      <c r="AF57" s="8" t="s">
        <v>276</v>
      </c>
      <c r="AG57" s="8" t="s">
        <v>295</v>
      </c>
      <c r="AH57" s="51">
        <v>33891</v>
      </c>
      <c r="AI57" s="28">
        <v>34</v>
      </c>
      <c r="AJ57" s="51" t="s">
        <v>1852</v>
      </c>
    </row>
    <row r="58" spans="1:36" ht="12.65" customHeight="1" x14ac:dyDescent="0.35">
      <c r="A58" s="8" t="s">
        <v>139</v>
      </c>
      <c r="B58" s="8" t="s">
        <v>136</v>
      </c>
      <c r="C58" s="8" t="s">
        <v>135</v>
      </c>
      <c r="D58" s="34" t="s">
        <v>1783</v>
      </c>
      <c r="E58" s="14" t="s">
        <v>1899</v>
      </c>
      <c r="F58" s="14" t="s">
        <v>57</v>
      </c>
      <c r="G58" s="14" t="s">
        <v>1</v>
      </c>
      <c r="H58" s="14" t="s">
        <v>9</v>
      </c>
      <c r="I58" s="17" t="s">
        <v>1540</v>
      </c>
      <c r="J58" s="17" t="s">
        <v>1541</v>
      </c>
      <c r="K58" s="15" t="s">
        <v>1718</v>
      </c>
      <c r="L58" s="8" t="s">
        <v>299</v>
      </c>
      <c r="M58" s="8" t="s">
        <v>299</v>
      </c>
      <c r="N58" s="8" t="s">
        <v>306</v>
      </c>
      <c r="O58" s="8" t="s">
        <v>400</v>
      </c>
      <c r="P58" s="8" t="s">
        <v>285</v>
      </c>
      <c r="Q58" s="8" t="s">
        <v>285</v>
      </c>
      <c r="R58" s="8" t="s">
        <v>225</v>
      </c>
      <c r="S58" s="8" t="s">
        <v>237</v>
      </c>
      <c r="T58" s="8" t="s">
        <v>175</v>
      </c>
      <c r="U58" s="8" t="s">
        <v>194</v>
      </c>
      <c r="V58" s="8">
        <v>1</v>
      </c>
      <c r="W58" s="18">
        <v>0.25</v>
      </c>
      <c r="X58" s="51">
        <v>46304</v>
      </c>
      <c r="Y58" s="51">
        <v>46304</v>
      </c>
      <c r="Z58" s="28">
        <v>0</v>
      </c>
      <c r="AA58" s="16" t="s">
        <v>1698</v>
      </c>
      <c r="AB58" s="8" t="s">
        <v>293</v>
      </c>
      <c r="AC58" s="8" t="s">
        <v>293</v>
      </c>
      <c r="AD58" s="8" t="s">
        <v>137</v>
      </c>
      <c r="AE58" s="8" t="s">
        <v>153</v>
      </c>
      <c r="AF58" s="8" t="s">
        <v>153</v>
      </c>
      <c r="AG58" s="8" t="s">
        <v>295</v>
      </c>
      <c r="AH58" s="51" t="s">
        <v>4</v>
      </c>
      <c r="AI58" s="51" t="s">
        <v>4</v>
      </c>
      <c r="AJ58" s="51" t="s">
        <v>4</v>
      </c>
    </row>
    <row r="59" spans="1:36" ht="12.65" customHeight="1" x14ac:dyDescent="0.35">
      <c r="A59" s="8" t="s">
        <v>139</v>
      </c>
      <c r="B59" s="8" t="s">
        <v>136</v>
      </c>
      <c r="C59" s="8" t="s">
        <v>135</v>
      </c>
      <c r="D59" s="34" t="s">
        <v>1783</v>
      </c>
      <c r="E59" s="14" t="s">
        <v>1899</v>
      </c>
      <c r="F59" s="14" t="s">
        <v>57</v>
      </c>
      <c r="G59" s="14" t="s">
        <v>1</v>
      </c>
      <c r="H59" s="14" t="s">
        <v>9</v>
      </c>
      <c r="I59" s="17" t="s">
        <v>1538</v>
      </c>
      <c r="J59" s="17" t="s">
        <v>1539</v>
      </c>
      <c r="K59" s="24" t="s">
        <v>1904</v>
      </c>
      <c r="L59" s="8" t="s">
        <v>299</v>
      </c>
      <c r="M59" s="8" t="s">
        <v>299</v>
      </c>
      <c r="N59" s="8" t="s">
        <v>306</v>
      </c>
      <c r="O59" s="8" t="s">
        <v>404</v>
      </c>
      <c r="P59" s="8" t="s">
        <v>285</v>
      </c>
      <c r="Q59" s="8" t="s">
        <v>285</v>
      </c>
      <c r="R59" s="8" t="s">
        <v>225</v>
      </c>
      <c r="S59" s="8" t="s">
        <v>237</v>
      </c>
      <c r="T59" s="8" t="s">
        <v>175</v>
      </c>
      <c r="U59" s="8" t="s">
        <v>194</v>
      </c>
      <c r="V59" s="8">
        <v>0</v>
      </c>
      <c r="W59" s="18">
        <v>0.25</v>
      </c>
      <c r="X59" s="51">
        <v>46304</v>
      </c>
      <c r="Y59" s="51">
        <v>46304</v>
      </c>
      <c r="Z59" s="28">
        <v>0</v>
      </c>
      <c r="AA59" s="16" t="s">
        <v>1698</v>
      </c>
      <c r="AB59" s="8" t="s">
        <v>395</v>
      </c>
      <c r="AC59" s="8" t="s">
        <v>395</v>
      </c>
      <c r="AD59" s="8" t="s">
        <v>137</v>
      </c>
      <c r="AE59" s="8" t="s">
        <v>153</v>
      </c>
      <c r="AF59" s="8" t="s">
        <v>153</v>
      </c>
      <c r="AG59" s="8" t="s">
        <v>295</v>
      </c>
      <c r="AH59" s="51" t="s">
        <v>4</v>
      </c>
      <c r="AI59" s="51" t="s">
        <v>4</v>
      </c>
      <c r="AJ59" s="51" t="s">
        <v>4</v>
      </c>
    </row>
    <row r="60" spans="1:36" ht="12.65" customHeight="1" x14ac:dyDescent="0.35">
      <c r="A60" s="8" t="s">
        <v>139</v>
      </c>
      <c r="B60" s="8" t="s">
        <v>136</v>
      </c>
      <c r="C60" s="8" t="s">
        <v>135</v>
      </c>
      <c r="D60" s="34" t="s">
        <v>1783</v>
      </c>
      <c r="E60" s="14" t="s">
        <v>1899</v>
      </c>
      <c r="F60" s="14" t="s">
        <v>57</v>
      </c>
      <c r="G60" s="14" t="s">
        <v>1</v>
      </c>
      <c r="H60" s="14" t="s">
        <v>9</v>
      </c>
      <c r="I60" s="14" t="s">
        <v>799</v>
      </c>
      <c r="J60" s="14" t="s">
        <v>800</v>
      </c>
      <c r="K60" s="21" t="s">
        <v>801</v>
      </c>
      <c r="L60" s="8" t="s">
        <v>299</v>
      </c>
      <c r="M60" s="8" t="s">
        <v>299</v>
      </c>
      <c r="N60" s="8" t="s">
        <v>306</v>
      </c>
      <c r="O60" s="8" t="s">
        <v>13</v>
      </c>
      <c r="P60" s="8" t="s">
        <v>285</v>
      </c>
      <c r="Q60" s="8" t="s">
        <v>285</v>
      </c>
      <c r="R60" s="8" t="s">
        <v>225</v>
      </c>
      <c r="S60" s="8" t="s">
        <v>237</v>
      </c>
      <c r="T60" s="8" t="s">
        <v>175</v>
      </c>
      <c r="U60" s="8" t="s">
        <v>194</v>
      </c>
      <c r="V60" s="8">
        <v>0</v>
      </c>
      <c r="W60" s="18">
        <v>0.25</v>
      </c>
      <c r="X60" s="51">
        <v>46304</v>
      </c>
      <c r="Y60" s="51">
        <v>46304</v>
      </c>
      <c r="Z60" s="28">
        <v>0</v>
      </c>
      <c r="AA60" s="16" t="s">
        <v>1698</v>
      </c>
      <c r="AB60" s="8" t="s">
        <v>293</v>
      </c>
      <c r="AC60" s="8" t="s">
        <v>293</v>
      </c>
      <c r="AD60" s="8" t="s">
        <v>137</v>
      </c>
      <c r="AE60" s="8" t="s">
        <v>153</v>
      </c>
      <c r="AF60" s="8" t="s">
        <v>153</v>
      </c>
      <c r="AG60" s="8" t="s">
        <v>295</v>
      </c>
      <c r="AH60" s="51" t="s">
        <v>4</v>
      </c>
      <c r="AI60" s="51" t="s">
        <v>4</v>
      </c>
      <c r="AJ60" s="51" t="s">
        <v>4</v>
      </c>
    </row>
    <row r="61" spans="1:36" ht="12.65" customHeight="1" x14ac:dyDescent="0.35">
      <c r="A61" s="8" t="s">
        <v>139</v>
      </c>
      <c r="B61" s="8" t="s">
        <v>136</v>
      </c>
      <c r="C61" s="8" t="s">
        <v>135</v>
      </c>
      <c r="D61" s="34" t="s">
        <v>1783</v>
      </c>
      <c r="E61" s="14" t="s">
        <v>1899</v>
      </c>
      <c r="F61" s="14" t="s">
        <v>57</v>
      </c>
      <c r="G61" s="14" t="s">
        <v>1</v>
      </c>
      <c r="H61" s="14" t="s">
        <v>9</v>
      </c>
      <c r="I61" s="20" t="s">
        <v>1911</v>
      </c>
      <c r="J61" s="20" t="s">
        <v>1902</v>
      </c>
      <c r="K61" s="69" t="s">
        <v>1903</v>
      </c>
      <c r="L61" s="8" t="s">
        <v>299</v>
      </c>
      <c r="M61" s="8" t="s">
        <v>299</v>
      </c>
      <c r="N61" s="8" t="s">
        <v>306</v>
      </c>
      <c r="O61" s="8" t="s">
        <v>722</v>
      </c>
      <c r="P61" s="8" t="s">
        <v>285</v>
      </c>
      <c r="Q61" s="8" t="s">
        <v>285</v>
      </c>
      <c r="R61" s="8" t="s">
        <v>225</v>
      </c>
      <c r="S61" s="8" t="s">
        <v>237</v>
      </c>
      <c r="T61" s="8" t="s">
        <v>175</v>
      </c>
      <c r="U61" s="8" t="s">
        <v>194</v>
      </c>
      <c r="V61" s="8">
        <v>0</v>
      </c>
      <c r="W61" s="18">
        <v>0.25</v>
      </c>
      <c r="X61" s="51">
        <v>46304</v>
      </c>
      <c r="Y61" s="51">
        <v>46304</v>
      </c>
      <c r="Z61" s="28">
        <v>0</v>
      </c>
      <c r="AA61" s="16" t="s">
        <v>1698</v>
      </c>
      <c r="AB61" s="8" t="s">
        <v>395</v>
      </c>
      <c r="AC61" s="8" t="s">
        <v>395</v>
      </c>
      <c r="AD61" s="8" t="s">
        <v>137</v>
      </c>
      <c r="AE61" s="8" t="s">
        <v>153</v>
      </c>
      <c r="AF61" s="8" t="s">
        <v>153</v>
      </c>
      <c r="AG61" s="8" t="s">
        <v>295</v>
      </c>
      <c r="AH61" s="51" t="s">
        <v>4</v>
      </c>
      <c r="AI61" s="51" t="s">
        <v>4</v>
      </c>
      <c r="AJ61" s="51" t="s">
        <v>4</v>
      </c>
    </row>
    <row r="62" spans="1:36" ht="12.65" customHeight="1" x14ac:dyDescent="0.35">
      <c r="A62" s="8" t="s">
        <v>139</v>
      </c>
      <c r="B62" s="8" t="s">
        <v>136</v>
      </c>
      <c r="C62" s="8" t="s">
        <v>135</v>
      </c>
      <c r="D62" s="34" t="s">
        <v>924</v>
      </c>
      <c r="E62" s="14" t="s">
        <v>925</v>
      </c>
      <c r="F62" s="14" t="s">
        <v>57</v>
      </c>
      <c r="G62" s="14" t="s">
        <v>1</v>
      </c>
      <c r="H62" s="14" t="s">
        <v>9</v>
      </c>
      <c r="I62" s="34" t="s">
        <v>619</v>
      </c>
      <c r="J62" s="8" t="s">
        <v>620</v>
      </c>
      <c r="K62" s="69" t="s">
        <v>621</v>
      </c>
      <c r="L62" s="8" t="s">
        <v>299</v>
      </c>
      <c r="M62" s="8" t="s">
        <v>299</v>
      </c>
      <c r="N62" s="8" t="s">
        <v>306</v>
      </c>
      <c r="O62" s="8" t="s">
        <v>13</v>
      </c>
      <c r="P62" s="8" t="s">
        <v>285</v>
      </c>
      <c r="Q62" s="8" t="s">
        <v>285</v>
      </c>
      <c r="R62" s="8" t="s">
        <v>225</v>
      </c>
      <c r="S62" s="8" t="s">
        <v>237</v>
      </c>
      <c r="T62" s="8" t="s">
        <v>175</v>
      </c>
      <c r="U62" s="8" t="s">
        <v>194</v>
      </c>
      <c r="V62" s="8">
        <v>1</v>
      </c>
      <c r="W62" s="18">
        <v>1</v>
      </c>
      <c r="X62" s="51">
        <v>46092</v>
      </c>
      <c r="Y62" s="51">
        <v>46092</v>
      </c>
      <c r="Z62" s="28">
        <v>7</v>
      </c>
      <c r="AA62" s="16" t="s">
        <v>1710</v>
      </c>
      <c r="AB62" s="8" t="s">
        <v>294</v>
      </c>
      <c r="AC62" s="8" t="s">
        <v>291</v>
      </c>
      <c r="AD62" s="19" t="s">
        <v>137</v>
      </c>
      <c r="AE62" s="19" t="s">
        <v>153</v>
      </c>
      <c r="AF62" s="19" t="s">
        <v>153</v>
      </c>
      <c r="AG62" s="8" t="s">
        <v>292</v>
      </c>
      <c r="AH62" s="51">
        <v>36670</v>
      </c>
      <c r="AI62" s="28">
        <v>26</v>
      </c>
      <c r="AJ62" s="51" t="s">
        <v>1853</v>
      </c>
    </row>
    <row r="63" spans="1:36" ht="12.65" customHeight="1" x14ac:dyDescent="0.35">
      <c r="A63" s="8" t="s">
        <v>139</v>
      </c>
      <c r="B63" s="8" t="s">
        <v>136</v>
      </c>
      <c r="C63" s="8" t="s">
        <v>135</v>
      </c>
      <c r="D63" s="34" t="s">
        <v>926</v>
      </c>
      <c r="E63" s="14" t="s">
        <v>927</v>
      </c>
      <c r="F63" s="14" t="s">
        <v>57</v>
      </c>
      <c r="G63" s="14" t="s">
        <v>1</v>
      </c>
      <c r="H63" s="14" t="s">
        <v>9</v>
      </c>
      <c r="I63" s="34" t="s">
        <v>795</v>
      </c>
      <c r="J63" s="8" t="s">
        <v>928</v>
      </c>
      <c r="K63" s="69" t="s">
        <v>796</v>
      </c>
      <c r="L63" s="8" t="s">
        <v>382</v>
      </c>
      <c r="M63" s="8" t="s">
        <v>382</v>
      </c>
      <c r="N63" s="8" t="s">
        <v>306</v>
      </c>
      <c r="O63" s="8" t="s">
        <v>362</v>
      </c>
      <c r="P63" s="8" t="s">
        <v>363</v>
      </c>
      <c r="Q63" s="8" t="s">
        <v>331</v>
      </c>
      <c r="R63" s="8" t="s">
        <v>222</v>
      </c>
      <c r="S63" s="8" t="s">
        <v>237</v>
      </c>
      <c r="T63" s="8" t="s">
        <v>56</v>
      </c>
      <c r="U63" s="8" t="s">
        <v>192</v>
      </c>
      <c r="V63" s="8">
        <v>1</v>
      </c>
      <c r="W63" s="18">
        <v>1</v>
      </c>
      <c r="X63" s="51">
        <v>45659</v>
      </c>
      <c r="Y63" s="51">
        <v>44466</v>
      </c>
      <c r="Z63" s="28">
        <v>60</v>
      </c>
      <c r="AA63" s="16" t="s">
        <v>1701</v>
      </c>
      <c r="AB63" s="8" t="s">
        <v>293</v>
      </c>
      <c r="AC63" s="8" t="s">
        <v>293</v>
      </c>
      <c r="AD63" s="8" t="s">
        <v>134</v>
      </c>
      <c r="AE63" s="8">
        <v>3102694906</v>
      </c>
      <c r="AF63" s="8" t="s">
        <v>276</v>
      </c>
      <c r="AG63" s="8" t="s">
        <v>295</v>
      </c>
      <c r="AH63" s="51">
        <v>27148</v>
      </c>
      <c r="AI63" s="28">
        <v>52</v>
      </c>
      <c r="AJ63" s="51" t="s">
        <v>1853</v>
      </c>
    </row>
    <row r="64" spans="1:36" ht="12.65" customHeight="1" x14ac:dyDescent="0.35">
      <c r="A64" s="8" t="s">
        <v>139</v>
      </c>
      <c r="B64" s="8" t="s">
        <v>136</v>
      </c>
      <c r="C64" s="8" t="s">
        <v>135</v>
      </c>
      <c r="D64" s="34" t="s">
        <v>929</v>
      </c>
      <c r="E64" s="14" t="s">
        <v>930</v>
      </c>
      <c r="F64" s="14" t="s">
        <v>57</v>
      </c>
      <c r="G64" s="14" t="s">
        <v>1</v>
      </c>
      <c r="H64" s="14" t="s">
        <v>9</v>
      </c>
      <c r="I64" s="34" t="s">
        <v>601</v>
      </c>
      <c r="J64" s="8" t="s">
        <v>931</v>
      </c>
      <c r="K64" s="69" t="s">
        <v>602</v>
      </c>
      <c r="L64" s="8" t="s">
        <v>548</v>
      </c>
      <c r="M64" s="8" t="s">
        <v>548</v>
      </c>
      <c r="N64" s="8" t="s">
        <v>306</v>
      </c>
      <c r="O64" s="8" t="s">
        <v>416</v>
      </c>
      <c r="P64" s="8" t="s">
        <v>417</v>
      </c>
      <c r="Q64" s="8" t="s">
        <v>326</v>
      </c>
      <c r="R64" s="8" t="s">
        <v>234</v>
      </c>
      <c r="S64" s="8" t="s">
        <v>241</v>
      </c>
      <c r="T64" s="8" t="s">
        <v>160</v>
      </c>
      <c r="U64" s="8" t="s">
        <v>186</v>
      </c>
      <c r="V64" s="8">
        <v>1</v>
      </c>
      <c r="W64" s="18">
        <v>1</v>
      </c>
      <c r="X64" s="51">
        <v>45891</v>
      </c>
      <c r="Y64" s="51">
        <v>45891</v>
      </c>
      <c r="Z64" s="28">
        <v>13</v>
      </c>
      <c r="AA64" s="16" t="s">
        <v>1700</v>
      </c>
      <c r="AB64" s="8" t="s">
        <v>294</v>
      </c>
      <c r="AC64" s="8" t="s">
        <v>294</v>
      </c>
      <c r="AD64" s="8" t="s">
        <v>137</v>
      </c>
      <c r="AE64" s="8">
        <v>3102690992</v>
      </c>
      <c r="AF64" s="8" t="s">
        <v>276</v>
      </c>
      <c r="AG64" s="8" t="s">
        <v>292</v>
      </c>
      <c r="AH64" s="51">
        <v>35797</v>
      </c>
      <c r="AI64" s="28">
        <v>28</v>
      </c>
      <c r="AJ64" s="51" t="s">
        <v>1853</v>
      </c>
    </row>
    <row r="65" spans="1:36" ht="12.65" customHeight="1" x14ac:dyDescent="0.35">
      <c r="A65" s="8" t="s">
        <v>139</v>
      </c>
      <c r="B65" s="8" t="s">
        <v>136</v>
      </c>
      <c r="C65" s="8" t="s">
        <v>135</v>
      </c>
      <c r="D65" s="33" t="s">
        <v>1352</v>
      </c>
      <c r="E65" s="14" t="s">
        <v>1353</v>
      </c>
      <c r="F65" s="14" t="s">
        <v>57</v>
      </c>
      <c r="G65" s="14" t="s">
        <v>1</v>
      </c>
      <c r="H65" s="14" t="s">
        <v>9</v>
      </c>
      <c r="I65" s="34" t="s">
        <v>787</v>
      </c>
      <c r="J65" s="8" t="s">
        <v>912</v>
      </c>
      <c r="K65" s="69" t="s">
        <v>788</v>
      </c>
      <c r="L65" s="8" t="s">
        <v>410</v>
      </c>
      <c r="M65" s="8" t="s">
        <v>410</v>
      </c>
      <c r="N65" s="8" t="s">
        <v>306</v>
      </c>
      <c r="O65" s="8" t="s">
        <v>296</v>
      </c>
      <c r="P65" s="8" t="s">
        <v>274</v>
      </c>
      <c r="Q65" s="8" t="s">
        <v>275</v>
      </c>
      <c r="R65" s="8" t="s">
        <v>231</v>
      </c>
      <c r="S65" s="8" t="s">
        <v>247</v>
      </c>
      <c r="T65" s="8" t="s">
        <v>255</v>
      </c>
      <c r="U65" s="8" t="s">
        <v>54</v>
      </c>
      <c r="V65" s="8">
        <v>1</v>
      </c>
      <c r="W65" s="18">
        <v>1</v>
      </c>
      <c r="X65" s="54">
        <v>45947</v>
      </c>
      <c r="Y65" s="54">
        <v>45947</v>
      </c>
      <c r="Z65" s="28">
        <v>11</v>
      </c>
      <c r="AA65" s="16" t="s">
        <v>1711</v>
      </c>
      <c r="AB65" s="8" t="s">
        <v>291</v>
      </c>
      <c r="AC65" s="8" t="s">
        <v>291</v>
      </c>
      <c r="AD65" s="54" t="s">
        <v>137</v>
      </c>
      <c r="AE65" s="41">
        <v>3102615067</v>
      </c>
      <c r="AF65" s="54" t="s">
        <v>276</v>
      </c>
      <c r="AG65" s="8" t="s">
        <v>292</v>
      </c>
      <c r="AH65" s="51">
        <v>35065</v>
      </c>
      <c r="AI65" s="28">
        <v>30</v>
      </c>
      <c r="AJ65" s="51" t="s">
        <v>1853</v>
      </c>
    </row>
    <row r="66" spans="1:36" ht="12.65" customHeight="1" x14ac:dyDescent="0.35">
      <c r="A66" s="8" t="s">
        <v>139</v>
      </c>
      <c r="B66" s="8" t="s">
        <v>136</v>
      </c>
      <c r="C66" s="8" t="s">
        <v>135</v>
      </c>
      <c r="D66" s="35" t="s">
        <v>1678</v>
      </c>
      <c r="E66" s="14" t="s">
        <v>1679</v>
      </c>
      <c r="F66" s="14" t="s">
        <v>61</v>
      </c>
      <c r="G66" s="14" t="s">
        <v>1</v>
      </c>
      <c r="H66" s="14" t="s">
        <v>9</v>
      </c>
      <c r="I66" s="34" t="s">
        <v>318</v>
      </c>
      <c r="J66" s="8" t="s">
        <v>104</v>
      </c>
      <c r="K66" s="69" t="s">
        <v>319</v>
      </c>
      <c r="L66" s="8" t="s">
        <v>75</v>
      </c>
      <c r="M66" s="8" t="s">
        <v>75</v>
      </c>
      <c r="N66" s="8" t="s">
        <v>306</v>
      </c>
      <c r="O66" s="8" t="s">
        <v>11</v>
      </c>
      <c r="P66" s="8" t="s">
        <v>274</v>
      </c>
      <c r="Q66" s="8" t="s">
        <v>275</v>
      </c>
      <c r="R66" s="8" t="s">
        <v>1628</v>
      </c>
      <c r="S66" s="8" t="s">
        <v>247</v>
      </c>
      <c r="T66" s="8" t="s">
        <v>202</v>
      </c>
      <c r="U66" s="8" t="s">
        <v>189</v>
      </c>
      <c r="V66" s="8">
        <v>1</v>
      </c>
      <c r="W66" s="18">
        <v>1</v>
      </c>
      <c r="X66" s="51">
        <v>46155</v>
      </c>
      <c r="Y66" s="51">
        <v>46155</v>
      </c>
      <c r="Z66" s="28">
        <v>5</v>
      </c>
      <c r="AA66" s="16" t="s">
        <v>1699</v>
      </c>
      <c r="AB66" s="8" t="s">
        <v>291</v>
      </c>
      <c r="AC66" s="8" t="s">
        <v>291</v>
      </c>
      <c r="AD66" s="19" t="s">
        <v>137</v>
      </c>
      <c r="AE66" s="19" t="s">
        <v>153</v>
      </c>
      <c r="AF66" s="19" t="s">
        <v>153</v>
      </c>
      <c r="AG66" s="8" t="s">
        <v>292</v>
      </c>
      <c r="AH66" s="51">
        <v>33748</v>
      </c>
      <c r="AI66" s="28">
        <v>34</v>
      </c>
      <c r="AJ66" s="51" t="s">
        <v>1853</v>
      </c>
    </row>
    <row r="67" spans="1:36" ht="12.65" customHeight="1" x14ac:dyDescent="0.35">
      <c r="A67" s="8" t="s">
        <v>139</v>
      </c>
      <c r="B67" s="8" t="s">
        <v>136</v>
      </c>
      <c r="C67" s="8" t="s">
        <v>135</v>
      </c>
      <c r="D67" s="34" t="s">
        <v>936</v>
      </c>
      <c r="E67" s="14" t="s">
        <v>937</v>
      </c>
      <c r="F67" s="14" t="s">
        <v>57</v>
      </c>
      <c r="G67" s="14" t="s">
        <v>1</v>
      </c>
      <c r="H67" s="14" t="s">
        <v>9</v>
      </c>
      <c r="I67" s="34" t="s">
        <v>848</v>
      </c>
      <c r="J67" s="8" t="s">
        <v>100</v>
      </c>
      <c r="K67" s="69" t="s">
        <v>849</v>
      </c>
      <c r="L67" s="8" t="s">
        <v>75</v>
      </c>
      <c r="M67" s="8" t="s">
        <v>75</v>
      </c>
      <c r="N67" s="8" t="s">
        <v>306</v>
      </c>
      <c r="O67" s="8" t="s">
        <v>23</v>
      </c>
      <c r="P67" s="8" t="s">
        <v>419</v>
      </c>
      <c r="Q67" s="8" t="s">
        <v>326</v>
      </c>
      <c r="R67" s="8" t="s">
        <v>234</v>
      </c>
      <c r="S67" s="8" t="s">
        <v>241</v>
      </c>
      <c r="T67" s="14" t="s">
        <v>169</v>
      </c>
      <c r="U67" s="8" t="s">
        <v>189</v>
      </c>
      <c r="V67" s="8">
        <v>1</v>
      </c>
      <c r="W67" s="18">
        <v>1</v>
      </c>
      <c r="X67" s="51">
        <v>45659</v>
      </c>
      <c r="Y67" s="51">
        <v>44824</v>
      </c>
      <c r="Z67" s="28">
        <v>48</v>
      </c>
      <c r="AA67" s="16" t="s">
        <v>1701</v>
      </c>
      <c r="AB67" s="8" t="s">
        <v>395</v>
      </c>
      <c r="AC67" s="8" t="s">
        <v>294</v>
      </c>
      <c r="AD67" s="8" t="s">
        <v>134</v>
      </c>
      <c r="AE67" s="8">
        <v>3102693093</v>
      </c>
      <c r="AF67" s="8" t="s">
        <v>276</v>
      </c>
      <c r="AG67" s="8" t="s">
        <v>292</v>
      </c>
      <c r="AH67" s="51">
        <v>33021</v>
      </c>
      <c r="AI67" s="28">
        <v>36</v>
      </c>
      <c r="AJ67" s="51" t="s">
        <v>1853</v>
      </c>
    </row>
    <row r="68" spans="1:36" ht="12.65" customHeight="1" x14ac:dyDescent="0.35">
      <c r="A68" s="8" t="s">
        <v>139</v>
      </c>
      <c r="B68" s="8" t="s">
        <v>136</v>
      </c>
      <c r="C68" s="8" t="s">
        <v>135</v>
      </c>
      <c r="D68" s="34" t="s">
        <v>938</v>
      </c>
      <c r="E68" s="14" t="s">
        <v>939</v>
      </c>
      <c r="F68" s="14" t="s">
        <v>57</v>
      </c>
      <c r="G68" s="14" t="s">
        <v>1</v>
      </c>
      <c r="H68" s="14" t="s">
        <v>9</v>
      </c>
      <c r="I68" s="34" t="s">
        <v>465</v>
      </c>
      <c r="J68" s="8" t="s">
        <v>466</v>
      </c>
      <c r="K68" s="69" t="s">
        <v>467</v>
      </c>
      <c r="L68" s="8" t="s">
        <v>299</v>
      </c>
      <c r="M68" s="8" t="s">
        <v>299</v>
      </c>
      <c r="N68" s="8" t="s">
        <v>306</v>
      </c>
      <c r="O68" s="8" t="s">
        <v>151</v>
      </c>
      <c r="P68" s="8" t="s">
        <v>289</v>
      </c>
      <c r="Q68" s="8" t="s">
        <v>331</v>
      </c>
      <c r="R68" s="8" t="s">
        <v>222</v>
      </c>
      <c r="S68" s="8" t="s">
        <v>237</v>
      </c>
      <c r="T68" s="8" t="s">
        <v>56</v>
      </c>
      <c r="U68" s="8" t="s">
        <v>194</v>
      </c>
      <c r="V68" s="8">
        <v>1</v>
      </c>
      <c r="W68" s="18">
        <v>1</v>
      </c>
      <c r="X68" s="51">
        <v>45659</v>
      </c>
      <c r="Y68" s="51">
        <v>45442</v>
      </c>
      <c r="Z68" s="28">
        <v>28</v>
      </c>
      <c r="AA68" s="16" t="s">
        <v>1701</v>
      </c>
      <c r="AB68" s="8" t="s">
        <v>294</v>
      </c>
      <c r="AC68" s="8" t="s">
        <v>294</v>
      </c>
      <c r="AD68" s="8" t="s">
        <v>134</v>
      </c>
      <c r="AE68" s="8">
        <v>3102624137</v>
      </c>
      <c r="AF68" s="8" t="s">
        <v>276</v>
      </c>
      <c r="AG68" s="8" t="s">
        <v>292</v>
      </c>
      <c r="AH68" s="51">
        <v>33570</v>
      </c>
      <c r="AI68" s="28">
        <v>34</v>
      </c>
      <c r="AJ68" s="51" t="s">
        <v>1853</v>
      </c>
    </row>
    <row r="69" spans="1:36" ht="12.65" customHeight="1" x14ac:dyDescent="0.35">
      <c r="A69" s="8" t="s">
        <v>139</v>
      </c>
      <c r="B69" s="8" t="s">
        <v>136</v>
      </c>
      <c r="C69" s="8" t="s">
        <v>135</v>
      </c>
      <c r="D69" s="34" t="s">
        <v>940</v>
      </c>
      <c r="E69" s="14" t="s">
        <v>941</v>
      </c>
      <c r="F69" s="14" t="s">
        <v>57</v>
      </c>
      <c r="G69" s="14" t="s">
        <v>1</v>
      </c>
      <c r="H69" s="14" t="s">
        <v>9</v>
      </c>
      <c r="I69" s="34" t="s">
        <v>368</v>
      </c>
      <c r="J69" s="8" t="s">
        <v>102</v>
      </c>
      <c r="K69" s="69" t="s">
        <v>369</v>
      </c>
      <c r="L69" s="8" t="s">
        <v>75</v>
      </c>
      <c r="M69" s="8" t="s">
        <v>75</v>
      </c>
      <c r="N69" s="8" t="s">
        <v>306</v>
      </c>
      <c r="O69" s="8" t="s">
        <v>29</v>
      </c>
      <c r="P69" s="8" t="s">
        <v>277</v>
      </c>
      <c r="Q69" s="8" t="s">
        <v>278</v>
      </c>
      <c r="R69" s="8" t="s">
        <v>231</v>
      </c>
      <c r="S69" s="8" t="s">
        <v>247</v>
      </c>
      <c r="T69" s="8" t="s">
        <v>211</v>
      </c>
      <c r="U69" s="8" t="s">
        <v>189</v>
      </c>
      <c r="V69" s="8">
        <v>1</v>
      </c>
      <c r="W69" s="18">
        <v>1</v>
      </c>
      <c r="X69" s="51">
        <v>45681</v>
      </c>
      <c r="Y69" s="51">
        <v>45681</v>
      </c>
      <c r="Z69" s="28">
        <v>20</v>
      </c>
      <c r="AA69" s="16" t="s">
        <v>1700</v>
      </c>
      <c r="AB69" s="8" t="s">
        <v>291</v>
      </c>
      <c r="AC69" s="8" t="s">
        <v>291</v>
      </c>
      <c r="AD69" s="8" t="s">
        <v>137</v>
      </c>
      <c r="AE69" s="8">
        <v>3102657767</v>
      </c>
      <c r="AF69" s="8" t="s">
        <v>276</v>
      </c>
      <c r="AG69" s="8" t="s">
        <v>292</v>
      </c>
      <c r="AH69" s="51">
        <v>38052</v>
      </c>
      <c r="AI69" s="28">
        <v>22</v>
      </c>
      <c r="AJ69" s="51" t="s">
        <v>1852</v>
      </c>
    </row>
    <row r="70" spans="1:36" ht="12.65" customHeight="1" x14ac:dyDescent="0.35">
      <c r="A70" s="8" t="s">
        <v>139</v>
      </c>
      <c r="B70" s="8" t="s">
        <v>136</v>
      </c>
      <c r="C70" s="8" t="s">
        <v>135</v>
      </c>
      <c r="D70" s="33" t="s">
        <v>942</v>
      </c>
      <c r="E70" s="14" t="s">
        <v>943</v>
      </c>
      <c r="F70" s="14" t="s">
        <v>59</v>
      </c>
      <c r="G70" s="14" t="s">
        <v>1</v>
      </c>
      <c r="H70" s="14" t="s">
        <v>9</v>
      </c>
      <c r="I70" s="34" t="s">
        <v>944</v>
      </c>
      <c r="J70" s="8" t="s">
        <v>945</v>
      </c>
      <c r="K70" s="69" t="s">
        <v>946</v>
      </c>
      <c r="L70" s="8" t="s">
        <v>410</v>
      </c>
      <c r="M70" s="8" t="s">
        <v>410</v>
      </c>
      <c r="N70" s="8" t="s">
        <v>306</v>
      </c>
      <c r="O70" s="8" t="s">
        <v>769</v>
      </c>
      <c r="P70" s="8" t="s">
        <v>346</v>
      </c>
      <c r="Q70" s="8" t="s">
        <v>275</v>
      </c>
      <c r="R70" s="8" t="s">
        <v>231</v>
      </c>
      <c r="S70" s="8" t="s">
        <v>247</v>
      </c>
      <c r="T70" s="8" t="s">
        <v>211</v>
      </c>
      <c r="U70" s="8" t="s">
        <v>54</v>
      </c>
      <c r="V70" s="8">
        <v>1</v>
      </c>
      <c r="W70" s="18">
        <v>1</v>
      </c>
      <c r="X70" s="51">
        <v>45659</v>
      </c>
      <c r="Y70" s="51">
        <v>44411</v>
      </c>
      <c r="Z70" s="28">
        <v>62</v>
      </c>
      <c r="AA70" s="16" t="s">
        <v>1701</v>
      </c>
      <c r="AB70" s="8" t="s">
        <v>291</v>
      </c>
      <c r="AC70" s="8" t="s">
        <v>294</v>
      </c>
      <c r="AD70" s="19" t="s">
        <v>134</v>
      </c>
      <c r="AE70" s="19">
        <v>3102630516</v>
      </c>
      <c r="AF70" s="19" t="s">
        <v>276</v>
      </c>
      <c r="AG70" s="8" t="s">
        <v>292</v>
      </c>
      <c r="AH70" s="51">
        <v>35983</v>
      </c>
      <c r="AI70" s="28">
        <v>28</v>
      </c>
      <c r="AJ70" s="51" t="s">
        <v>1853</v>
      </c>
    </row>
    <row r="71" spans="1:36" ht="12.65" customHeight="1" x14ac:dyDescent="0.35">
      <c r="A71" s="8" t="s">
        <v>139</v>
      </c>
      <c r="B71" s="8" t="s">
        <v>136</v>
      </c>
      <c r="C71" s="8" t="s">
        <v>135</v>
      </c>
      <c r="D71" s="34" t="s">
        <v>947</v>
      </c>
      <c r="E71" s="14" t="s">
        <v>948</v>
      </c>
      <c r="F71" s="14" t="s">
        <v>57</v>
      </c>
      <c r="G71" s="14" t="s">
        <v>1</v>
      </c>
      <c r="H71" s="14" t="s">
        <v>9</v>
      </c>
      <c r="I71" s="34" t="s">
        <v>557</v>
      </c>
      <c r="J71" s="8" t="s">
        <v>558</v>
      </c>
      <c r="K71" s="69" t="s">
        <v>559</v>
      </c>
      <c r="L71" s="8" t="s">
        <v>471</v>
      </c>
      <c r="M71" s="8" t="s">
        <v>560</v>
      </c>
      <c r="N71" s="8" t="s">
        <v>393</v>
      </c>
      <c r="O71" s="8" t="s">
        <v>148</v>
      </c>
      <c r="P71" s="8" t="s">
        <v>279</v>
      </c>
      <c r="Q71" s="8" t="s">
        <v>279</v>
      </c>
      <c r="R71" s="8" t="s">
        <v>225</v>
      </c>
      <c r="S71" s="8" t="s">
        <v>241</v>
      </c>
      <c r="T71" s="8" t="s">
        <v>166</v>
      </c>
      <c r="U71" s="8" t="s">
        <v>183</v>
      </c>
      <c r="V71" s="8">
        <v>1</v>
      </c>
      <c r="W71" s="18">
        <v>0.33333333333333331</v>
      </c>
      <c r="X71" s="51">
        <v>45709</v>
      </c>
      <c r="Y71" s="51">
        <v>45709</v>
      </c>
      <c r="Z71" s="28">
        <v>19</v>
      </c>
      <c r="AA71" s="16" t="s">
        <v>1700</v>
      </c>
      <c r="AB71" s="8" t="s">
        <v>395</v>
      </c>
      <c r="AC71" s="8" t="s">
        <v>395</v>
      </c>
      <c r="AD71" s="8" t="s">
        <v>134</v>
      </c>
      <c r="AE71" s="8">
        <v>3102690727</v>
      </c>
      <c r="AF71" s="8" t="s">
        <v>276</v>
      </c>
      <c r="AG71" s="8" t="s">
        <v>295</v>
      </c>
      <c r="AH71" s="51">
        <v>37348</v>
      </c>
      <c r="AI71" s="28">
        <v>24</v>
      </c>
      <c r="AJ71" s="51" t="s">
        <v>1853</v>
      </c>
    </row>
    <row r="72" spans="1:36" ht="12.65" customHeight="1" x14ac:dyDescent="0.35">
      <c r="A72" s="8" t="s">
        <v>139</v>
      </c>
      <c r="B72" s="8" t="s">
        <v>136</v>
      </c>
      <c r="C72" s="8" t="s">
        <v>135</v>
      </c>
      <c r="D72" s="35" t="s">
        <v>947</v>
      </c>
      <c r="E72" s="14" t="s">
        <v>948</v>
      </c>
      <c r="F72" s="14" t="s">
        <v>57</v>
      </c>
      <c r="G72" s="14" t="s">
        <v>1</v>
      </c>
      <c r="H72" s="14" t="s">
        <v>9</v>
      </c>
      <c r="I72" s="34" t="s">
        <v>561</v>
      </c>
      <c r="J72" s="8" t="s">
        <v>562</v>
      </c>
      <c r="K72" s="69" t="s">
        <v>563</v>
      </c>
      <c r="L72" s="8" t="s">
        <v>471</v>
      </c>
      <c r="M72" s="8" t="s">
        <v>560</v>
      </c>
      <c r="N72" s="8" t="s">
        <v>393</v>
      </c>
      <c r="O72" s="8" t="s">
        <v>148</v>
      </c>
      <c r="P72" s="8" t="s">
        <v>279</v>
      </c>
      <c r="Q72" s="8" t="s">
        <v>279</v>
      </c>
      <c r="R72" s="8" t="s">
        <v>225</v>
      </c>
      <c r="S72" s="8" t="s">
        <v>241</v>
      </c>
      <c r="T72" s="8" t="s">
        <v>166</v>
      </c>
      <c r="U72" s="8" t="s">
        <v>183</v>
      </c>
      <c r="V72" s="8">
        <v>0</v>
      </c>
      <c r="W72" s="18">
        <v>0.33333333333333331</v>
      </c>
      <c r="X72" s="51">
        <v>45709</v>
      </c>
      <c r="Y72" s="51">
        <v>45709</v>
      </c>
      <c r="Z72" s="28">
        <v>19</v>
      </c>
      <c r="AA72" s="16" t="s">
        <v>1700</v>
      </c>
      <c r="AB72" s="8" t="s">
        <v>395</v>
      </c>
      <c r="AC72" s="8" t="s">
        <v>395</v>
      </c>
      <c r="AD72" s="8" t="s">
        <v>134</v>
      </c>
      <c r="AE72" s="8">
        <v>3102690727</v>
      </c>
      <c r="AF72" s="8" t="s">
        <v>276</v>
      </c>
      <c r="AG72" s="8" t="s">
        <v>295</v>
      </c>
      <c r="AH72" s="51">
        <v>37348</v>
      </c>
      <c r="AI72" s="28">
        <v>24</v>
      </c>
      <c r="AJ72" s="51" t="s">
        <v>1853</v>
      </c>
    </row>
    <row r="73" spans="1:36" ht="12.65" customHeight="1" x14ac:dyDescent="0.35">
      <c r="A73" s="8" t="s">
        <v>139</v>
      </c>
      <c r="B73" s="8" t="s">
        <v>136</v>
      </c>
      <c r="C73" s="8" t="s">
        <v>135</v>
      </c>
      <c r="D73" s="35" t="s">
        <v>947</v>
      </c>
      <c r="E73" s="14" t="s">
        <v>948</v>
      </c>
      <c r="F73" s="14" t="s">
        <v>57</v>
      </c>
      <c r="G73" s="14" t="s">
        <v>1</v>
      </c>
      <c r="H73" s="14" t="s">
        <v>9</v>
      </c>
      <c r="I73" s="34" t="s">
        <v>564</v>
      </c>
      <c r="J73" s="8" t="s">
        <v>565</v>
      </c>
      <c r="K73" s="69" t="s">
        <v>566</v>
      </c>
      <c r="L73" s="8" t="s">
        <v>471</v>
      </c>
      <c r="M73" s="8" t="s">
        <v>560</v>
      </c>
      <c r="N73" s="8" t="s">
        <v>393</v>
      </c>
      <c r="O73" s="8" t="s">
        <v>148</v>
      </c>
      <c r="P73" s="8" t="s">
        <v>279</v>
      </c>
      <c r="Q73" s="8" t="s">
        <v>279</v>
      </c>
      <c r="R73" s="8" t="s">
        <v>225</v>
      </c>
      <c r="S73" s="8" t="s">
        <v>241</v>
      </c>
      <c r="T73" s="8" t="s">
        <v>166</v>
      </c>
      <c r="U73" s="8" t="s">
        <v>183</v>
      </c>
      <c r="V73" s="8">
        <v>0</v>
      </c>
      <c r="W73" s="18">
        <v>0.33333333333333331</v>
      </c>
      <c r="X73" s="51">
        <v>45709</v>
      </c>
      <c r="Y73" s="53">
        <v>45709</v>
      </c>
      <c r="Z73" s="28">
        <v>19</v>
      </c>
      <c r="AA73" s="16" t="s">
        <v>1700</v>
      </c>
      <c r="AB73" s="8" t="s">
        <v>395</v>
      </c>
      <c r="AC73" s="8" t="s">
        <v>395</v>
      </c>
      <c r="AD73" s="14" t="s">
        <v>134</v>
      </c>
      <c r="AE73" s="14">
        <v>3102690727</v>
      </c>
      <c r="AF73" s="14" t="s">
        <v>276</v>
      </c>
      <c r="AG73" s="8" t="s">
        <v>295</v>
      </c>
      <c r="AH73" s="51">
        <v>37348</v>
      </c>
      <c r="AI73" s="28">
        <v>24</v>
      </c>
      <c r="AJ73" s="51" t="s">
        <v>1853</v>
      </c>
    </row>
    <row r="74" spans="1:36" ht="12.65" customHeight="1" x14ac:dyDescent="0.35">
      <c r="A74" s="8" t="s">
        <v>139</v>
      </c>
      <c r="B74" s="8" t="s">
        <v>136</v>
      </c>
      <c r="C74" s="8" t="s">
        <v>135</v>
      </c>
      <c r="D74" s="35" t="s">
        <v>951</v>
      </c>
      <c r="E74" s="14" t="s">
        <v>952</v>
      </c>
      <c r="F74" s="14" t="s">
        <v>57</v>
      </c>
      <c r="G74" s="14" t="s">
        <v>1</v>
      </c>
      <c r="H74" s="14" t="s">
        <v>9</v>
      </c>
      <c r="I74" s="34" t="s">
        <v>737</v>
      </c>
      <c r="J74" s="8" t="s">
        <v>905</v>
      </c>
      <c r="K74" s="69" t="s">
        <v>738</v>
      </c>
      <c r="L74" s="8" t="s">
        <v>442</v>
      </c>
      <c r="M74" s="8" t="s">
        <v>598</v>
      </c>
      <c r="N74" s="8" t="s">
        <v>393</v>
      </c>
      <c r="O74" s="8" t="s">
        <v>150</v>
      </c>
      <c r="P74" s="8" t="s">
        <v>280</v>
      </c>
      <c r="Q74" s="8" t="s">
        <v>281</v>
      </c>
      <c r="R74" s="8" t="s">
        <v>222</v>
      </c>
      <c r="S74" s="8" t="s">
        <v>237</v>
      </c>
      <c r="T74" s="8" t="s">
        <v>51</v>
      </c>
      <c r="U74" s="8" t="s">
        <v>183</v>
      </c>
      <c r="V74" s="8">
        <v>1</v>
      </c>
      <c r="W74" s="18">
        <v>0.5</v>
      </c>
      <c r="X74" s="54">
        <v>45659</v>
      </c>
      <c r="Y74" s="54">
        <v>43020</v>
      </c>
      <c r="Z74" s="28">
        <v>108</v>
      </c>
      <c r="AA74" s="16" t="s">
        <v>1701</v>
      </c>
      <c r="AB74" s="8" t="s">
        <v>291</v>
      </c>
      <c r="AC74" s="8" t="s">
        <v>291</v>
      </c>
      <c r="AD74" s="20" t="s">
        <v>134</v>
      </c>
      <c r="AE74" s="8">
        <v>3102682296</v>
      </c>
      <c r="AF74" s="8" t="s">
        <v>276</v>
      </c>
      <c r="AG74" s="8" t="s">
        <v>292</v>
      </c>
      <c r="AH74" s="51">
        <v>32259</v>
      </c>
      <c r="AI74" s="28">
        <v>38</v>
      </c>
      <c r="AJ74" s="51" t="s">
        <v>1853</v>
      </c>
    </row>
    <row r="75" spans="1:36" ht="12.65" customHeight="1" x14ac:dyDescent="0.35">
      <c r="A75" s="8" t="s">
        <v>139</v>
      </c>
      <c r="B75" s="8" t="s">
        <v>136</v>
      </c>
      <c r="C75" s="8" t="s">
        <v>135</v>
      </c>
      <c r="D75" s="34" t="s">
        <v>951</v>
      </c>
      <c r="E75" s="14" t="s">
        <v>952</v>
      </c>
      <c r="F75" s="14" t="s">
        <v>57</v>
      </c>
      <c r="G75" s="14" t="s">
        <v>1</v>
      </c>
      <c r="H75" s="14" t="s">
        <v>9</v>
      </c>
      <c r="I75" s="34" t="s">
        <v>595</v>
      </c>
      <c r="J75" s="8" t="s">
        <v>596</v>
      </c>
      <c r="K75" s="69" t="s">
        <v>597</v>
      </c>
      <c r="L75" s="8" t="s">
        <v>442</v>
      </c>
      <c r="M75" s="8" t="s">
        <v>598</v>
      </c>
      <c r="N75" s="8" t="s">
        <v>393</v>
      </c>
      <c r="O75" s="8" t="s">
        <v>150</v>
      </c>
      <c r="P75" s="8" t="s">
        <v>280</v>
      </c>
      <c r="Q75" s="8" t="s">
        <v>281</v>
      </c>
      <c r="R75" s="8" t="s">
        <v>222</v>
      </c>
      <c r="S75" s="8" t="s">
        <v>237</v>
      </c>
      <c r="T75" s="8" t="s">
        <v>51</v>
      </c>
      <c r="U75" s="8" t="s">
        <v>183</v>
      </c>
      <c r="V75" s="8">
        <v>0</v>
      </c>
      <c r="W75" s="18">
        <v>0.5</v>
      </c>
      <c r="X75" s="51">
        <v>45659</v>
      </c>
      <c r="Y75" s="51">
        <v>43020</v>
      </c>
      <c r="Z75" s="28">
        <v>108</v>
      </c>
      <c r="AA75" s="16" t="s">
        <v>1701</v>
      </c>
      <c r="AB75" s="8" t="s">
        <v>294</v>
      </c>
      <c r="AC75" s="8" t="s">
        <v>294</v>
      </c>
      <c r="AD75" s="8" t="s">
        <v>134</v>
      </c>
      <c r="AE75" s="8">
        <v>3102682296</v>
      </c>
      <c r="AF75" s="8" t="s">
        <v>276</v>
      </c>
      <c r="AG75" s="8" t="s">
        <v>292</v>
      </c>
      <c r="AH75" s="51">
        <v>32259</v>
      </c>
      <c r="AI75" s="28">
        <v>38</v>
      </c>
      <c r="AJ75" s="51" t="s">
        <v>1853</v>
      </c>
    </row>
    <row r="76" spans="1:36" ht="12.65" customHeight="1" x14ac:dyDescent="0.35">
      <c r="A76" s="8" t="s">
        <v>139</v>
      </c>
      <c r="B76" s="8" t="s">
        <v>136</v>
      </c>
      <c r="C76" s="8" t="s">
        <v>135</v>
      </c>
      <c r="D76" s="35" t="s">
        <v>1121</v>
      </c>
      <c r="E76" s="33" t="s">
        <v>1122</v>
      </c>
      <c r="F76" s="14" t="s">
        <v>57</v>
      </c>
      <c r="G76" s="14" t="s">
        <v>1</v>
      </c>
      <c r="H76" s="14" t="s">
        <v>9</v>
      </c>
      <c r="I76" s="34" t="s">
        <v>843</v>
      </c>
      <c r="J76" s="8" t="s">
        <v>953</v>
      </c>
      <c r="K76" s="69" t="s">
        <v>844</v>
      </c>
      <c r="L76" s="8" t="s">
        <v>382</v>
      </c>
      <c r="M76" s="8" t="s">
        <v>382</v>
      </c>
      <c r="N76" s="8" t="s">
        <v>306</v>
      </c>
      <c r="O76" s="8" t="s">
        <v>36</v>
      </c>
      <c r="P76" s="8" t="s">
        <v>282</v>
      </c>
      <c r="Q76" s="8" t="s">
        <v>543</v>
      </c>
      <c r="R76" s="8" t="s">
        <v>222</v>
      </c>
      <c r="S76" s="8" t="s">
        <v>237</v>
      </c>
      <c r="T76" s="8" t="s">
        <v>199</v>
      </c>
      <c r="U76" s="8" t="s">
        <v>192</v>
      </c>
      <c r="V76" s="8">
        <v>1</v>
      </c>
      <c r="W76" s="18">
        <v>1</v>
      </c>
      <c r="X76" s="51">
        <v>46003</v>
      </c>
      <c r="Y76" s="51">
        <v>46003</v>
      </c>
      <c r="Z76" s="28">
        <v>10</v>
      </c>
      <c r="AA76" s="16" t="s">
        <v>1711</v>
      </c>
      <c r="AB76" s="8" t="s">
        <v>294</v>
      </c>
      <c r="AC76" s="8" t="s">
        <v>293</v>
      </c>
      <c r="AD76" s="19" t="s">
        <v>137</v>
      </c>
      <c r="AE76" s="19" t="s">
        <v>153</v>
      </c>
      <c r="AF76" s="19" t="s">
        <v>153</v>
      </c>
      <c r="AG76" s="8" t="s">
        <v>295</v>
      </c>
      <c r="AH76" s="51">
        <v>32225</v>
      </c>
      <c r="AI76" s="28">
        <v>38</v>
      </c>
      <c r="AJ76" s="51" t="s">
        <v>1852</v>
      </c>
    </row>
    <row r="77" spans="1:36" ht="12.65" customHeight="1" x14ac:dyDescent="0.35">
      <c r="A77" s="8" t="s">
        <v>139</v>
      </c>
      <c r="B77" s="8" t="s">
        <v>136</v>
      </c>
      <c r="C77" s="8" t="s">
        <v>135</v>
      </c>
      <c r="D77" s="33" t="s">
        <v>954</v>
      </c>
      <c r="E77" s="14" t="s">
        <v>955</v>
      </c>
      <c r="F77" s="14" t="s">
        <v>57</v>
      </c>
      <c r="G77" s="14" t="s">
        <v>1</v>
      </c>
      <c r="H77" s="14" t="s">
        <v>9</v>
      </c>
      <c r="I77" s="34" t="s">
        <v>662</v>
      </c>
      <c r="J77" s="8" t="s">
        <v>663</v>
      </c>
      <c r="K77" s="69" t="s">
        <v>664</v>
      </c>
      <c r="L77" s="8" t="s">
        <v>442</v>
      </c>
      <c r="M77" s="8" t="s">
        <v>661</v>
      </c>
      <c r="N77" s="8" t="s">
        <v>393</v>
      </c>
      <c r="O77" s="8" t="s">
        <v>149</v>
      </c>
      <c r="P77" s="8" t="s">
        <v>286</v>
      </c>
      <c r="Q77" s="8" t="s">
        <v>865</v>
      </c>
      <c r="R77" s="8" t="s">
        <v>1628</v>
      </c>
      <c r="S77" s="8" t="s">
        <v>247</v>
      </c>
      <c r="T77" s="8" t="s">
        <v>157</v>
      </c>
      <c r="U77" s="8" t="s">
        <v>183</v>
      </c>
      <c r="V77" s="8">
        <v>1</v>
      </c>
      <c r="W77" s="18">
        <v>0.5</v>
      </c>
      <c r="X77" s="51">
        <v>45659</v>
      </c>
      <c r="Y77" s="51">
        <v>45344</v>
      </c>
      <c r="Z77" s="28">
        <v>31</v>
      </c>
      <c r="AA77" s="16" t="s">
        <v>1701</v>
      </c>
      <c r="AB77" s="8" t="s">
        <v>395</v>
      </c>
      <c r="AC77" s="8" t="s">
        <v>395</v>
      </c>
      <c r="AD77" s="8" t="s">
        <v>134</v>
      </c>
      <c r="AE77" s="8">
        <v>3102690083</v>
      </c>
      <c r="AF77" s="8" t="s">
        <v>276</v>
      </c>
      <c r="AG77" s="8" t="s">
        <v>295</v>
      </c>
      <c r="AH77" s="51">
        <v>35766</v>
      </c>
      <c r="AI77" s="28">
        <v>28</v>
      </c>
      <c r="AJ77" s="51" t="s">
        <v>1853</v>
      </c>
    </row>
    <row r="78" spans="1:36" ht="12.65" customHeight="1" x14ac:dyDescent="0.35">
      <c r="A78" s="8" t="s">
        <v>139</v>
      </c>
      <c r="B78" s="8" t="s">
        <v>136</v>
      </c>
      <c r="C78" s="8" t="s">
        <v>135</v>
      </c>
      <c r="D78" s="34" t="s">
        <v>954</v>
      </c>
      <c r="E78" s="14" t="s">
        <v>955</v>
      </c>
      <c r="F78" s="14" t="s">
        <v>57</v>
      </c>
      <c r="G78" s="14" t="s">
        <v>1</v>
      </c>
      <c r="H78" s="14" t="s">
        <v>9</v>
      </c>
      <c r="I78" s="34" t="s">
        <v>956</v>
      </c>
      <c r="J78" s="8" t="s">
        <v>957</v>
      </c>
      <c r="K78" s="69" t="s">
        <v>958</v>
      </c>
      <c r="L78" s="8" t="s">
        <v>442</v>
      </c>
      <c r="M78" s="8" t="s">
        <v>661</v>
      </c>
      <c r="N78" s="8" t="s">
        <v>393</v>
      </c>
      <c r="O78" s="8" t="s">
        <v>149</v>
      </c>
      <c r="P78" s="8" t="s">
        <v>286</v>
      </c>
      <c r="Q78" s="8" t="s">
        <v>865</v>
      </c>
      <c r="R78" s="8" t="s">
        <v>1628</v>
      </c>
      <c r="S78" s="8" t="s">
        <v>247</v>
      </c>
      <c r="T78" s="8" t="s">
        <v>157</v>
      </c>
      <c r="U78" s="8" t="s">
        <v>183</v>
      </c>
      <c r="V78" s="8">
        <v>0</v>
      </c>
      <c r="W78" s="18">
        <v>0.5</v>
      </c>
      <c r="X78" s="51">
        <v>45659</v>
      </c>
      <c r="Y78" s="51">
        <v>45344</v>
      </c>
      <c r="Z78" s="28">
        <v>31</v>
      </c>
      <c r="AA78" s="16" t="s">
        <v>1701</v>
      </c>
      <c r="AB78" s="8" t="s">
        <v>395</v>
      </c>
      <c r="AC78" s="8" t="s">
        <v>395</v>
      </c>
      <c r="AD78" s="8" t="s">
        <v>134</v>
      </c>
      <c r="AE78" s="8">
        <v>3102690083</v>
      </c>
      <c r="AF78" s="8" t="s">
        <v>276</v>
      </c>
      <c r="AG78" s="8" t="s">
        <v>295</v>
      </c>
      <c r="AH78" s="51">
        <v>35766</v>
      </c>
      <c r="AI78" s="28">
        <v>28</v>
      </c>
      <c r="AJ78" s="51" t="s">
        <v>1853</v>
      </c>
    </row>
    <row r="79" spans="1:36" ht="12.65" customHeight="1" x14ac:dyDescent="0.35">
      <c r="A79" s="8" t="s">
        <v>139</v>
      </c>
      <c r="B79" s="8" t="s">
        <v>136</v>
      </c>
      <c r="C79" s="8" t="s">
        <v>135</v>
      </c>
      <c r="D79" s="33" t="s">
        <v>1140</v>
      </c>
      <c r="E79" s="33" t="s">
        <v>1141</v>
      </c>
      <c r="F79" s="14" t="s">
        <v>57</v>
      </c>
      <c r="G79" s="14" t="s">
        <v>1</v>
      </c>
      <c r="H79" s="14" t="s">
        <v>9</v>
      </c>
      <c r="I79" s="34" t="s">
        <v>314</v>
      </c>
      <c r="J79" s="8" t="s">
        <v>98</v>
      </c>
      <c r="K79" s="69" t="s">
        <v>315</v>
      </c>
      <c r="L79" s="8" t="s">
        <v>75</v>
      </c>
      <c r="M79" s="8" t="s">
        <v>75</v>
      </c>
      <c r="N79" s="8" t="s">
        <v>306</v>
      </c>
      <c r="O79" s="8" t="s">
        <v>622</v>
      </c>
      <c r="P79" s="8" t="s">
        <v>279</v>
      </c>
      <c r="Q79" s="8" t="s">
        <v>279</v>
      </c>
      <c r="R79" s="8" t="s">
        <v>234</v>
      </c>
      <c r="S79" s="8" t="s">
        <v>241</v>
      </c>
      <c r="T79" s="14" t="s">
        <v>166</v>
      </c>
      <c r="U79" s="8" t="s">
        <v>189</v>
      </c>
      <c r="V79" s="8">
        <v>1</v>
      </c>
      <c r="W79" s="18">
        <v>1</v>
      </c>
      <c r="X79" s="51">
        <v>46084</v>
      </c>
      <c r="Y79" s="51">
        <v>46084</v>
      </c>
      <c r="Z79" s="28">
        <v>7</v>
      </c>
      <c r="AA79" s="16" t="s">
        <v>1710</v>
      </c>
      <c r="AB79" s="8" t="s">
        <v>294</v>
      </c>
      <c r="AC79" s="8" t="s">
        <v>294</v>
      </c>
      <c r="AD79" s="8" t="s">
        <v>137</v>
      </c>
      <c r="AE79" s="8" t="s">
        <v>153</v>
      </c>
      <c r="AF79" s="8" t="s">
        <v>153</v>
      </c>
      <c r="AG79" s="8" t="s">
        <v>292</v>
      </c>
      <c r="AH79" s="51">
        <v>36640</v>
      </c>
      <c r="AI79" s="28">
        <v>26</v>
      </c>
      <c r="AJ79" s="51" t="s">
        <v>1853</v>
      </c>
    </row>
    <row r="80" spans="1:36" ht="12.65" customHeight="1" x14ac:dyDescent="0.35">
      <c r="A80" s="8" t="s">
        <v>139</v>
      </c>
      <c r="B80" s="8" t="s">
        <v>136</v>
      </c>
      <c r="C80" s="8" t="s">
        <v>135</v>
      </c>
      <c r="D80" s="34" t="s">
        <v>959</v>
      </c>
      <c r="E80" s="14" t="s">
        <v>960</v>
      </c>
      <c r="F80" s="14" t="s">
        <v>57</v>
      </c>
      <c r="G80" s="14" t="s">
        <v>1</v>
      </c>
      <c r="H80" s="14" t="s">
        <v>9</v>
      </c>
      <c r="I80" s="34" t="s">
        <v>961</v>
      </c>
      <c r="J80" s="8" t="s">
        <v>962</v>
      </c>
      <c r="K80" s="69" t="s">
        <v>963</v>
      </c>
      <c r="L80" s="8" t="s">
        <v>548</v>
      </c>
      <c r="M80" s="8" t="s">
        <v>548</v>
      </c>
      <c r="N80" s="8" t="s">
        <v>306</v>
      </c>
      <c r="O80" s="8" t="s">
        <v>964</v>
      </c>
      <c r="P80" s="8" t="s">
        <v>282</v>
      </c>
      <c r="Q80" s="8" t="s">
        <v>543</v>
      </c>
      <c r="R80" s="8" t="s">
        <v>222</v>
      </c>
      <c r="S80" s="8" t="s">
        <v>237</v>
      </c>
      <c r="T80" s="8" t="s">
        <v>244</v>
      </c>
      <c r="U80" s="8" t="s">
        <v>186</v>
      </c>
      <c r="V80" s="8">
        <v>1</v>
      </c>
      <c r="W80" s="18">
        <v>0.5</v>
      </c>
      <c r="X80" s="51">
        <v>45874</v>
      </c>
      <c r="Y80" s="51">
        <v>45874</v>
      </c>
      <c r="Z80" s="28">
        <v>14</v>
      </c>
      <c r="AA80" s="16" t="s">
        <v>1700</v>
      </c>
      <c r="AB80" s="8" t="s">
        <v>307</v>
      </c>
      <c r="AC80" s="8" t="s">
        <v>307</v>
      </c>
      <c r="AD80" s="8" t="s">
        <v>137</v>
      </c>
      <c r="AE80" s="8">
        <v>3153717405</v>
      </c>
      <c r="AF80" s="8" t="s">
        <v>276</v>
      </c>
      <c r="AG80" s="8" t="s">
        <v>295</v>
      </c>
      <c r="AH80" s="51">
        <v>30872</v>
      </c>
      <c r="AI80" s="28">
        <v>42</v>
      </c>
      <c r="AJ80" s="51" t="s">
        <v>1853</v>
      </c>
    </row>
    <row r="81" spans="1:36" ht="12.65" customHeight="1" x14ac:dyDescent="0.35">
      <c r="A81" s="8" t="s">
        <v>139</v>
      </c>
      <c r="B81" s="8" t="s">
        <v>136</v>
      </c>
      <c r="C81" s="8" t="s">
        <v>135</v>
      </c>
      <c r="D81" s="33" t="s">
        <v>959</v>
      </c>
      <c r="E81" s="14" t="s">
        <v>960</v>
      </c>
      <c r="F81" s="14" t="s">
        <v>57</v>
      </c>
      <c r="G81" s="14" t="s">
        <v>1</v>
      </c>
      <c r="H81" s="14" t="s">
        <v>9</v>
      </c>
      <c r="I81" s="34" t="s">
        <v>965</v>
      </c>
      <c r="J81" s="8" t="s">
        <v>966</v>
      </c>
      <c r="K81" s="69" t="s">
        <v>967</v>
      </c>
      <c r="L81" s="8" t="s">
        <v>548</v>
      </c>
      <c r="M81" s="8" t="s">
        <v>548</v>
      </c>
      <c r="N81" s="8" t="s">
        <v>306</v>
      </c>
      <c r="O81" s="8" t="s">
        <v>964</v>
      </c>
      <c r="P81" s="8" t="s">
        <v>282</v>
      </c>
      <c r="Q81" s="8" t="s">
        <v>543</v>
      </c>
      <c r="R81" s="8" t="s">
        <v>222</v>
      </c>
      <c r="S81" s="8" t="s">
        <v>237</v>
      </c>
      <c r="T81" s="8" t="s">
        <v>244</v>
      </c>
      <c r="U81" s="8" t="s">
        <v>186</v>
      </c>
      <c r="V81" s="8">
        <v>0</v>
      </c>
      <c r="W81" s="18">
        <v>0.5</v>
      </c>
      <c r="X81" s="51">
        <v>45874</v>
      </c>
      <c r="Y81" s="51">
        <v>45874</v>
      </c>
      <c r="Z81" s="28">
        <v>14</v>
      </c>
      <c r="AA81" s="16" t="s">
        <v>1700</v>
      </c>
      <c r="AB81" s="8" t="s">
        <v>293</v>
      </c>
      <c r="AC81" s="8" t="s">
        <v>293</v>
      </c>
      <c r="AD81" s="8" t="s">
        <v>137</v>
      </c>
      <c r="AE81" s="8">
        <v>3153717405</v>
      </c>
      <c r="AF81" s="8" t="s">
        <v>276</v>
      </c>
      <c r="AG81" s="8" t="s">
        <v>292</v>
      </c>
      <c r="AH81" s="51">
        <v>30872</v>
      </c>
      <c r="AI81" s="28">
        <v>42</v>
      </c>
      <c r="AJ81" s="51" t="s">
        <v>1853</v>
      </c>
    </row>
    <row r="82" spans="1:36" ht="12.65" customHeight="1" x14ac:dyDescent="0.35">
      <c r="A82" s="8" t="s">
        <v>139</v>
      </c>
      <c r="B82" s="8" t="s">
        <v>136</v>
      </c>
      <c r="C82" s="8" t="s">
        <v>50</v>
      </c>
      <c r="D82" s="33" t="s">
        <v>1705</v>
      </c>
      <c r="E82" s="14" t="s">
        <v>1807</v>
      </c>
      <c r="F82" s="14" t="s">
        <v>57</v>
      </c>
      <c r="G82" s="14" t="s">
        <v>1</v>
      </c>
      <c r="H82" s="14" t="s">
        <v>9</v>
      </c>
      <c r="I82" s="34" t="s">
        <v>540</v>
      </c>
      <c r="J82" s="8" t="s">
        <v>541</v>
      </c>
      <c r="K82" s="69" t="s">
        <v>542</v>
      </c>
      <c r="L82" s="8" t="s">
        <v>406</v>
      </c>
      <c r="M82" s="8" t="s">
        <v>456</v>
      </c>
      <c r="N82" s="8" t="s">
        <v>393</v>
      </c>
      <c r="O82" s="8" t="s">
        <v>11</v>
      </c>
      <c r="P82" s="8" t="s">
        <v>274</v>
      </c>
      <c r="Q82" s="8" t="s">
        <v>275</v>
      </c>
      <c r="R82" s="8" t="s">
        <v>231</v>
      </c>
      <c r="S82" s="8" t="s">
        <v>247</v>
      </c>
      <c r="T82" s="8" t="s">
        <v>163</v>
      </c>
      <c r="U82" s="8" t="s">
        <v>192</v>
      </c>
      <c r="V82" s="8">
        <v>1</v>
      </c>
      <c r="W82" s="18">
        <v>0.5</v>
      </c>
      <c r="X82" s="53">
        <v>46209</v>
      </c>
      <c r="Y82" s="53">
        <v>46225</v>
      </c>
      <c r="Z82" s="28">
        <v>2</v>
      </c>
      <c r="AA82" s="16" t="s">
        <v>1698</v>
      </c>
      <c r="AB82" s="8" t="s">
        <v>293</v>
      </c>
      <c r="AC82" s="8" t="s">
        <v>293</v>
      </c>
      <c r="AD82" s="19" t="s">
        <v>137</v>
      </c>
      <c r="AE82" s="8" t="s">
        <v>153</v>
      </c>
      <c r="AF82" s="8" t="s">
        <v>153</v>
      </c>
      <c r="AG82" s="8" t="s">
        <v>295</v>
      </c>
      <c r="AH82" s="51">
        <v>33536</v>
      </c>
      <c r="AI82" s="28">
        <v>34</v>
      </c>
      <c r="AJ82" s="51" t="s">
        <v>1852</v>
      </c>
    </row>
    <row r="83" spans="1:36" ht="12.65" customHeight="1" x14ac:dyDescent="0.35">
      <c r="A83" s="8" t="s">
        <v>139</v>
      </c>
      <c r="B83" s="8" t="s">
        <v>136</v>
      </c>
      <c r="C83" s="8" t="s">
        <v>50</v>
      </c>
      <c r="D83" s="33" t="s">
        <v>1705</v>
      </c>
      <c r="E83" s="14" t="s">
        <v>1807</v>
      </c>
      <c r="F83" s="14" t="s">
        <v>57</v>
      </c>
      <c r="G83" s="14" t="s">
        <v>1</v>
      </c>
      <c r="H83" s="14" t="s">
        <v>9</v>
      </c>
      <c r="I83" s="34" t="s">
        <v>605</v>
      </c>
      <c r="J83" s="8" t="s">
        <v>970</v>
      </c>
      <c r="K83" s="69" t="s">
        <v>606</v>
      </c>
      <c r="L83" s="8" t="s">
        <v>406</v>
      </c>
      <c r="M83" s="8" t="s">
        <v>456</v>
      </c>
      <c r="N83" s="8" t="s">
        <v>393</v>
      </c>
      <c r="O83" s="8" t="s">
        <v>11</v>
      </c>
      <c r="P83" s="8" t="s">
        <v>274</v>
      </c>
      <c r="Q83" s="8" t="s">
        <v>275</v>
      </c>
      <c r="R83" s="8" t="s">
        <v>231</v>
      </c>
      <c r="S83" s="8" t="s">
        <v>247</v>
      </c>
      <c r="T83" s="8" t="s">
        <v>163</v>
      </c>
      <c r="U83" s="8" t="s">
        <v>192</v>
      </c>
      <c r="V83" s="8">
        <v>0</v>
      </c>
      <c r="W83" s="18">
        <v>0.3</v>
      </c>
      <c r="X83" s="53">
        <v>46209</v>
      </c>
      <c r="Y83" s="53">
        <v>46225</v>
      </c>
      <c r="Z83" s="28">
        <v>2</v>
      </c>
      <c r="AA83" s="16" t="s">
        <v>1698</v>
      </c>
      <c r="AB83" s="8" t="s">
        <v>294</v>
      </c>
      <c r="AC83" s="8" t="s">
        <v>294</v>
      </c>
      <c r="AD83" s="19" t="s">
        <v>137</v>
      </c>
      <c r="AE83" s="8" t="s">
        <v>153</v>
      </c>
      <c r="AF83" s="8" t="s">
        <v>153</v>
      </c>
      <c r="AG83" s="8" t="s">
        <v>295</v>
      </c>
      <c r="AH83" s="51">
        <v>33536</v>
      </c>
      <c r="AI83" s="28">
        <v>34</v>
      </c>
      <c r="AJ83" s="51" t="s">
        <v>1852</v>
      </c>
    </row>
    <row r="84" spans="1:36" ht="12.65" customHeight="1" x14ac:dyDescent="0.35">
      <c r="A84" s="8" t="s">
        <v>139</v>
      </c>
      <c r="B84" s="8" t="s">
        <v>136</v>
      </c>
      <c r="C84" s="8" t="s">
        <v>50</v>
      </c>
      <c r="D84" s="33" t="s">
        <v>1705</v>
      </c>
      <c r="E84" s="14" t="s">
        <v>1807</v>
      </c>
      <c r="F84" s="14" t="s">
        <v>57</v>
      </c>
      <c r="G84" s="14" t="s">
        <v>1</v>
      </c>
      <c r="H84" s="14" t="s">
        <v>9</v>
      </c>
      <c r="I84" s="34" t="s">
        <v>453</v>
      </c>
      <c r="J84" s="8" t="s">
        <v>454</v>
      </c>
      <c r="K84" s="69" t="s">
        <v>455</v>
      </c>
      <c r="L84" s="8" t="s">
        <v>406</v>
      </c>
      <c r="M84" s="8" t="s">
        <v>456</v>
      </c>
      <c r="N84" s="8" t="s">
        <v>393</v>
      </c>
      <c r="O84" s="8" t="s">
        <v>11</v>
      </c>
      <c r="P84" s="8" t="s">
        <v>274</v>
      </c>
      <c r="Q84" s="8" t="s">
        <v>275</v>
      </c>
      <c r="R84" s="8" t="s">
        <v>231</v>
      </c>
      <c r="S84" s="8" t="s">
        <v>247</v>
      </c>
      <c r="T84" s="8" t="s">
        <v>163</v>
      </c>
      <c r="U84" s="8" t="s">
        <v>192</v>
      </c>
      <c r="V84" s="8">
        <v>0</v>
      </c>
      <c r="W84" s="18">
        <v>0.2</v>
      </c>
      <c r="X84" s="53">
        <v>46209</v>
      </c>
      <c r="Y84" s="53">
        <v>46225</v>
      </c>
      <c r="Z84" s="28">
        <v>2</v>
      </c>
      <c r="AA84" s="16" t="s">
        <v>1698</v>
      </c>
      <c r="AB84" s="8" t="s">
        <v>293</v>
      </c>
      <c r="AC84" s="8" t="s">
        <v>293</v>
      </c>
      <c r="AD84" s="19" t="s">
        <v>137</v>
      </c>
      <c r="AE84" s="8" t="s">
        <v>153</v>
      </c>
      <c r="AF84" s="8" t="s">
        <v>153</v>
      </c>
      <c r="AG84" s="8" t="s">
        <v>295</v>
      </c>
      <c r="AH84" s="51">
        <v>33536</v>
      </c>
      <c r="AI84" s="28">
        <v>34</v>
      </c>
      <c r="AJ84" s="51" t="s">
        <v>1852</v>
      </c>
    </row>
    <row r="85" spans="1:36" ht="12.65" customHeight="1" x14ac:dyDescent="0.35">
      <c r="A85" s="8" t="s">
        <v>139</v>
      </c>
      <c r="B85" s="8" t="s">
        <v>136</v>
      </c>
      <c r="C85" s="8" t="s">
        <v>49</v>
      </c>
      <c r="D85" s="34" t="s">
        <v>968</v>
      </c>
      <c r="E85" s="14" t="s">
        <v>969</v>
      </c>
      <c r="F85" s="14" t="s">
        <v>57</v>
      </c>
      <c r="G85" s="14" t="s">
        <v>1</v>
      </c>
      <c r="H85" s="14" t="s">
        <v>9</v>
      </c>
      <c r="I85" s="34" t="s">
        <v>540</v>
      </c>
      <c r="J85" s="8" t="s">
        <v>541</v>
      </c>
      <c r="K85" s="69" t="s">
        <v>542</v>
      </c>
      <c r="L85" s="8" t="s">
        <v>406</v>
      </c>
      <c r="M85" s="8" t="s">
        <v>456</v>
      </c>
      <c r="N85" s="8" t="s">
        <v>393</v>
      </c>
      <c r="O85" s="8" t="s">
        <v>11</v>
      </c>
      <c r="P85" s="8" t="s">
        <v>274</v>
      </c>
      <c r="Q85" s="8" t="s">
        <v>275</v>
      </c>
      <c r="R85" s="8" t="s">
        <v>231</v>
      </c>
      <c r="S85" s="8" t="s">
        <v>247</v>
      </c>
      <c r="T85" s="8" t="s">
        <v>163</v>
      </c>
      <c r="U85" s="8" t="s">
        <v>192</v>
      </c>
      <c r="V85" s="8">
        <v>0</v>
      </c>
      <c r="W85" s="18">
        <v>0</v>
      </c>
      <c r="X85" s="51">
        <v>45953</v>
      </c>
      <c r="Y85" s="51">
        <v>45953</v>
      </c>
      <c r="Z85" s="28">
        <v>11</v>
      </c>
      <c r="AA85" s="16" t="s">
        <v>1711</v>
      </c>
      <c r="AB85" s="8" t="s">
        <v>293</v>
      </c>
      <c r="AC85" s="8" t="s">
        <v>293</v>
      </c>
      <c r="AD85" s="19" t="s">
        <v>137</v>
      </c>
      <c r="AE85" s="8">
        <v>3102628343</v>
      </c>
      <c r="AF85" s="8" t="s">
        <v>276</v>
      </c>
      <c r="AG85" s="8" t="s">
        <v>295</v>
      </c>
      <c r="AH85" s="51">
        <v>33038</v>
      </c>
      <c r="AI85" s="28">
        <v>36</v>
      </c>
      <c r="AJ85" s="51" t="s">
        <v>1852</v>
      </c>
    </row>
    <row r="86" spans="1:36" ht="12.65" customHeight="1" x14ac:dyDescent="0.35">
      <c r="A86" s="8" t="s">
        <v>139</v>
      </c>
      <c r="B86" s="8" t="s">
        <v>136</v>
      </c>
      <c r="C86" s="8" t="s">
        <v>49</v>
      </c>
      <c r="D86" s="34" t="s">
        <v>968</v>
      </c>
      <c r="E86" s="14" t="s">
        <v>969</v>
      </c>
      <c r="F86" s="14" t="s">
        <v>57</v>
      </c>
      <c r="G86" s="14" t="s">
        <v>1</v>
      </c>
      <c r="H86" s="14" t="s">
        <v>9</v>
      </c>
      <c r="I86" s="34" t="s">
        <v>605</v>
      </c>
      <c r="J86" s="8" t="s">
        <v>970</v>
      </c>
      <c r="K86" s="69" t="s">
        <v>606</v>
      </c>
      <c r="L86" s="8" t="s">
        <v>406</v>
      </c>
      <c r="M86" s="8" t="s">
        <v>456</v>
      </c>
      <c r="N86" s="8" t="s">
        <v>393</v>
      </c>
      <c r="O86" s="8" t="s">
        <v>11</v>
      </c>
      <c r="P86" s="8" t="s">
        <v>274</v>
      </c>
      <c r="Q86" s="8" t="s">
        <v>275</v>
      </c>
      <c r="R86" s="8" t="s">
        <v>231</v>
      </c>
      <c r="S86" s="8" t="s">
        <v>247</v>
      </c>
      <c r="T86" s="8" t="s">
        <v>163</v>
      </c>
      <c r="U86" s="8" t="s">
        <v>192</v>
      </c>
      <c r="V86" s="8">
        <v>0</v>
      </c>
      <c r="W86" s="18">
        <v>0</v>
      </c>
      <c r="X86" s="51">
        <v>45953</v>
      </c>
      <c r="Y86" s="51">
        <v>45953</v>
      </c>
      <c r="Z86" s="28">
        <v>11</v>
      </c>
      <c r="AA86" s="16" t="s">
        <v>1711</v>
      </c>
      <c r="AB86" s="8" t="s">
        <v>294</v>
      </c>
      <c r="AC86" s="8" t="s">
        <v>294</v>
      </c>
      <c r="AD86" s="19" t="s">
        <v>137</v>
      </c>
      <c r="AE86" s="8">
        <v>3102628343</v>
      </c>
      <c r="AF86" s="8" t="s">
        <v>276</v>
      </c>
      <c r="AG86" s="8" t="s">
        <v>295</v>
      </c>
      <c r="AH86" s="51">
        <v>33038</v>
      </c>
      <c r="AI86" s="28">
        <v>36</v>
      </c>
      <c r="AJ86" s="51" t="s">
        <v>1852</v>
      </c>
    </row>
    <row r="87" spans="1:36" ht="12.65" customHeight="1" x14ac:dyDescent="0.35">
      <c r="A87" s="8" t="s">
        <v>139</v>
      </c>
      <c r="B87" s="8" t="s">
        <v>136</v>
      </c>
      <c r="C87" s="8" t="s">
        <v>49</v>
      </c>
      <c r="D87" s="34" t="s">
        <v>968</v>
      </c>
      <c r="E87" s="14" t="s">
        <v>969</v>
      </c>
      <c r="F87" s="14" t="s">
        <v>57</v>
      </c>
      <c r="G87" s="14" t="s">
        <v>1</v>
      </c>
      <c r="H87" s="14" t="s">
        <v>9</v>
      </c>
      <c r="I87" s="34" t="s">
        <v>453</v>
      </c>
      <c r="J87" s="8" t="s">
        <v>454</v>
      </c>
      <c r="K87" s="69" t="s">
        <v>455</v>
      </c>
      <c r="L87" s="8" t="s">
        <v>406</v>
      </c>
      <c r="M87" s="8" t="s">
        <v>456</v>
      </c>
      <c r="N87" s="8" t="s">
        <v>393</v>
      </c>
      <c r="O87" s="8" t="s">
        <v>11</v>
      </c>
      <c r="P87" s="8" t="s">
        <v>274</v>
      </c>
      <c r="Q87" s="8" t="s">
        <v>275</v>
      </c>
      <c r="R87" s="8" t="s">
        <v>231</v>
      </c>
      <c r="S87" s="8" t="s">
        <v>247</v>
      </c>
      <c r="T87" s="8" t="s">
        <v>163</v>
      </c>
      <c r="U87" s="8" t="s">
        <v>192</v>
      </c>
      <c r="V87" s="8">
        <v>0</v>
      </c>
      <c r="W87" s="18">
        <v>0</v>
      </c>
      <c r="X87" s="51">
        <v>45953</v>
      </c>
      <c r="Y87" s="51">
        <v>45953</v>
      </c>
      <c r="Z87" s="28">
        <v>11</v>
      </c>
      <c r="AA87" s="16" t="s">
        <v>1711</v>
      </c>
      <c r="AB87" s="8" t="s">
        <v>293</v>
      </c>
      <c r="AC87" s="8" t="s">
        <v>293</v>
      </c>
      <c r="AD87" s="19" t="s">
        <v>137</v>
      </c>
      <c r="AE87" s="8">
        <v>3102628343</v>
      </c>
      <c r="AF87" s="8" t="s">
        <v>276</v>
      </c>
      <c r="AG87" s="8" t="s">
        <v>295</v>
      </c>
      <c r="AH87" s="51">
        <v>33038</v>
      </c>
      <c r="AI87" s="28">
        <v>36</v>
      </c>
      <c r="AJ87" s="51" t="s">
        <v>1852</v>
      </c>
    </row>
    <row r="88" spans="1:36" ht="12.65" customHeight="1" x14ac:dyDescent="0.35">
      <c r="A88" s="8" t="s">
        <v>139</v>
      </c>
      <c r="B88" s="8" t="s">
        <v>136</v>
      </c>
      <c r="C88" s="8" t="s">
        <v>418</v>
      </c>
      <c r="D88" s="34" t="s">
        <v>1687</v>
      </c>
      <c r="E88" s="14" t="s">
        <v>1823</v>
      </c>
      <c r="F88" s="14" t="s">
        <v>57</v>
      </c>
      <c r="G88" s="14" t="s">
        <v>1</v>
      </c>
      <c r="H88" s="14" t="s">
        <v>9</v>
      </c>
      <c r="I88" s="34" t="s">
        <v>1740</v>
      </c>
      <c r="J88" s="8" t="s">
        <v>1741</v>
      </c>
      <c r="K88" s="69" t="s">
        <v>1742</v>
      </c>
      <c r="L88" s="8" t="s">
        <v>410</v>
      </c>
      <c r="M88" s="8" t="s">
        <v>410</v>
      </c>
      <c r="N88" s="8" t="s">
        <v>306</v>
      </c>
      <c r="O88" s="8" t="s">
        <v>1546</v>
      </c>
      <c r="P88" s="8" t="s">
        <v>274</v>
      </c>
      <c r="Q88" s="8" t="s">
        <v>275</v>
      </c>
      <c r="R88" s="8" t="s">
        <v>231</v>
      </c>
      <c r="S88" s="8" t="s">
        <v>247</v>
      </c>
      <c r="T88" s="8" t="s">
        <v>255</v>
      </c>
      <c r="U88" s="8" t="s">
        <v>54</v>
      </c>
      <c r="V88" s="8">
        <v>1</v>
      </c>
      <c r="W88" s="18">
        <v>1</v>
      </c>
      <c r="X88" s="51">
        <v>46235</v>
      </c>
      <c r="Y88" s="51">
        <v>46235</v>
      </c>
      <c r="Z88" s="28">
        <v>2</v>
      </c>
      <c r="AA88" s="16" t="s">
        <v>1698</v>
      </c>
      <c r="AB88" s="8" t="s">
        <v>294</v>
      </c>
      <c r="AC88" s="8" t="s">
        <v>395</v>
      </c>
      <c r="AD88" s="8" t="s">
        <v>137</v>
      </c>
      <c r="AE88" s="8" t="s">
        <v>153</v>
      </c>
      <c r="AF88" s="8" t="s">
        <v>153</v>
      </c>
      <c r="AG88" s="8" t="s">
        <v>295</v>
      </c>
      <c r="AH88" s="51">
        <v>33807</v>
      </c>
      <c r="AI88" s="28">
        <v>34</v>
      </c>
      <c r="AJ88" s="51" t="s">
        <v>1853</v>
      </c>
    </row>
    <row r="89" spans="1:36" ht="12.65" customHeight="1" x14ac:dyDescent="0.35">
      <c r="A89" s="8" t="s">
        <v>139</v>
      </c>
      <c r="B89" s="8" t="s">
        <v>136</v>
      </c>
      <c r="C89" s="8" t="s">
        <v>135</v>
      </c>
      <c r="D89" s="33" t="s">
        <v>1688</v>
      </c>
      <c r="E89" s="14" t="s">
        <v>1749</v>
      </c>
      <c r="F89" s="14" t="s">
        <v>57</v>
      </c>
      <c r="G89" s="14" t="s">
        <v>1</v>
      </c>
      <c r="H89" s="14" t="s">
        <v>9</v>
      </c>
      <c r="I89" s="34" t="s">
        <v>444</v>
      </c>
      <c r="J89" s="8" t="s">
        <v>971</v>
      </c>
      <c r="K89" s="69" t="s">
        <v>445</v>
      </c>
      <c r="L89" s="8" t="s">
        <v>299</v>
      </c>
      <c r="M89" s="8" t="s">
        <v>299</v>
      </c>
      <c r="N89" s="8" t="s">
        <v>306</v>
      </c>
      <c r="O89" s="8" t="s">
        <v>11</v>
      </c>
      <c r="P89" s="8" t="s">
        <v>274</v>
      </c>
      <c r="Q89" s="8" t="s">
        <v>275</v>
      </c>
      <c r="R89" s="8" t="s">
        <v>231</v>
      </c>
      <c r="S89" s="8" t="s">
        <v>247</v>
      </c>
      <c r="T89" s="8" t="s">
        <v>208</v>
      </c>
      <c r="U89" s="8" t="s">
        <v>194</v>
      </c>
      <c r="V89" s="8">
        <v>1</v>
      </c>
      <c r="W89" s="18">
        <v>1</v>
      </c>
      <c r="X89" s="16">
        <v>46170</v>
      </c>
      <c r="Y89" s="16">
        <v>46170</v>
      </c>
      <c r="Z89" s="28">
        <v>4</v>
      </c>
      <c r="AA89" s="16" t="s">
        <v>1699</v>
      </c>
      <c r="AB89" s="8" t="s">
        <v>291</v>
      </c>
      <c r="AC89" s="8" t="s">
        <v>291</v>
      </c>
      <c r="AD89" s="8" t="s">
        <v>137</v>
      </c>
      <c r="AE89" s="8" t="s">
        <v>153</v>
      </c>
      <c r="AF89" s="8" t="s">
        <v>153</v>
      </c>
      <c r="AG89" s="8" t="s">
        <v>292</v>
      </c>
      <c r="AH89" s="51">
        <v>31641</v>
      </c>
      <c r="AI89" s="28">
        <v>40</v>
      </c>
      <c r="AJ89" s="51" t="s">
        <v>1853</v>
      </c>
    </row>
    <row r="90" spans="1:36" ht="12.65" customHeight="1" x14ac:dyDescent="0.35">
      <c r="A90" s="8" t="s">
        <v>139</v>
      </c>
      <c r="B90" s="8" t="s">
        <v>136</v>
      </c>
      <c r="C90" s="8" t="s">
        <v>135</v>
      </c>
      <c r="D90" s="33" t="s">
        <v>1043</v>
      </c>
      <c r="E90" s="14" t="s">
        <v>1044</v>
      </c>
      <c r="F90" s="14" t="s">
        <v>57</v>
      </c>
      <c r="G90" s="14" t="s">
        <v>1</v>
      </c>
      <c r="H90" s="14" t="s">
        <v>9</v>
      </c>
      <c r="I90" s="34" t="s">
        <v>744</v>
      </c>
      <c r="J90" s="8" t="s">
        <v>745</v>
      </c>
      <c r="K90" s="69" t="s">
        <v>746</v>
      </c>
      <c r="L90" s="8" t="s">
        <v>299</v>
      </c>
      <c r="M90" s="8" t="s">
        <v>299</v>
      </c>
      <c r="N90" s="8" t="s">
        <v>306</v>
      </c>
      <c r="O90" s="8" t="s">
        <v>296</v>
      </c>
      <c r="P90" s="8" t="s">
        <v>274</v>
      </c>
      <c r="Q90" s="8" t="s">
        <v>275</v>
      </c>
      <c r="R90" s="8" t="s">
        <v>231</v>
      </c>
      <c r="S90" s="8" t="s">
        <v>247</v>
      </c>
      <c r="T90" s="8" t="s">
        <v>208</v>
      </c>
      <c r="U90" s="8" t="s">
        <v>194</v>
      </c>
      <c r="V90" s="8">
        <v>1</v>
      </c>
      <c r="W90" s="18">
        <v>1</v>
      </c>
      <c r="X90" s="16">
        <v>46154</v>
      </c>
      <c r="Y90" s="16">
        <v>46154</v>
      </c>
      <c r="Z90" s="28">
        <v>5</v>
      </c>
      <c r="AA90" s="16" t="s">
        <v>1699</v>
      </c>
      <c r="AB90" s="8" t="s">
        <v>294</v>
      </c>
      <c r="AC90" s="8" t="s">
        <v>294</v>
      </c>
      <c r="AD90" s="8" t="s">
        <v>137</v>
      </c>
      <c r="AE90" s="8" t="s">
        <v>153</v>
      </c>
      <c r="AF90" s="8" t="s">
        <v>153</v>
      </c>
      <c r="AG90" s="8" t="s">
        <v>292</v>
      </c>
      <c r="AH90" s="51">
        <v>37583</v>
      </c>
      <c r="AI90" s="28">
        <v>23</v>
      </c>
      <c r="AJ90" s="51" t="s">
        <v>1853</v>
      </c>
    </row>
    <row r="91" spans="1:36" ht="12.65" customHeight="1" x14ac:dyDescent="0.35">
      <c r="A91" s="8" t="s">
        <v>139</v>
      </c>
      <c r="B91" s="8" t="s">
        <v>136</v>
      </c>
      <c r="C91" s="8" t="s">
        <v>135</v>
      </c>
      <c r="D91" s="33" t="s">
        <v>1845</v>
      </c>
      <c r="E91" s="14" t="s">
        <v>1844</v>
      </c>
      <c r="F91" s="14" t="s">
        <v>57</v>
      </c>
      <c r="G91" s="14" t="s">
        <v>1</v>
      </c>
      <c r="H91" s="14" t="s">
        <v>9</v>
      </c>
      <c r="I91" s="8" t="s">
        <v>1846</v>
      </c>
      <c r="J91" s="8" t="s">
        <v>1847</v>
      </c>
      <c r="K91" s="69" t="s">
        <v>1848</v>
      </c>
      <c r="L91" s="8" t="s">
        <v>406</v>
      </c>
      <c r="M91" s="8" t="s">
        <v>456</v>
      </c>
      <c r="N91" s="8" t="s">
        <v>393</v>
      </c>
      <c r="O91" s="8" t="s">
        <v>612</v>
      </c>
      <c r="P91" s="8" t="s">
        <v>613</v>
      </c>
      <c r="Q91" s="8" t="s">
        <v>865</v>
      </c>
      <c r="R91" s="8" t="s">
        <v>1628</v>
      </c>
      <c r="S91" s="8" t="s">
        <v>247</v>
      </c>
      <c r="T91" s="8" t="s">
        <v>157</v>
      </c>
      <c r="U91" s="8" t="s">
        <v>192</v>
      </c>
      <c r="V91" s="8">
        <v>1</v>
      </c>
      <c r="W91" s="18">
        <v>1</v>
      </c>
      <c r="X91" s="51">
        <v>46249</v>
      </c>
      <c r="Y91" s="51">
        <v>46249</v>
      </c>
      <c r="Z91" s="28">
        <v>2</v>
      </c>
      <c r="AA91" s="16" t="s">
        <v>1698</v>
      </c>
      <c r="AB91" s="8" t="s">
        <v>307</v>
      </c>
      <c r="AC91" s="8" t="s">
        <v>307</v>
      </c>
      <c r="AD91" s="8" t="s">
        <v>137</v>
      </c>
      <c r="AE91" s="8" t="s">
        <v>153</v>
      </c>
      <c r="AF91" s="8" t="s">
        <v>153</v>
      </c>
      <c r="AG91" s="8" t="s">
        <v>295</v>
      </c>
      <c r="AH91" s="51">
        <v>34750</v>
      </c>
      <c r="AI91" s="28">
        <v>31</v>
      </c>
      <c r="AJ91" s="51" t="s">
        <v>1852</v>
      </c>
    </row>
    <row r="92" spans="1:36" ht="12.65" customHeight="1" x14ac:dyDescent="0.35">
      <c r="A92" s="8" t="s">
        <v>139</v>
      </c>
      <c r="B92" s="8" t="s">
        <v>136</v>
      </c>
      <c r="C92" s="8" t="s">
        <v>135</v>
      </c>
      <c r="D92" s="33" t="s">
        <v>1096</v>
      </c>
      <c r="E92" s="14" t="s">
        <v>1097</v>
      </c>
      <c r="F92" s="14" t="s">
        <v>57</v>
      </c>
      <c r="G92" s="14" t="s">
        <v>1</v>
      </c>
      <c r="H92" s="14" t="s">
        <v>9</v>
      </c>
      <c r="I92" s="34" t="s">
        <v>855</v>
      </c>
      <c r="J92" s="8" t="s">
        <v>856</v>
      </c>
      <c r="K92" s="69" t="s">
        <v>857</v>
      </c>
      <c r="L92" s="8" t="s">
        <v>382</v>
      </c>
      <c r="M92" s="8" t="s">
        <v>382</v>
      </c>
      <c r="N92" s="8" t="s">
        <v>306</v>
      </c>
      <c r="O92" s="8" t="s">
        <v>11</v>
      </c>
      <c r="P92" s="8" t="s">
        <v>274</v>
      </c>
      <c r="Q92" s="8" t="s">
        <v>275</v>
      </c>
      <c r="R92" s="8" t="s">
        <v>1628</v>
      </c>
      <c r="S92" s="8" t="s">
        <v>247</v>
      </c>
      <c r="T92" s="8" t="s">
        <v>163</v>
      </c>
      <c r="U92" s="8" t="s">
        <v>192</v>
      </c>
      <c r="V92" s="8">
        <v>1</v>
      </c>
      <c r="W92" s="18">
        <v>0.5</v>
      </c>
      <c r="X92" s="51">
        <v>45950</v>
      </c>
      <c r="Y92" s="51">
        <v>45950</v>
      </c>
      <c r="Z92" s="28">
        <v>11</v>
      </c>
      <c r="AA92" s="16" t="s">
        <v>1711</v>
      </c>
      <c r="AB92" s="8" t="s">
        <v>293</v>
      </c>
      <c r="AC92" s="8" t="s">
        <v>293</v>
      </c>
      <c r="AD92" s="19" t="s">
        <v>137</v>
      </c>
      <c r="AE92" s="19">
        <v>3102683817</v>
      </c>
      <c r="AF92" s="19" t="s">
        <v>276</v>
      </c>
      <c r="AG92" s="8" t="s">
        <v>295</v>
      </c>
      <c r="AH92" s="51">
        <v>37984</v>
      </c>
      <c r="AI92" s="28">
        <v>22</v>
      </c>
      <c r="AJ92" s="19" t="s">
        <v>1852</v>
      </c>
    </row>
    <row r="93" spans="1:36" ht="12.65" customHeight="1" x14ac:dyDescent="0.35">
      <c r="A93" s="8" t="s">
        <v>139</v>
      </c>
      <c r="B93" s="8" t="s">
        <v>136</v>
      </c>
      <c r="C93" s="8" t="s">
        <v>135</v>
      </c>
      <c r="D93" s="34" t="s">
        <v>977</v>
      </c>
      <c r="E93" s="14" t="s">
        <v>978</v>
      </c>
      <c r="F93" s="14" t="s">
        <v>57</v>
      </c>
      <c r="G93" s="14" t="s">
        <v>1</v>
      </c>
      <c r="H93" s="14" t="s">
        <v>9</v>
      </c>
      <c r="I93" s="34" t="s">
        <v>656</v>
      </c>
      <c r="J93" s="8" t="s">
        <v>108</v>
      </c>
      <c r="K93" s="69" t="s">
        <v>657</v>
      </c>
      <c r="L93" s="8" t="s">
        <v>75</v>
      </c>
      <c r="M93" s="8" t="s">
        <v>107</v>
      </c>
      <c r="N93" s="8" t="s">
        <v>306</v>
      </c>
      <c r="O93" s="8" t="s">
        <v>146</v>
      </c>
      <c r="P93" s="8" t="s">
        <v>283</v>
      </c>
      <c r="Q93" s="8" t="s">
        <v>326</v>
      </c>
      <c r="R93" s="8" t="s">
        <v>234</v>
      </c>
      <c r="S93" s="8" t="s">
        <v>241</v>
      </c>
      <c r="T93" s="8" t="s">
        <v>169</v>
      </c>
      <c r="U93" s="8" t="s">
        <v>189</v>
      </c>
      <c r="V93" s="8">
        <v>1</v>
      </c>
      <c r="W93" s="18">
        <v>1</v>
      </c>
      <c r="X93" s="51">
        <v>46113</v>
      </c>
      <c r="Y93" s="51">
        <v>46113</v>
      </c>
      <c r="Z93" s="28">
        <v>6</v>
      </c>
      <c r="AA93" s="16" t="s">
        <v>1710</v>
      </c>
      <c r="AB93" s="8" t="s">
        <v>395</v>
      </c>
      <c r="AC93" s="8" t="s">
        <v>294</v>
      </c>
      <c r="AD93" s="8" t="s">
        <v>137</v>
      </c>
      <c r="AE93" s="8" t="s">
        <v>153</v>
      </c>
      <c r="AF93" s="8" t="s">
        <v>153</v>
      </c>
      <c r="AG93" s="8" t="s">
        <v>292</v>
      </c>
      <c r="AH93" s="51">
        <v>30460</v>
      </c>
      <c r="AI93" s="28">
        <v>43</v>
      </c>
      <c r="AJ93" s="51" t="s">
        <v>1853</v>
      </c>
    </row>
    <row r="94" spans="1:36" ht="12.65" customHeight="1" x14ac:dyDescent="0.35">
      <c r="A94" s="8" t="s">
        <v>139</v>
      </c>
      <c r="B94" s="8" t="s">
        <v>136</v>
      </c>
      <c r="C94" s="8" t="s">
        <v>135</v>
      </c>
      <c r="D94" s="35" t="s">
        <v>979</v>
      </c>
      <c r="E94" s="14" t="s">
        <v>980</v>
      </c>
      <c r="F94" s="14" t="s">
        <v>57</v>
      </c>
      <c r="G94" s="14" t="s">
        <v>1</v>
      </c>
      <c r="H94" s="14" t="s">
        <v>9</v>
      </c>
      <c r="I94" s="34" t="s">
        <v>702</v>
      </c>
      <c r="J94" s="8" t="s">
        <v>703</v>
      </c>
      <c r="K94" s="69" t="s">
        <v>704</v>
      </c>
      <c r="L94" s="8" t="s">
        <v>471</v>
      </c>
      <c r="M94" s="8" t="s">
        <v>490</v>
      </c>
      <c r="N94" s="8" t="s">
        <v>393</v>
      </c>
      <c r="O94" s="8" t="s">
        <v>11</v>
      </c>
      <c r="P94" s="8" t="s">
        <v>274</v>
      </c>
      <c r="Q94" s="8" t="s">
        <v>275</v>
      </c>
      <c r="R94" s="8" t="s">
        <v>1628</v>
      </c>
      <c r="S94" s="8" t="s">
        <v>247</v>
      </c>
      <c r="T94" s="8" t="s">
        <v>163</v>
      </c>
      <c r="U94" s="8" t="s">
        <v>183</v>
      </c>
      <c r="V94" s="8">
        <v>0</v>
      </c>
      <c r="W94" s="18">
        <v>0.5</v>
      </c>
      <c r="X94" s="51">
        <v>45754</v>
      </c>
      <c r="Y94" s="51">
        <v>45754</v>
      </c>
      <c r="Z94" s="28">
        <v>18</v>
      </c>
      <c r="AA94" s="16" t="s">
        <v>1700</v>
      </c>
      <c r="AB94" s="8" t="s">
        <v>307</v>
      </c>
      <c r="AC94" s="8" t="s">
        <v>307</v>
      </c>
      <c r="AD94" s="20" t="s">
        <v>137</v>
      </c>
      <c r="AE94" s="8">
        <v>3102659907</v>
      </c>
      <c r="AF94" s="8" t="s">
        <v>276</v>
      </c>
      <c r="AG94" s="8" t="s">
        <v>295</v>
      </c>
      <c r="AH94" s="51">
        <v>34320</v>
      </c>
      <c r="AI94" s="28">
        <v>32</v>
      </c>
      <c r="AJ94" s="51" t="s">
        <v>1853</v>
      </c>
    </row>
    <row r="95" spans="1:36" ht="12.65" customHeight="1" x14ac:dyDescent="0.35">
      <c r="A95" s="8" t="s">
        <v>139</v>
      </c>
      <c r="B95" s="8" t="s">
        <v>136</v>
      </c>
      <c r="C95" s="8" t="s">
        <v>135</v>
      </c>
      <c r="D95" s="35" t="s">
        <v>979</v>
      </c>
      <c r="E95" s="14" t="s">
        <v>980</v>
      </c>
      <c r="F95" s="14" t="s">
        <v>57</v>
      </c>
      <c r="G95" s="14" t="s">
        <v>1</v>
      </c>
      <c r="H95" s="14" t="s">
        <v>9</v>
      </c>
      <c r="I95" s="34" t="s">
        <v>708</v>
      </c>
      <c r="J95" s="8" t="s">
        <v>709</v>
      </c>
      <c r="K95" s="69" t="s">
        <v>710</v>
      </c>
      <c r="L95" s="8" t="s">
        <v>471</v>
      </c>
      <c r="M95" s="8" t="s">
        <v>490</v>
      </c>
      <c r="N95" s="8" t="s">
        <v>393</v>
      </c>
      <c r="O95" s="8" t="s">
        <v>11</v>
      </c>
      <c r="P95" s="8" t="s">
        <v>274</v>
      </c>
      <c r="Q95" s="8" t="s">
        <v>275</v>
      </c>
      <c r="R95" s="8" t="s">
        <v>1628</v>
      </c>
      <c r="S95" s="8" t="s">
        <v>247</v>
      </c>
      <c r="T95" s="8" t="s">
        <v>163</v>
      </c>
      <c r="U95" s="8" t="s">
        <v>183</v>
      </c>
      <c r="V95" s="8">
        <v>1</v>
      </c>
      <c r="W95" s="18">
        <v>0.5</v>
      </c>
      <c r="X95" s="51">
        <v>45754</v>
      </c>
      <c r="Y95" s="51">
        <v>45754</v>
      </c>
      <c r="Z95" s="28">
        <v>18</v>
      </c>
      <c r="AA95" s="16" t="s">
        <v>1700</v>
      </c>
      <c r="AB95" s="8" t="s">
        <v>307</v>
      </c>
      <c r="AC95" s="8" t="s">
        <v>307</v>
      </c>
      <c r="AD95" s="20" t="s">
        <v>137</v>
      </c>
      <c r="AE95" s="8">
        <v>3102659907</v>
      </c>
      <c r="AF95" s="8" t="s">
        <v>276</v>
      </c>
      <c r="AG95" s="8" t="s">
        <v>295</v>
      </c>
      <c r="AH95" s="51">
        <v>34320</v>
      </c>
      <c r="AI95" s="28">
        <v>32</v>
      </c>
      <c r="AJ95" s="51" t="s">
        <v>1853</v>
      </c>
    </row>
    <row r="96" spans="1:36" ht="12.65" customHeight="1" x14ac:dyDescent="0.35">
      <c r="A96" s="8" t="s">
        <v>139</v>
      </c>
      <c r="B96" s="8" t="s">
        <v>136</v>
      </c>
      <c r="C96" s="8" t="s">
        <v>135</v>
      </c>
      <c r="D96" s="33" t="s">
        <v>1100</v>
      </c>
      <c r="E96" s="14" t="s">
        <v>1101</v>
      </c>
      <c r="F96" s="14" t="s">
        <v>57</v>
      </c>
      <c r="G96" s="14" t="s">
        <v>1</v>
      </c>
      <c r="H96" s="14" t="s">
        <v>9</v>
      </c>
      <c r="I96" s="34" t="s">
        <v>329</v>
      </c>
      <c r="J96" s="8" t="s">
        <v>95</v>
      </c>
      <c r="K96" s="69" t="s">
        <v>330</v>
      </c>
      <c r="L96" s="8" t="s">
        <v>75</v>
      </c>
      <c r="M96" s="8" t="s">
        <v>75</v>
      </c>
      <c r="N96" s="8" t="s">
        <v>306</v>
      </c>
      <c r="O96" s="8" t="s">
        <v>36</v>
      </c>
      <c r="P96" s="8" t="s">
        <v>282</v>
      </c>
      <c r="Q96" s="8" t="s">
        <v>543</v>
      </c>
      <c r="R96" s="8" t="s">
        <v>222</v>
      </c>
      <c r="S96" s="8" t="s">
        <v>237</v>
      </c>
      <c r="T96" s="8" t="s">
        <v>199</v>
      </c>
      <c r="U96" s="8" t="s">
        <v>189</v>
      </c>
      <c r="V96" s="8">
        <v>1</v>
      </c>
      <c r="W96" s="18">
        <v>1</v>
      </c>
      <c r="X96" s="51">
        <v>45917</v>
      </c>
      <c r="Y96" s="51">
        <v>45917</v>
      </c>
      <c r="Z96" s="28">
        <v>12</v>
      </c>
      <c r="AA96" s="16" t="s">
        <v>1700</v>
      </c>
      <c r="AB96" s="8" t="s">
        <v>291</v>
      </c>
      <c r="AC96" s="8" t="s">
        <v>291</v>
      </c>
      <c r="AD96" s="19" t="s">
        <v>137</v>
      </c>
      <c r="AE96" s="8">
        <v>3102645086</v>
      </c>
      <c r="AF96" s="8" t="s">
        <v>276</v>
      </c>
      <c r="AG96" s="8" t="s">
        <v>292</v>
      </c>
      <c r="AH96" s="51">
        <v>36696</v>
      </c>
      <c r="AI96" s="28">
        <v>26</v>
      </c>
      <c r="AJ96" s="51" t="s">
        <v>1853</v>
      </c>
    </row>
    <row r="97" spans="1:36" ht="12.65" customHeight="1" x14ac:dyDescent="0.35">
      <c r="A97" s="8" t="s">
        <v>139</v>
      </c>
      <c r="B97" s="8" t="s">
        <v>136</v>
      </c>
      <c r="C97" s="8" t="s">
        <v>135</v>
      </c>
      <c r="D97" s="33" t="s">
        <v>1107</v>
      </c>
      <c r="E97" s="14" t="s">
        <v>1108</v>
      </c>
      <c r="F97" s="14" t="s">
        <v>57</v>
      </c>
      <c r="G97" s="14" t="s">
        <v>1</v>
      </c>
      <c r="H97" s="14" t="s">
        <v>9</v>
      </c>
      <c r="I97" s="34" t="s">
        <v>461</v>
      </c>
      <c r="J97" s="8" t="s">
        <v>985</v>
      </c>
      <c r="K97" s="69" t="s">
        <v>462</v>
      </c>
      <c r="L97" s="8" t="s">
        <v>406</v>
      </c>
      <c r="M97" s="8" t="s">
        <v>407</v>
      </c>
      <c r="N97" s="8" t="s">
        <v>306</v>
      </c>
      <c r="O97" s="8" t="s">
        <v>13</v>
      </c>
      <c r="P97" s="8" t="s">
        <v>285</v>
      </c>
      <c r="Q97" s="8" t="s">
        <v>285</v>
      </c>
      <c r="R97" s="8" t="s">
        <v>225</v>
      </c>
      <c r="S97" s="8" t="s">
        <v>237</v>
      </c>
      <c r="T97" s="8" t="s">
        <v>216</v>
      </c>
      <c r="U97" s="8" t="s">
        <v>186</v>
      </c>
      <c r="V97" s="8">
        <v>1</v>
      </c>
      <c r="W97" s="18">
        <v>1</v>
      </c>
      <c r="X97" s="51">
        <v>45993</v>
      </c>
      <c r="Y97" s="51">
        <v>45993</v>
      </c>
      <c r="Z97" s="28">
        <v>10</v>
      </c>
      <c r="AA97" s="16" t="s">
        <v>1711</v>
      </c>
      <c r="AB97" s="8" t="s">
        <v>395</v>
      </c>
      <c r="AC97" s="8" t="s">
        <v>395</v>
      </c>
      <c r="AD97" s="19" t="s">
        <v>137</v>
      </c>
      <c r="AE97" s="19" t="s">
        <v>153</v>
      </c>
      <c r="AF97" s="19" t="s">
        <v>153</v>
      </c>
      <c r="AG97" s="8" t="s">
        <v>292</v>
      </c>
      <c r="AH97" s="51">
        <v>34638</v>
      </c>
      <c r="AI97" s="28">
        <v>31</v>
      </c>
      <c r="AJ97" s="51" t="s">
        <v>1853</v>
      </c>
    </row>
    <row r="98" spans="1:36" ht="12.65" customHeight="1" x14ac:dyDescent="0.35">
      <c r="A98" s="8" t="s">
        <v>139</v>
      </c>
      <c r="B98" s="8" t="s">
        <v>136</v>
      </c>
      <c r="C98" s="8" t="s">
        <v>135</v>
      </c>
      <c r="D98" s="33" t="s">
        <v>1290</v>
      </c>
      <c r="E98" s="14" t="s">
        <v>1291</v>
      </c>
      <c r="F98" s="14" t="s">
        <v>57</v>
      </c>
      <c r="G98" s="14" t="s">
        <v>1</v>
      </c>
      <c r="H98" s="14" t="s">
        <v>9</v>
      </c>
      <c r="I98" s="34" t="s">
        <v>729</v>
      </c>
      <c r="J98" s="8" t="s">
        <v>730</v>
      </c>
      <c r="K98" s="69" t="s">
        <v>731</v>
      </c>
      <c r="L98" s="34" t="s">
        <v>299</v>
      </c>
      <c r="M98" s="34" t="s">
        <v>299</v>
      </c>
      <c r="N98" s="34" t="s">
        <v>306</v>
      </c>
      <c r="O98" s="8" t="s">
        <v>13</v>
      </c>
      <c r="P98" s="8" t="s">
        <v>285</v>
      </c>
      <c r="Q98" s="8" t="s">
        <v>285</v>
      </c>
      <c r="R98" s="8" t="s">
        <v>225</v>
      </c>
      <c r="S98" s="8" t="s">
        <v>237</v>
      </c>
      <c r="T98" s="8" t="s">
        <v>175</v>
      </c>
      <c r="U98" s="8" t="s">
        <v>194</v>
      </c>
      <c r="V98" s="8">
        <v>1</v>
      </c>
      <c r="W98" s="18">
        <v>1</v>
      </c>
      <c r="X98" s="51">
        <v>45705</v>
      </c>
      <c r="Y98" s="51">
        <v>45705</v>
      </c>
      <c r="Z98" s="28">
        <v>19</v>
      </c>
      <c r="AA98" s="16" t="s">
        <v>1700</v>
      </c>
      <c r="AB98" s="8" t="s">
        <v>291</v>
      </c>
      <c r="AC98" s="8" t="s">
        <v>291</v>
      </c>
      <c r="AD98" s="19" t="s">
        <v>137</v>
      </c>
      <c r="AE98" s="19">
        <v>3102642270</v>
      </c>
      <c r="AF98" s="19" t="s">
        <v>276</v>
      </c>
      <c r="AG98" s="8" t="s">
        <v>292</v>
      </c>
      <c r="AH98" s="51">
        <v>34764</v>
      </c>
      <c r="AI98" s="28">
        <v>31</v>
      </c>
      <c r="AJ98" s="51" t="s">
        <v>1853</v>
      </c>
    </row>
    <row r="99" spans="1:36" ht="12.65" customHeight="1" x14ac:dyDescent="0.35">
      <c r="A99" s="8" t="s">
        <v>139</v>
      </c>
      <c r="B99" s="8" t="s">
        <v>136</v>
      </c>
      <c r="C99" s="8" t="s">
        <v>418</v>
      </c>
      <c r="D99" s="33" t="s">
        <v>1111</v>
      </c>
      <c r="E99" s="14" t="s">
        <v>1112</v>
      </c>
      <c r="F99" s="14" t="s">
        <v>57</v>
      </c>
      <c r="G99" s="14" t="s">
        <v>1</v>
      </c>
      <c r="H99" s="14" t="s">
        <v>9</v>
      </c>
      <c r="I99" s="34" t="s">
        <v>654</v>
      </c>
      <c r="J99" s="8" t="s">
        <v>122</v>
      </c>
      <c r="K99" s="69" t="s">
        <v>655</v>
      </c>
      <c r="L99" s="8" t="s">
        <v>75</v>
      </c>
      <c r="M99" s="8" t="s">
        <v>107</v>
      </c>
      <c r="N99" s="8" t="s">
        <v>306</v>
      </c>
      <c r="O99" s="8" t="s">
        <v>11</v>
      </c>
      <c r="P99" s="8" t="s">
        <v>274</v>
      </c>
      <c r="Q99" s="8" t="s">
        <v>275</v>
      </c>
      <c r="R99" s="8" t="s">
        <v>1628</v>
      </c>
      <c r="S99" s="8" t="s">
        <v>247</v>
      </c>
      <c r="T99" s="8" t="s">
        <v>202</v>
      </c>
      <c r="U99" s="8" t="s">
        <v>189</v>
      </c>
      <c r="V99" s="8">
        <v>1</v>
      </c>
      <c r="W99" s="18">
        <v>1</v>
      </c>
      <c r="X99" s="51">
        <v>46246</v>
      </c>
      <c r="Y99" s="51">
        <v>46246</v>
      </c>
      <c r="Z99" s="28">
        <v>2</v>
      </c>
      <c r="AA99" s="16" t="s">
        <v>1698</v>
      </c>
      <c r="AB99" s="8" t="s">
        <v>395</v>
      </c>
      <c r="AC99" s="8" t="s">
        <v>294</v>
      </c>
      <c r="AD99" s="51" t="s">
        <v>137</v>
      </c>
      <c r="AE99" s="19" t="s">
        <v>153</v>
      </c>
      <c r="AF99" s="51" t="s">
        <v>153</v>
      </c>
      <c r="AG99" s="8" t="s">
        <v>292</v>
      </c>
      <c r="AH99" s="51">
        <v>35369</v>
      </c>
      <c r="AI99" s="28">
        <v>29</v>
      </c>
      <c r="AJ99" s="51" t="s">
        <v>1853</v>
      </c>
    </row>
    <row r="100" spans="1:36" ht="12.65" customHeight="1" x14ac:dyDescent="0.35">
      <c r="A100" s="8" t="s">
        <v>139</v>
      </c>
      <c r="B100" s="8" t="s">
        <v>136</v>
      </c>
      <c r="C100" s="8" t="s">
        <v>135</v>
      </c>
      <c r="D100" s="34" t="s">
        <v>988</v>
      </c>
      <c r="E100" s="14" t="s">
        <v>989</v>
      </c>
      <c r="F100" s="14" t="s">
        <v>57</v>
      </c>
      <c r="G100" s="14" t="s">
        <v>1</v>
      </c>
      <c r="H100" s="14" t="s">
        <v>9</v>
      </c>
      <c r="I100" s="34" t="s">
        <v>607</v>
      </c>
      <c r="J100" s="8" t="s">
        <v>990</v>
      </c>
      <c r="K100" s="69" t="s">
        <v>608</v>
      </c>
      <c r="L100" s="8" t="s">
        <v>410</v>
      </c>
      <c r="M100" s="8" t="s">
        <v>410</v>
      </c>
      <c r="N100" s="8" t="s">
        <v>306</v>
      </c>
      <c r="O100" s="8" t="s">
        <v>11</v>
      </c>
      <c r="P100" s="8" t="s">
        <v>274</v>
      </c>
      <c r="Q100" s="8" t="s">
        <v>275</v>
      </c>
      <c r="R100" s="8" t="s">
        <v>231</v>
      </c>
      <c r="S100" s="8" t="s">
        <v>247</v>
      </c>
      <c r="T100" s="8" t="s">
        <v>255</v>
      </c>
      <c r="U100" s="8" t="s">
        <v>54</v>
      </c>
      <c r="V100" s="8">
        <v>1</v>
      </c>
      <c r="W100" s="18">
        <v>1</v>
      </c>
      <c r="X100" s="51">
        <v>46038</v>
      </c>
      <c r="Y100" s="51">
        <v>46038</v>
      </c>
      <c r="Z100" s="28">
        <v>9</v>
      </c>
      <c r="AA100" s="16" t="s">
        <v>1711</v>
      </c>
      <c r="AB100" s="8" t="s">
        <v>291</v>
      </c>
      <c r="AC100" s="8" t="s">
        <v>395</v>
      </c>
      <c r="AD100" s="19" t="s">
        <v>137</v>
      </c>
      <c r="AE100" s="8">
        <v>3102690054</v>
      </c>
      <c r="AF100" s="8" t="s">
        <v>276</v>
      </c>
      <c r="AG100" s="8" t="s">
        <v>292</v>
      </c>
      <c r="AH100" s="51">
        <v>33396</v>
      </c>
      <c r="AI100" s="28">
        <v>35</v>
      </c>
      <c r="AJ100" s="51" t="s">
        <v>1853</v>
      </c>
    </row>
    <row r="101" spans="1:36" ht="12.65" customHeight="1" x14ac:dyDescent="0.35">
      <c r="A101" s="8" t="s">
        <v>139</v>
      </c>
      <c r="B101" s="8" t="s">
        <v>136</v>
      </c>
      <c r="C101" s="8" t="s">
        <v>135</v>
      </c>
      <c r="D101" s="34" t="s">
        <v>991</v>
      </c>
      <c r="E101" s="14" t="s">
        <v>992</v>
      </c>
      <c r="F101" s="14" t="s">
        <v>57</v>
      </c>
      <c r="G101" s="14" t="s">
        <v>1</v>
      </c>
      <c r="H101" s="14" t="s">
        <v>9</v>
      </c>
      <c r="I101" s="34" t="s">
        <v>806</v>
      </c>
      <c r="J101" s="8" t="s">
        <v>807</v>
      </c>
      <c r="K101" s="69" t="s">
        <v>808</v>
      </c>
      <c r="L101" s="8" t="s">
        <v>871</v>
      </c>
      <c r="M101" s="8" t="s">
        <v>872</v>
      </c>
      <c r="N101" s="8" t="s">
        <v>393</v>
      </c>
      <c r="O101" s="8" t="s">
        <v>11</v>
      </c>
      <c r="P101" s="8" t="s">
        <v>274</v>
      </c>
      <c r="Q101" s="8" t="s">
        <v>275</v>
      </c>
      <c r="R101" s="8" t="s">
        <v>231</v>
      </c>
      <c r="S101" s="8" t="s">
        <v>247</v>
      </c>
      <c r="T101" s="14" t="s">
        <v>1666</v>
      </c>
      <c r="U101" s="8" t="s">
        <v>54</v>
      </c>
      <c r="V101" s="8">
        <v>1</v>
      </c>
      <c r="W101" s="18">
        <v>0.8</v>
      </c>
      <c r="X101" s="51">
        <v>45674</v>
      </c>
      <c r="Y101" s="51">
        <v>45674</v>
      </c>
      <c r="Z101" s="28">
        <v>20</v>
      </c>
      <c r="AA101" s="16" t="s">
        <v>1700</v>
      </c>
      <c r="AB101" s="8" t="s">
        <v>307</v>
      </c>
      <c r="AC101" s="8" t="s">
        <v>307</v>
      </c>
      <c r="AD101" s="19" t="s">
        <v>137</v>
      </c>
      <c r="AE101" s="19">
        <v>3102651362</v>
      </c>
      <c r="AF101" s="19" t="s">
        <v>276</v>
      </c>
      <c r="AG101" s="8" t="s">
        <v>295</v>
      </c>
      <c r="AH101" s="51">
        <v>26328</v>
      </c>
      <c r="AI101" s="28">
        <v>54</v>
      </c>
      <c r="AJ101" s="51" t="s">
        <v>1853</v>
      </c>
    </row>
    <row r="102" spans="1:36" ht="12.65" customHeight="1" x14ac:dyDescent="0.35">
      <c r="A102" s="8" t="s">
        <v>139</v>
      </c>
      <c r="B102" s="8" t="s">
        <v>136</v>
      </c>
      <c r="C102" s="8" t="s">
        <v>135</v>
      </c>
      <c r="D102" s="34" t="s">
        <v>991</v>
      </c>
      <c r="E102" s="14" t="s">
        <v>992</v>
      </c>
      <c r="F102" s="14" t="s">
        <v>57</v>
      </c>
      <c r="G102" s="14" t="s">
        <v>1</v>
      </c>
      <c r="H102" s="14" t="s">
        <v>9</v>
      </c>
      <c r="I102" s="34" t="s">
        <v>1542</v>
      </c>
      <c r="J102" s="8" t="s">
        <v>1543</v>
      </c>
      <c r="K102" s="69" t="s">
        <v>1831</v>
      </c>
      <c r="L102" s="8" t="s">
        <v>871</v>
      </c>
      <c r="M102" s="8" t="s">
        <v>872</v>
      </c>
      <c r="N102" s="8" t="s">
        <v>393</v>
      </c>
      <c r="O102" s="8" t="s">
        <v>11</v>
      </c>
      <c r="P102" s="8" t="s">
        <v>274</v>
      </c>
      <c r="Q102" s="8" t="s">
        <v>275</v>
      </c>
      <c r="R102" s="8" t="s">
        <v>231</v>
      </c>
      <c r="S102" s="8" t="s">
        <v>247</v>
      </c>
      <c r="T102" s="14" t="s">
        <v>1666</v>
      </c>
      <c r="U102" s="8" t="s">
        <v>54</v>
      </c>
      <c r="V102" s="8">
        <v>0</v>
      </c>
      <c r="W102" s="18">
        <v>0.2</v>
      </c>
      <c r="X102" s="51">
        <v>45674</v>
      </c>
      <c r="Y102" s="51">
        <v>45674</v>
      </c>
      <c r="Z102" s="28">
        <v>20</v>
      </c>
      <c r="AA102" s="16" t="s">
        <v>1700</v>
      </c>
      <c r="AB102" s="8" t="s">
        <v>307</v>
      </c>
      <c r="AC102" s="8" t="s">
        <v>307</v>
      </c>
      <c r="AD102" s="19" t="s">
        <v>137</v>
      </c>
      <c r="AE102" s="19">
        <v>3102651362</v>
      </c>
      <c r="AF102" s="19" t="s">
        <v>276</v>
      </c>
      <c r="AG102" s="8" t="s">
        <v>295</v>
      </c>
      <c r="AH102" s="51">
        <v>26328</v>
      </c>
      <c r="AI102" s="28">
        <v>54</v>
      </c>
      <c r="AJ102" s="51" t="s">
        <v>1853</v>
      </c>
    </row>
    <row r="103" spans="1:36" ht="12.65" customHeight="1" x14ac:dyDescent="0.35">
      <c r="A103" s="8" t="s">
        <v>139</v>
      </c>
      <c r="B103" s="8" t="s">
        <v>136</v>
      </c>
      <c r="C103" s="8" t="s">
        <v>135</v>
      </c>
      <c r="D103" s="34" t="s">
        <v>993</v>
      </c>
      <c r="E103" s="14" t="s">
        <v>994</v>
      </c>
      <c r="F103" s="14" t="s">
        <v>57</v>
      </c>
      <c r="G103" s="14" t="s">
        <v>1</v>
      </c>
      <c r="H103" s="14" t="s">
        <v>9</v>
      </c>
      <c r="I103" s="34" t="s">
        <v>383</v>
      </c>
      <c r="J103" s="8" t="s">
        <v>41</v>
      </c>
      <c r="K103" s="69" t="s">
        <v>384</v>
      </c>
      <c r="L103" s="8" t="s">
        <v>75</v>
      </c>
      <c r="M103" s="8" t="s">
        <v>76</v>
      </c>
      <c r="N103" s="8" t="s">
        <v>306</v>
      </c>
      <c r="O103" s="8" t="s">
        <v>36</v>
      </c>
      <c r="P103" s="8" t="s">
        <v>282</v>
      </c>
      <c r="Q103" s="8" t="s">
        <v>543</v>
      </c>
      <c r="R103" s="8" t="s">
        <v>222</v>
      </c>
      <c r="S103" s="8" t="s">
        <v>237</v>
      </c>
      <c r="T103" s="8" t="s">
        <v>199</v>
      </c>
      <c r="U103" s="8" t="s">
        <v>189</v>
      </c>
      <c r="V103" s="8">
        <v>1</v>
      </c>
      <c r="W103" s="18">
        <v>1</v>
      </c>
      <c r="X103" s="51">
        <v>45659</v>
      </c>
      <c r="Y103" s="51">
        <v>44495</v>
      </c>
      <c r="Z103" s="28">
        <v>59</v>
      </c>
      <c r="AA103" s="16" t="s">
        <v>1701</v>
      </c>
      <c r="AB103" s="8" t="s">
        <v>294</v>
      </c>
      <c r="AC103" s="8" t="s">
        <v>294</v>
      </c>
      <c r="AD103" s="19" t="s">
        <v>134</v>
      </c>
      <c r="AE103" s="19">
        <v>3102683316</v>
      </c>
      <c r="AF103" s="19" t="s">
        <v>276</v>
      </c>
      <c r="AG103" s="8" t="s">
        <v>292</v>
      </c>
      <c r="AH103" s="51">
        <v>36098</v>
      </c>
      <c r="AI103" s="28">
        <v>27</v>
      </c>
      <c r="AJ103" s="51" t="s">
        <v>1852</v>
      </c>
    </row>
    <row r="104" spans="1:36" ht="12.65" customHeight="1" x14ac:dyDescent="0.35">
      <c r="A104" s="8" t="s">
        <v>139</v>
      </c>
      <c r="B104" s="8" t="s">
        <v>136</v>
      </c>
      <c r="C104" s="8" t="s">
        <v>135</v>
      </c>
      <c r="D104" s="33" t="s">
        <v>895</v>
      </c>
      <c r="E104" s="14" t="s">
        <v>896</v>
      </c>
      <c r="F104" s="14" t="s">
        <v>57</v>
      </c>
      <c r="G104" s="14" t="s">
        <v>1</v>
      </c>
      <c r="H104" s="14" t="s">
        <v>9</v>
      </c>
      <c r="I104" s="34" t="s">
        <v>727</v>
      </c>
      <c r="J104" s="8" t="s">
        <v>32</v>
      </c>
      <c r="K104" s="69" t="s">
        <v>728</v>
      </c>
      <c r="L104" s="8" t="s">
        <v>299</v>
      </c>
      <c r="M104" s="8" t="s">
        <v>299</v>
      </c>
      <c r="N104" s="8" t="s">
        <v>306</v>
      </c>
      <c r="O104" s="8" t="s">
        <v>11</v>
      </c>
      <c r="P104" s="8" t="s">
        <v>274</v>
      </c>
      <c r="Q104" s="8" t="s">
        <v>275</v>
      </c>
      <c r="R104" s="8" t="s">
        <v>231</v>
      </c>
      <c r="S104" s="8" t="s">
        <v>247</v>
      </c>
      <c r="T104" s="8" t="s">
        <v>208</v>
      </c>
      <c r="U104" s="8" t="s">
        <v>194</v>
      </c>
      <c r="V104" s="8">
        <v>1</v>
      </c>
      <c r="W104" s="18">
        <v>1</v>
      </c>
      <c r="X104" s="16">
        <v>46161</v>
      </c>
      <c r="Y104" s="16">
        <v>46161</v>
      </c>
      <c r="Z104" s="28">
        <v>4</v>
      </c>
      <c r="AA104" s="16" t="s">
        <v>1699</v>
      </c>
      <c r="AB104" s="8" t="s">
        <v>291</v>
      </c>
      <c r="AC104" s="8" t="s">
        <v>291</v>
      </c>
      <c r="AD104" s="8" t="s">
        <v>137</v>
      </c>
      <c r="AE104" s="8" t="s">
        <v>153</v>
      </c>
      <c r="AF104" s="8" t="s">
        <v>153</v>
      </c>
      <c r="AG104" s="8" t="s">
        <v>292</v>
      </c>
      <c r="AH104" s="51">
        <v>36140</v>
      </c>
      <c r="AI104" s="28">
        <v>27</v>
      </c>
      <c r="AJ104" s="51" t="s">
        <v>1853</v>
      </c>
    </row>
    <row r="105" spans="1:36" ht="12.65" customHeight="1" x14ac:dyDescent="0.35">
      <c r="A105" s="8" t="s">
        <v>139</v>
      </c>
      <c r="B105" s="8" t="s">
        <v>136</v>
      </c>
      <c r="C105" s="8" t="s">
        <v>135</v>
      </c>
      <c r="D105" s="35" t="s">
        <v>995</v>
      </c>
      <c r="E105" s="14" t="s">
        <v>996</v>
      </c>
      <c r="F105" s="14" t="s">
        <v>57</v>
      </c>
      <c r="G105" s="14" t="s">
        <v>1</v>
      </c>
      <c r="H105" s="14" t="s">
        <v>9</v>
      </c>
      <c r="I105" s="34" t="s">
        <v>723</v>
      </c>
      <c r="J105" s="8" t="s">
        <v>859</v>
      </c>
      <c r="K105" s="69" t="s">
        <v>724</v>
      </c>
      <c r="L105" s="8" t="s">
        <v>548</v>
      </c>
      <c r="M105" s="8" t="s">
        <v>548</v>
      </c>
      <c r="N105" s="8" t="s">
        <v>306</v>
      </c>
      <c r="O105" s="8" t="s">
        <v>146</v>
      </c>
      <c r="P105" s="8" t="s">
        <v>283</v>
      </c>
      <c r="Q105" s="8" t="s">
        <v>326</v>
      </c>
      <c r="R105" s="8" t="s">
        <v>234</v>
      </c>
      <c r="S105" s="8" t="s">
        <v>241</v>
      </c>
      <c r="T105" s="8" t="s">
        <v>160</v>
      </c>
      <c r="U105" s="8" t="s">
        <v>186</v>
      </c>
      <c r="V105" s="8">
        <v>1</v>
      </c>
      <c r="W105" s="18">
        <v>1</v>
      </c>
      <c r="X105" s="51">
        <v>45754</v>
      </c>
      <c r="Y105" s="51">
        <v>45754</v>
      </c>
      <c r="Z105" s="28">
        <v>18</v>
      </c>
      <c r="AA105" s="16" t="s">
        <v>1700</v>
      </c>
      <c r="AB105" s="8" t="s">
        <v>291</v>
      </c>
      <c r="AC105" s="8" t="s">
        <v>291</v>
      </c>
      <c r="AD105" s="8" t="s">
        <v>137</v>
      </c>
      <c r="AE105" s="8">
        <v>3102705647</v>
      </c>
      <c r="AF105" s="8" t="s">
        <v>276</v>
      </c>
      <c r="AG105" s="8" t="s">
        <v>292</v>
      </c>
      <c r="AH105" s="51">
        <v>32629</v>
      </c>
      <c r="AI105" s="28">
        <v>37</v>
      </c>
      <c r="AJ105" s="51" t="s">
        <v>1853</v>
      </c>
    </row>
    <row r="106" spans="1:36" ht="12.65" customHeight="1" x14ac:dyDescent="0.35">
      <c r="A106" s="8" t="s">
        <v>139</v>
      </c>
      <c r="B106" s="8" t="s">
        <v>136</v>
      </c>
      <c r="C106" s="8" t="s">
        <v>135</v>
      </c>
      <c r="D106" s="34" t="s">
        <v>997</v>
      </c>
      <c r="E106" s="14" t="s">
        <v>998</v>
      </c>
      <c r="F106" s="14" t="s">
        <v>57</v>
      </c>
      <c r="G106" s="14" t="s">
        <v>1</v>
      </c>
      <c r="H106" s="14" t="s">
        <v>9</v>
      </c>
      <c r="I106" s="34" t="s">
        <v>1513</v>
      </c>
      <c r="J106" s="8" t="s">
        <v>1514</v>
      </c>
      <c r="K106" s="69" t="s">
        <v>1515</v>
      </c>
      <c r="L106" s="8" t="s">
        <v>548</v>
      </c>
      <c r="M106" s="8" t="s">
        <v>548</v>
      </c>
      <c r="N106" s="8" t="s">
        <v>306</v>
      </c>
      <c r="O106" s="8" t="s">
        <v>11</v>
      </c>
      <c r="P106" s="8" t="s">
        <v>274</v>
      </c>
      <c r="Q106" s="8" t="s">
        <v>275</v>
      </c>
      <c r="R106" s="8" t="s">
        <v>231</v>
      </c>
      <c r="S106" s="8" t="s">
        <v>247</v>
      </c>
      <c r="T106" s="8" t="s">
        <v>208</v>
      </c>
      <c r="U106" s="8" t="s">
        <v>186</v>
      </c>
      <c r="V106" s="8">
        <v>1</v>
      </c>
      <c r="W106" s="18">
        <v>1</v>
      </c>
      <c r="X106" s="51">
        <v>45659</v>
      </c>
      <c r="Y106" s="51">
        <v>45588</v>
      </c>
      <c r="Z106" s="28">
        <v>23</v>
      </c>
      <c r="AA106" s="16" t="s">
        <v>1700</v>
      </c>
      <c r="AB106" s="8" t="s">
        <v>294</v>
      </c>
      <c r="AC106" s="8" t="s">
        <v>294</v>
      </c>
      <c r="AD106" s="8" t="s">
        <v>134</v>
      </c>
      <c r="AE106" s="8">
        <v>3102637256</v>
      </c>
      <c r="AF106" s="8" t="s">
        <v>276</v>
      </c>
      <c r="AG106" s="8" t="s">
        <v>295</v>
      </c>
      <c r="AH106" s="51">
        <v>31272</v>
      </c>
      <c r="AI106" s="28">
        <v>41</v>
      </c>
      <c r="AJ106" s="51" t="s">
        <v>1853</v>
      </c>
    </row>
    <row r="107" spans="1:36" ht="12.65" customHeight="1" x14ac:dyDescent="0.35">
      <c r="A107" s="8" t="s">
        <v>139</v>
      </c>
      <c r="B107" s="8" t="s">
        <v>136</v>
      </c>
      <c r="C107" s="8" t="s">
        <v>135</v>
      </c>
      <c r="D107" s="34" t="s">
        <v>999</v>
      </c>
      <c r="E107" s="14" t="s">
        <v>1000</v>
      </c>
      <c r="F107" s="14" t="s">
        <v>57</v>
      </c>
      <c r="G107" s="14" t="s">
        <v>1</v>
      </c>
      <c r="H107" s="14" t="s">
        <v>9</v>
      </c>
      <c r="I107" s="34" t="s">
        <v>332</v>
      </c>
      <c r="J107" s="8" t="s">
        <v>101</v>
      </c>
      <c r="K107" s="69" t="s">
        <v>333</v>
      </c>
      <c r="L107" s="8" t="s">
        <v>75</v>
      </c>
      <c r="M107" s="8" t="s">
        <v>75</v>
      </c>
      <c r="N107" s="8" t="s">
        <v>306</v>
      </c>
      <c r="O107" s="8" t="s">
        <v>11</v>
      </c>
      <c r="P107" s="8" t="s">
        <v>274</v>
      </c>
      <c r="Q107" s="8" t="s">
        <v>275</v>
      </c>
      <c r="R107" s="8" t="s">
        <v>1628</v>
      </c>
      <c r="S107" s="8" t="s">
        <v>247</v>
      </c>
      <c r="T107" s="8" t="s">
        <v>172</v>
      </c>
      <c r="U107" s="8" t="s">
        <v>189</v>
      </c>
      <c r="V107" s="8">
        <v>1</v>
      </c>
      <c r="W107" s="18">
        <v>1</v>
      </c>
      <c r="X107" s="51">
        <v>46119</v>
      </c>
      <c r="Y107" s="51">
        <v>46119</v>
      </c>
      <c r="Z107" s="28">
        <v>6</v>
      </c>
      <c r="AA107" s="16" t="s">
        <v>1710</v>
      </c>
      <c r="AB107" s="8" t="s">
        <v>294</v>
      </c>
      <c r="AC107" s="8" t="s">
        <v>294</v>
      </c>
      <c r="AD107" s="51" t="s">
        <v>137</v>
      </c>
      <c r="AE107" s="19" t="s">
        <v>153</v>
      </c>
      <c r="AF107" s="19" t="s">
        <v>153</v>
      </c>
      <c r="AG107" s="8" t="s">
        <v>292</v>
      </c>
      <c r="AH107" s="51">
        <v>36284</v>
      </c>
      <c r="AI107" s="28">
        <v>27</v>
      </c>
      <c r="AJ107" s="51" t="s">
        <v>1853</v>
      </c>
    </row>
    <row r="108" spans="1:36" ht="12.65" customHeight="1" x14ac:dyDescent="0.35">
      <c r="A108" s="8" t="s">
        <v>139</v>
      </c>
      <c r="B108" s="8" t="s">
        <v>136</v>
      </c>
      <c r="C108" s="8" t="s">
        <v>135</v>
      </c>
      <c r="D108" s="35" t="s">
        <v>1001</v>
      </c>
      <c r="E108" s="14" t="s">
        <v>1002</v>
      </c>
      <c r="F108" s="14" t="s">
        <v>57</v>
      </c>
      <c r="G108" s="14" t="s">
        <v>1</v>
      </c>
      <c r="H108" s="14" t="s">
        <v>9</v>
      </c>
      <c r="I108" s="34" t="s">
        <v>324</v>
      </c>
      <c r="J108" s="8" t="s">
        <v>94</v>
      </c>
      <c r="K108" s="69" t="s">
        <v>325</v>
      </c>
      <c r="L108" s="8" t="s">
        <v>75</v>
      </c>
      <c r="M108" s="8" t="s">
        <v>75</v>
      </c>
      <c r="N108" s="8" t="s">
        <v>306</v>
      </c>
      <c r="O108" s="8" t="s">
        <v>146</v>
      </c>
      <c r="P108" s="8" t="s">
        <v>283</v>
      </c>
      <c r="Q108" s="8" t="s">
        <v>326</v>
      </c>
      <c r="R108" s="8" t="s">
        <v>234</v>
      </c>
      <c r="S108" s="8" t="s">
        <v>241</v>
      </c>
      <c r="T108" s="8" t="s">
        <v>169</v>
      </c>
      <c r="U108" s="8" t="s">
        <v>189</v>
      </c>
      <c r="V108" s="8">
        <v>1</v>
      </c>
      <c r="W108" s="18">
        <v>1</v>
      </c>
      <c r="X108" s="53">
        <v>45659</v>
      </c>
      <c r="Y108" s="53">
        <v>45363</v>
      </c>
      <c r="Z108" s="28">
        <v>31</v>
      </c>
      <c r="AA108" s="16" t="s">
        <v>1701</v>
      </c>
      <c r="AB108" s="8" t="s">
        <v>291</v>
      </c>
      <c r="AC108" s="8" t="s">
        <v>291</v>
      </c>
      <c r="AD108" s="14" t="s">
        <v>134</v>
      </c>
      <c r="AE108" s="14">
        <v>3102709097</v>
      </c>
      <c r="AF108" s="14" t="s">
        <v>276</v>
      </c>
      <c r="AG108" s="8" t="s">
        <v>292</v>
      </c>
      <c r="AH108" s="51">
        <v>33309</v>
      </c>
      <c r="AI108" s="28">
        <v>35</v>
      </c>
      <c r="AJ108" s="51" t="s">
        <v>1852</v>
      </c>
    </row>
    <row r="109" spans="1:36" ht="12.65" customHeight="1" x14ac:dyDescent="0.35">
      <c r="A109" s="8" t="s">
        <v>139</v>
      </c>
      <c r="B109" s="8" t="s">
        <v>136</v>
      </c>
      <c r="C109" s="8" t="s">
        <v>135</v>
      </c>
      <c r="D109" s="34" t="s">
        <v>1372</v>
      </c>
      <c r="E109" s="14" t="s">
        <v>1373</v>
      </c>
      <c r="F109" s="14" t="s">
        <v>57</v>
      </c>
      <c r="G109" s="14" t="s">
        <v>1</v>
      </c>
      <c r="H109" s="14" t="s">
        <v>9</v>
      </c>
      <c r="I109" s="34" t="s">
        <v>1374</v>
      </c>
      <c r="J109" s="8" t="s">
        <v>1375</v>
      </c>
      <c r="K109" s="69" t="s">
        <v>14</v>
      </c>
      <c r="L109" s="8" t="s">
        <v>871</v>
      </c>
      <c r="M109" s="8" t="s">
        <v>872</v>
      </c>
      <c r="N109" s="8" t="s">
        <v>393</v>
      </c>
      <c r="O109" s="8" t="s">
        <v>11</v>
      </c>
      <c r="P109" s="8" t="s">
        <v>274</v>
      </c>
      <c r="Q109" s="8" t="s">
        <v>275</v>
      </c>
      <c r="R109" s="8" t="s">
        <v>231</v>
      </c>
      <c r="S109" s="8" t="s">
        <v>247</v>
      </c>
      <c r="T109" s="14" t="s">
        <v>1666</v>
      </c>
      <c r="U109" s="8" t="s">
        <v>54</v>
      </c>
      <c r="V109" s="8">
        <v>1</v>
      </c>
      <c r="W109" s="18">
        <v>0.2</v>
      </c>
      <c r="X109" s="51">
        <v>45659</v>
      </c>
      <c r="Y109" s="51">
        <v>45355</v>
      </c>
      <c r="Z109" s="28">
        <v>31</v>
      </c>
      <c r="AA109" s="16" t="s">
        <v>1701</v>
      </c>
      <c r="AB109" s="8" t="s">
        <v>307</v>
      </c>
      <c r="AC109" s="8" t="s">
        <v>307</v>
      </c>
      <c r="AD109" s="19" t="s">
        <v>134</v>
      </c>
      <c r="AE109" s="19">
        <v>3102672031</v>
      </c>
      <c r="AF109" s="19" t="s">
        <v>276</v>
      </c>
      <c r="AG109" s="8" t="s">
        <v>295</v>
      </c>
      <c r="AH109" s="51">
        <v>37917</v>
      </c>
      <c r="AI109" s="28">
        <v>22</v>
      </c>
      <c r="AJ109" s="51" t="s">
        <v>1852</v>
      </c>
    </row>
    <row r="110" spans="1:36" ht="12.65" customHeight="1" x14ac:dyDescent="0.35">
      <c r="A110" s="8" t="s">
        <v>139</v>
      </c>
      <c r="B110" s="8" t="s">
        <v>136</v>
      </c>
      <c r="C110" s="8" t="s">
        <v>135</v>
      </c>
      <c r="D110" s="34" t="s">
        <v>1372</v>
      </c>
      <c r="E110" s="14" t="s">
        <v>1373</v>
      </c>
      <c r="F110" s="14" t="s">
        <v>57</v>
      </c>
      <c r="G110" s="14" t="s">
        <v>1</v>
      </c>
      <c r="H110" s="14" t="s">
        <v>9</v>
      </c>
      <c r="I110" s="34" t="s">
        <v>1376</v>
      </c>
      <c r="J110" s="8" t="s">
        <v>1377</v>
      </c>
      <c r="K110" s="69" t="s">
        <v>1378</v>
      </c>
      <c r="L110" s="8" t="s">
        <v>871</v>
      </c>
      <c r="M110" s="8" t="s">
        <v>872</v>
      </c>
      <c r="N110" s="8" t="s">
        <v>393</v>
      </c>
      <c r="O110" s="8" t="s">
        <v>11</v>
      </c>
      <c r="P110" s="8" t="s">
        <v>274</v>
      </c>
      <c r="Q110" s="8" t="s">
        <v>275</v>
      </c>
      <c r="R110" s="8" t="s">
        <v>231</v>
      </c>
      <c r="S110" s="8" t="s">
        <v>247</v>
      </c>
      <c r="T110" s="14" t="s">
        <v>1666</v>
      </c>
      <c r="U110" s="8" t="s">
        <v>54</v>
      </c>
      <c r="V110" s="8">
        <v>0</v>
      </c>
      <c r="W110" s="18">
        <v>0.8</v>
      </c>
      <c r="X110" s="51">
        <v>45659</v>
      </c>
      <c r="Y110" s="51">
        <v>45355</v>
      </c>
      <c r="Z110" s="28">
        <v>31</v>
      </c>
      <c r="AA110" s="16" t="s">
        <v>1701</v>
      </c>
      <c r="AB110" s="8" t="s">
        <v>307</v>
      </c>
      <c r="AC110" s="8" t="s">
        <v>307</v>
      </c>
      <c r="AD110" s="19" t="s">
        <v>134</v>
      </c>
      <c r="AE110" s="19">
        <v>3102672031</v>
      </c>
      <c r="AF110" s="19" t="s">
        <v>276</v>
      </c>
      <c r="AG110" s="8" t="s">
        <v>295</v>
      </c>
      <c r="AH110" s="51">
        <v>37917</v>
      </c>
      <c r="AI110" s="28">
        <v>22</v>
      </c>
      <c r="AJ110" s="51" t="s">
        <v>1852</v>
      </c>
    </row>
    <row r="111" spans="1:36" ht="12.65" customHeight="1" x14ac:dyDescent="0.35">
      <c r="A111" s="8" t="s">
        <v>139</v>
      </c>
      <c r="B111" s="8" t="s">
        <v>136</v>
      </c>
      <c r="C111" s="8" t="s">
        <v>135</v>
      </c>
      <c r="D111" s="34" t="s">
        <v>1003</v>
      </c>
      <c r="E111" s="14" t="s">
        <v>1004</v>
      </c>
      <c r="F111" s="14" t="s">
        <v>57</v>
      </c>
      <c r="G111" s="14" t="s">
        <v>1</v>
      </c>
      <c r="H111" s="14" t="s">
        <v>9</v>
      </c>
      <c r="I111" s="34" t="s">
        <v>1005</v>
      </c>
      <c r="J111" s="8" t="s">
        <v>645</v>
      </c>
      <c r="K111" s="69" t="s">
        <v>1007</v>
      </c>
      <c r="L111" s="8" t="s">
        <v>299</v>
      </c>
      <c r="M111" s="8" t="s">
        <v>299</v>
      </c>
      <c r="N111" s="8" t="s">
        <v>306</v>
      </c>
      <c r="O111" s="8" t="s">
        <v>351</v>
      </c>
      <c r="P111" s="8" t="s">
        <v>274</v>
      </c>
      <c r="Q111" s="8" t="s">
        <v>275</v>
      </c>
      <c r="R111" s="8" t="s">
        <v>231</v>
      </c>
      <c r="S111" s="8" t="s">
        <v>247</v>
      </c>
      <c r="T111" s="8" t="s">
        <v>208</v>
      </c>
      <c r="U111" s="8" t="s">
        <v>194</v>
      </c>
      <c r="V111" s="8">
        <v>1</v>
      </c>
      <c r="W111" s="18">
        <v>1</v>
      </c>
      <c r="X111" s="51">
        <v>46087</v>
      </c>
      <c r="Y111" s="51">
        <v>46087</v>
      </c>
      <c r="Z111" s="28">
        <v>7</v>
      </c>
      <c r="AA111" s="16" t="s">
        <v>1710</v>
      </c>
      <c r="AB111" s="8" t="s">
        <v>293</v>
      </c>
      <c r="AC111" s="8" t="s">
        <v>293</v>
      </c>
      <c r="AD111" s="8" t="s">
        <v>137</v>
      </c>
      <c r="AE111" s="8" t="s">
        <v>153</v>
      </c>
      <c r="AF111" s="8" t="s">
        <v>153</v>
      </c>
      <c r="AG111" s="8" t="s">
        <v>295</v>
      </c>
      <c r="AH111" s="51">
        <v>30394</v>
      </c>
      <c r="AI111" s="28">
        <v>43</v>
      </c>
      <c r="AJ111" s="51" t="s">
        <v>1853</v>
      </c>
    </row>
    <row r="112" spans="1:36" ht="12.65" customHeight="1" x14ac:dyDescent="0.35">
      <c r="A112" s="8" t="s">
        <v>139</v>
      </c>
      <c r="B112" s="8" t="s">
        <v>136</v>
      </c>
      <c r="C112" s="8" t="s">
        <v>135</v>
      </c>
      <c r="D112" s="35" t="s">
        <v>1008</v>
      </c>
      <c r="E112" s="14" t="s">
        <v>1009</v>
      </c>
      <c r="F112" s="14" t="s">
        <v>57</v>
      </c>
      <c r="G112" s="14" t="s">
        <v>1</v>
      </c>
      <c r="H112" s="14" t="s">
        <v>9</v>
      </c>
      <c r="I112" s="34" t="s">
        <v>609</v>
      </c>
      <c r="J112" s="8" t="s">
        <v>610</v>
      </c>
      <c r="K112" s="69" t="s">
        <v>611</v>
      </c>
      <c r="L112" s="8" t="s">
        <v>299</v>
      </c>
      <c r="M112" s="8" t="s">
        <v>299</v>
      </c>
      <c r="N112" s="8" t="s">
        <v>306</v>
      </c>
      <c r="O112" s="8" t="s">
        <v>612</v>
      </c>
      <c r="P112" s="8" t="s">
        <v>613</v>
      </c>
      <c r="Q112" s="8" t="s">
        <v>865</v>
      </c>
      <c r="R112" s="8" t="s">
        <v>1628</v>
      </c>
      <c r="S112" s="8" t="s">
        <v>247</v>
      </c>
      <c r="T112" s="8" t="s">
        <v>157</v>
      </c>
      <c r="U112" s="8" t="s">
        <v>194</v>
      </c>
      <c r="V112" s="8">
        <v>1</v>
      </c>
      <c r="W112" s="18">
        <v>1</v>
      </c>
      <c r="X112" s="51">
        <v>46051</v>
      </c>
      <c r="Y112" s="51">
        <v>46051</v>
      </c>
      <c r="Z112" s="28">
        <v>8</v>
      </c>
      <c r="AA112" s="16" t="s">
        <v>1710</v>
      </c>
      <c r="AB112" s="8" t="s">
        <v>291</v>
      </c>
      <c r="AC112" s="8" t="s">
        <v>291</v>
      </c>
      <c r="AD112" s="8" t="s">
        <v>137</v>
      </c>
      <c r="AE112" s="8">
        <v>3102622546</v>
      </c>
      <c r="AF112" s="8" t="s">
        <v>276</v>
      </c>
      <c r="AG112" s="8" t="s">
        <v>292</v>
      </c>
      <c r="AH112" s="51">
        <v>31421</v>
      </c>
      <c r="AI112" s="28">
        <v>40</v>
      </c>
      <c r="AJ112" s="51" t="s">
        <v>1853</v>
      </c>
    </row>
    <row r="113" spans="1:36" ht="12.65" customHeight="1" x14ac:dyDescent="0.35">
      <c r="A113" s="8" t="s">
        <v>139</v>
      </c>
      <c r="B113" s="8" t="s">
        <v>136</v>
      </c>
      <c r="C113" s="8" t="s">
        <v>135</v>
      </c>
      <c r="D113" s="35" t="s">
        <v>1010</v>
      </c>
      <c r="E113" s="14" t="s">
        <v>1011</v>
      </c>
      <c r="F113" s="14" t="s">
        <v>57</v>
      </c>
      <c r="G113" s="14" t="s">
        <v>1</v>
      </c>
      <c r="H113" s="14" t="s">
        <v>9</v>
      </c>
      <c r="I113" s="34" t="s">
        <v>695</v>
      </c>
      <c r="J113" s="8" t="s">
        <v>696</v>
      </c>
      <c r="K113" s="69" t="s">
        <v>697</v>
      </c>
      <c r="L113" s="8" t="s">
        <v>299</v>
      </c>
      <c r="M113" s="8" t="s">
        <v>299</v>
      </c>
      <c r="N113" s="8" t="s">
        <v>306</v>
      </c>
      <c r="O113" s="8" t="s">
        <v>429</v>
      </c>
      <c r="P113" s="8" t="s">
        <v>285</v>
      </c>
      <c r="Q113" s="8" t="s">
        <v>285</v>
      </c>
      <c r="R113" s="8" t="s">
        <v>225</v>
      </c>
      <c r="S113" s="8" t="s">
        <v>237</v>
      </c>
      <c r="T113" s="8" t="s">
        <v>175</v>
      </c>
      <c r="U113" s="8" t="s">
        <v>194</v>
      </c>
      <c r="V113" s="8">
        <v>1</v>
      </c>
      <c r="W113" s="18">
        <v>1</v>
      </c>
      <c r="X113" s="51">
        <v>46148</v>
      </c>
      <c r="Y113" s="51">
        <v>46148</v>
      </c>
      <c r="Z113" s="28">
        <v>5</v>
      </c>
      <c r="AA113" s="16" t="s">
        <v>1699</v>
      </c>
      <c r="AB113" s="8" t="s">
        <v>294</v>
      </c>
      <c r="AC113" s="8" t="s">
        <v>294</v>
      </c>
      <c r="AD113" s="8" t="s">
        <v>137</v>
      </c>
      <c r="AE113" s="8" t="s">
        <v>153</v>
      </c>
      <c r="AF113" s="8" t="s">
        <v>153</v>
      </c>
      <c r="AG113" s="8" t="s">
        <v>292</v>
      </c>
      <c r="AH113" s="51">
        <v>36763</v>
      </c>
      <c r="AI113" s="28">
        <v>26</v>
      </c>
      <c r="AJ113" s="51" t="s">
        <v>1853</v>
      </c>
    </row>
    <row r="114" spans="1:36" ht="12.65" customHeight="1" x14ac:dyDescent="0.35">
      <c r="A114" s="8" t="s">
        <v>139</v>
      </c>
      <c r="B114" s="8" t="s">
        <v>136</v>
      </c>
      <c r="C114" s="8" t="s">
        <v>135</v>
      </c>
      <c r="D114" s="34" t="s">
        <v>1012</v>
      </c>
      <c r="E114" s="14" t="s">
        <v>1013</v>
      </c>
      <c r="F114" s="14" t="s">
        <v>57</v>
      </c>
      <c r="G114" s="14" t="s">
        <v>1</v>
      </c>
      <c r="H114" s="14" t="s">
        <v>9</v>
      </c>
      <c r="I114" s="34" t="s">
        <v>817</v>
      </c>
      <c r="J114" s="8" t="s">
        <v>86</v>
      </c>
      <c r="K114" s="69" t="s">
        <v>818</v>
      </c>
      <c r="L114" s="8" t="s">
        <v>75</v>
      </c>
      <c r="M114" s="8" t="s">
        <v>76</v>
      </c>
      <c r="N114" s="8" t="s">
        <v>306</v>
      </c>
      <c r="O114" s="8" t="s">
        <v>154</v>
      </c>
      <c r="P114" s="8" t="s">
        <v>476</v>
      </c>
      <c r="Q114" s="8" t="s">
        <v>326</v>
      </c>
      <c r="R114" s="8" t="s">
        <v>234</v>
      </c>
      <c r="S114" s="8" t="s">
        <v>241</v>
      </c>
      <c r="T114" s="8" t="s">
        <v>169</v>
      </c>
      <c r="U114" s="8" t="s">
        <v>189</v>
      </c>
      <c r="V114" s="8">
        <v>1</v>
      </c>
      <c r="W114" s="18">
        <v>1</v>
      </c>
      <c r="X114" s="51">
        <v>45698</v>
      </c>
      <c r="Y114" s="51">
        <v>45698</v>
      </c>
      <c r="Z114" s="28">
        <v>20</v>
      </c>
      <c r="AA114" s="16" t="s">
        <v>1700</v>
      </c>
      <c r="AB114" s="8" t="s">
        <v>395</v>
      </c>
      <c r="AC114" s="8" t="s">
        <v>294</v>
      </c>
      <c r="AD114" s="8" t="s">
        <v>137</v>
      </c>
      <c r="AE114" s="8">
        <v>3102610293</v>
      </c>
      <c r="AF114" s="8" t="s">
        <v>276</v>
      </c>
      <c r="AG114" s="8" t="s">
        <v>292</v>
      </c>
      <c r="AH114" s="51">
        <v>34691</v>
      </c>
      <c r="AI114" s="28">
        <v>31</v>
      </c>
      <c r="AJ114" s="51" t="s">
        <v>1853</v>
      </c>
    </row>
    <row r="115" spans="1:36" ht="12.65" customHeight="1" x14ac:dyDescent="0.35">
      <c r="A115" s="8" t="s">
        <v>139</v>
      </c>
      <c r="B115" s="8" t="s">
        <v>136</v>
      </c>
      <c r="C115" s="8" t="s">
        <v>135</v>
      </c>
      <c r="D115" s="35" t="s">
        <v>1534</v>
      </c>
      <c r="E115" s="14" t="s">
        <v>1535</v>
      </c>
      <c r="F115" s="14" t="s">
        <v>57</v>
      </c>
      <c r="G115" s="14" t="s">
        <v>1</v>
      </c>
      <c r="H115" s="14" t="s">
        <v>9</v>
      </c>
      <c r="I115" s="17" t="s">
        <v>446</v>
      </c>
      <c r="J115" s="17" t="s">
        <v>447</v>
      </c>
      <c r="K115" s="72" t="s">
        <v>448</v>
      </c>
      <c r="L115" s="17" t="s">
        <v>299</v>
      </c>
      <c r="M115" s="17" t="s">
        <v>299</v>
      </c>
      <c r="N115" s="17" t="s">
        <v>306</v>
      </c>
      <c r="O115" s="17" t="s">
        <v>29</v>
      </c>
      <c r="P115" s="17" t="s">
        <v>277</v>
      </c>
      <c r="Q115" s="17" t="s">
        <v>278</v>
      </c>
      <c r="R115" s="8" t="s">
        <v>231</v>
      </c>
      <c r="S115" s="17" t="s">
        <v>247</v>
      </c>
      <c r="T115" s="17" t="s">
        <v>211</v>
      </c>
      <c r="U115" s="17" t="s">
        <v>194</v>
      </c>
      <c r="V115" s="8">
        <v>1</v>
      </c>
      <c r="W115" s="18">
        <v>1</v>
      </c>
      <c r="X115" s="53">
        <v>46240</v>
      </c>
      <c r="Y115" s="53">
        <v>46240</v>
      </c>
      <c r="Z115" s="28">
        <v>2</v>
      </c>
      <c r="AA115" s="16" t="s">
        <v>1698</v>
      </c>
      <c r="AB115" s="8" t="s">
        <v>294</v>
      </c>
      <c r="AC115" s="8" t="s">
        <v>294</v>
      </c>
      <c r="AD115" s="14" t="s">
        <v>137</v>
      </c>
      <c r="AE115" s="14" t="s">
        <v>153</v>
      </c>
      <c r="AF115" s="14" t="s">
        <v>153</v>
      </c>
      <c r="AG115" s="8" t="s">
        <v>292</v>
      </c>
      <c r="AH115" s="51">
        <v>34077</v>
      </c>
      <c r="AI115" s="28">
        <v>33</v>
      </c>
      <c r="AJ115" s="51" t="s">
        <v>1853</v>
      </c>
    </row>
    <row r="116" spans="1:36" ht="12.65" customHeight="1" x14ac:dyDescent="0.35">
      <c r="A116" s="8" t="s">
        <v>139</v>
      </c>
      <c r="B116" s="8" t="s">
        <v>1243</v>
      </c>
      <c r="C116" s="8" t="s">
        <v>135</v>
      </c>
      <c r="D116" s="35" t="s">
        <v>1813</v>
      </c>
      <c r="E116" s="14" t="s">
        <v>1812</v>
      </c>
      <c r="F116" s="14" t="s">
        <v>57</v>
      </c>
      <c r="G116" s="14" t="s">
        <v>1</v>
      </c>
      <c r="H116" s="14" t="s">
        <v>9</v>
      </c>
      <c r="I116" s="34" t="s">
        <v>310</v>
      </c>
      <c r="J116" s="8" t="s">
        <v>119</v>
      </c>
      <c r="K116" s="69" t="s">
        <v>311</v>
      </c>
      <c r="L116" s="8" t="s">
        <v>75</v>
      </c>
      <c r="M116" s="8" t="s">
        <v>107</v>
      </c>
      <c r="N116" s="8" t="s">
        <v>306</v>
      </c>
      <c r="O116" s="8" t="s">
        <v>11</v>
      </c>
      <c r="P116" s="8" t="s">
        <v>274</v>
      </c>
      <c r="Q116" s="8" t="s">
        <v>275</v>
      </c>
      <c r="R116" s="8" t="s">
        <v>1628</v>
      </c>
      <c r="S116" s="8" t="s">
        <v>247</v>
      </c>
      <c r="T116" s="8" t="s">
        <v>202</v>
      </c>
      <c r="U116" s="8" t="s">
        <v>189</v>
      </c>
      <c r="V116" s="8">
        <v>1</v>
      </c>
      <c r="W116" s="18">
        <v>1</v>
      </c>
      <c r="X116" s="51">
        <v>46226</v>
      </c>
      <c r="Y116" s="51">
        <v>46226</v>
      </c>
      <c r="Z116" s="28">
        <v>2</v>
      </c>
      <c r="AA116" s="16" t="s">
        <v>1698</v>
      </c>
      <c r="AB116" s="8" t="s">
        <v>293</v>
      </c>
      <c r="AC116" s="8" t="s">
        <v>291</v>
      </c>
      <c r="AD116" s="19" t="s">
        <v>137</v>
      </c>
      <c r="AE116" s="19" t="s">
        <v>153</v>
      </c>
      <c r="AF116" s="19" t="s">
        <v>153</v>
      </c>
      <c r="AG116" s="8" t="s">
        <v>292</v>
      </c>
      <c r="AH116" s="51">
        <v>38344</v>
      </c>
      <c r="AI116" s="28">
        <v>21</v>
      </c>
      <c r="AJ116" s="51" t="s">
        <v>1853</v>
      </c>
    </row>
    <row r="117" spans="1:36" ht="12.65" customHeight="1" x14ac:dyDescent="0.35">
      <c r="A117" s="8" t="s">
        <v>139</v>
      </c>
      <c r="B117" s="8" t="s">
        <v>136</v>
      </c>
      <c r="C117" s="8" t="s">
        <v>135</v>
      </c>
      <c r="D117" s="35" t="s">
        <v>1083</v>
      </c>
      <c r="E117" s="14" t="s">
        <v>53</v>
      </c>
      <c r="F117" s="14" t="s">
        <v>57</v>
      </c>
      <c r="G117" s="14" t="s">
        <v>1</v>
      </c>
      <c r="H117" s="14" t="s">
        <v>9</v>
      </c>
      <c r="I117" s="14" t="s">
        <v>1017</v>
      </c>
      <c r="J117" s="14" t="s">
        <v>1018</v>
      </c>
      <c r="K117" s="21" t="s">
        <v>1019</v>
      </c>
      <c r="L117" s="8" t="s">
        <v>391</v>
      </c>
      <c r="M117" s="8" t="s">
        <v>1020</v>
      </c>
      <c r="N117" s="8" t="s">
        <v>393</v>
      </c>
      <c r="O117" s="8" t="s">
        <v>404</v>
      </c>
      <c r="P117" s="8" t="s">
        <v>285</v>
      </c>
      <c r="Q117" s="8" t="s">
        <v>285</v>
      </c>
      <c r="R117" s="8" t="s">
        <v>225</v>
      </c>
      <c r="S117" s="8" t="s">
        <v>237</v>
      </c>
      <c r="T117" s="8" t="s">
        <v>216</v>
      </c>
      <c r="U117" s="8" t="s">
        <v>183</v>
      </c>
      <c r="V117" s="8">
        <v>1</v>
      </c>
      <c r="W117" s="18">
        <v>0.5</v>
      </c>
      <c r="X117" s="54">
        <v>45868</v>
      </c>
      <c r="Y117" s="54">
        <v>45868</v>
      </c>
      <c r="Z117" s="28">
        <v>14</v>
      </c>
      <c r="AA117" s="16" t="s">
        <v>1700</v>
      </c>
      <c r="AB117" s="8" t="s">
        <v>395</v>
      </c>
      <c r="AC117" s="8" t="s">
        <v>395</v>
      </c>
      <c r="AD117" s="41" t="s">
        <v>137</v>
      </c>
      <c r="AE117" s="41">
        <v>3102622739</v>
      </c>
      <c r="AF117" s="41" t="s">
        <v>276</v>
      </c>
      <c r="AG117" s="8" t="s">
        <v>295</v>
      </c>
      <c r="AH117" s="54">
        <v>34793</v>
      </c>
      <c r="AI117" s="40">
        <v>31</v>
      </c>
      <c r="AJ117" s="73" t="s">
        <v>1852</v>
      </c>
    </row>
    <row r="118" spans="1:36" ht="12.65" customHeight="1" x14ac:dyDescent="0.35">
      <c r="A118" s="8" t="s">
        <v>139</v>
      </c>
      <c r="B118" s="8" t="s">
        <v>136</v>
      </c>
      <c r="C118" s="8" t="s">
        <v>135</v>
      </c>
      <c r="D118" s="35" t="s">
        <v>1083</v>
      </c>
      <c r="E118" s="14" t="s">
        <v>53</v>
      </c>
      <c r="F118" s="14" t="s">
        <v>57</v>
      </c>
      <c r="G118" s="14" t="s">
        <v>1</v>
      </c>
      <c r="H118" s="14" t="s">
        <v>9</v>
      </c>
      <c r="I118" s="34" t="s">
        <v>1712</v>
      </c>
      <c r="J118" s="8" t="s">
        <v>1713</v>
      </c>
      <c r="K118" s="15" t="s">
        <v>1714</v>
      </c>
      <c r="L118" s="8" t="s">
        <v>391</v>
      </c>
      <c r="M118" s="8" t="s">
        <v>1020</v>
      </c>
      <c r="N118" s="8" t="s">
        <v>393</v>
      </c>
      <c r="O118" s="8" t="s">
        <v>400</v>
      </c>
      <c r="P118" s="8" t="s">
        <v>285</v>
      </c>
      <c r="Q118" s="8" t="s">
        <v>285</v>
      </c>
      <c r="R118" s="8" t="s">
        <v>225</v>
      </c>
      <c r="S118" s="8" t="s">
        <v>237</v>
      </c>
      <c r="T118" s="8" t="s">
        <v>216</v>
      </c>
      <c r="U118" s="8" t="s">
        <v>183</v>
      </c>
      <c r="V118" s="8">
        <v>0</v>
      </c>
      <c r="W118" s="18">
        <v>0.5</v>
      </c>
      <c r="X118" s="54">
        <v>45868</v>
      </c>
      <c r="Y118" s="54">
        <v>45868</v>
      </c>
      <c r="Z118" s="28">
        <v>14</v>
      </c>
      <c r="AA118" s="16" t="s">
        <v>1700</v>
      </c>
      <c r="AB118" s="8" t="s">
        <v>395</v>
      </c>
      <c r="AC118" s="8" t="s">
        <v>395</v>
      </c>
      <c r="AD118" s="41" t="s">
        <v>137</v>
      </c>
      <c r="AE118" s="41">
        <v>3102622739</v>
      </c>
      <c r="AF118" s="41" t="s">
        <v>276</v>
      </c>
      <c r="AG118" s="8" t="s">
        <v>295</v>
      </c>
      <c r="AH118" s="54">
        <v>34793</v>
      </c>
      <c r="AI118" s="40">
        <v>31</v>
      </c>
      <c r="AJ118" s="73" t="s">
        <v>1852</v>
      </c>
    </row>
    <row r="119" spans="1:36" ht="12.65" customHeight="1" x14ac:dyDescent="0.35">
      <c r="A119" s="8" t="s">
        <v>139</v>
      </c>
      <c r="B119" s="8" t="s">
        <v>136</v>
      </c>
      <c r="C119" s="8" t="s">
        <v>135</v>
      </c>
      <c r="D119" s="33" t="s">
        <v>1241</v>
      </c>
      <c r="E119" s="14" t="s">
        <v>1242</v>
      </c>
      <c r="F119" s="14" t="s">
        <v>57</v>
      </c>
      <c r="G119" s="14" t="s">
        <v>1</v>
      </c>
      <c r="H119" s="14" t="s">
        <v>9</v>
      </c>
      <c r="I119" s="34" t="s">
        <v>366</v>
      </c>
      <c r="J119" s="8" t="s">
        <v>105</v>
      </c>
      <c r="K119" s="69" t="s">
        <v>367</v>
      </c>
      <c r="L119" s="8" t="s">
        <v>75</v>
      </c>
      <c r="M119" s="8" t="s">
        <v>75</v>
      </c>
      <c r="N119" s="8" t="s">
        <v>306</v>
      </c>
      <c r="O119" s="8" t="s">
        <v>11</v>
      </c>
      <c r="P119" s="8" t="s">
        <v>274</v>
      </c>
      <c r="Q119" s="8" t="s">
        <v>275</v>
      </c>
      <c r="R119" s="8" t="s">
        <v>1628</v>
      </c>
      <c r="S119" s="8" t="s">
        <v>247</v>
      </c>
      <c r="T119" s="8" t="s">
        <v>202</v>
      </c>
      <c r="U119" s="8" t="s">
        <v>189</v>
      </c>
      <c r="V119" s="8">
        <v>1</v>
      </c>
      <c r="W119" s="18">
        <v>1</v>
      </c>
      <c r="X119" s="51">
        <v>45659</v>
      </c>
      <c r="Y119" s="51">
        <v>45357</v>
      </c>
      <c r="Z119" s="28">
        <v>31</v>
      </c>
      <c r="AA119" s="16" t="s">
        <v>1701</v>
      </c>
      <c r="AB119" s="8" t="s">
        <v>291</v>
      </c>
      <c r="AC119" s="8" t="s">
        <v>291</v>
      </c>
      <c r="AD119" s="51" t="s">
        <v>134</v>
      </c>
      <c r="AE119" s="19">
        <v>3102639501</v>
      </c>
      <c r="AF119" s="51" t="s">
        <v>276</v>
      </c>
      <c r="AG119" s="8" t="s">
        <v>292</v>
      </c>
      <c r="AH119" s="51">
        <v>37486</v>
      </c>
      <c r="AI119" s="28">
        <v>24</v>
      </c>
      <c r="AJ119" s="51" t="s">
        <v>1852</v>
      </c>
    </row>
    <row r="120" spans="1:36" ht="12.65" customHeight="1" x14ac:dyDescent="0.35">
      <c r="A120" s="8" t="s">
        <v>139</v>
      </c>
      <c r="B120" s="8" t="s">
        <v>136</v>
      </c>
      <c r="C120" s="8" t="s">
        <v>135</v>
      </c>
      <c r="D120" s="34" t="s">
        <v>1023</v>
      </c>
      <c r="E120" s="14" t="s">
        <v>1024</v>
      </c>
      <c r="F120" s="14" t="s">
        <v>57</v>
      </c>
      <c r="G120" s="14" t="s">
        <v>1</v>
      </c>
      <c r="H120" s="14" t="s">
        <v>9</v>
      </c>
      <c r="I120" s="34" t="s">
        <v>829</v>
      </c>
      <c r="J120" s="8" t="s">
        <v>85</v>
      </c>
      <c r="K120" s="69" t="s">
        <v>830</v>
      </c>
      <c r="L120" s="8" t="s">
        <v>75</v>
      </c>
      <c r="M120" s="8" t="s">
        <v>76</v>
      </c>
      <c r="N120" s="8" t="s">
        <v>306</v>
      </c>
      <c r="O120" s="8" t="s">
        <v>13</v>
      </c>
      <c r="P120" s="8" t="s">
        <v>285</v>
      </c>
      <c r="Q120" s="8" t="s">
        <v>285</v>
      </c>
      <c r="R120" s="8" t="s">
        <v>225</v>
      </c>
      <c r="S120" s="8" t="s">
        <v>237</v>
      </c>
      <c r="T120" s="8" t="s">
        <v>175</v>
      </c>
      <c r="U120" s="8" t="s">
        <v>189</v>
      </c>
      <c r="V120" s="8">
        <v>1</v>
      </c>
      <c r="W120" s="18">
        <v>1</v>
      </c>
      <c r="X120" s="51">
        <v>45814</v>
      </c>
      <c r="Y120" s="51">
        <v>45814</v>
      </c>
      <c r="Z120" s="28">
        <v>16</v>
      </c>
      <c r="AA120" s="16" t="s">
        <v>1700</v>
      </c>
      <c r="AB120" s="8" t="s">
        <v>293</v>
      </c>
      <c r="AC120" s="8" t="s">
        <v>294</v>
      </c>
      <c r="AD120" s="8" t="s">
        <v>137</v>
      </c>
      <c r="AE120" s="8">
        <v>3102645243</v>
      </c>
      <c r="AF120" s="8" t="s">
        <v>276</v>
      </c>
      <c r="AG120" s="8" t="s">
        <v>292</v>
      </c>
      <c r="AH120" s="51">
        <v>36727</v>
      </c>
      <c r="AI120" s="28">
        <v>26</v>
      </c>
      <c r="AJ120" s="51" t="s">
        <v>1852</v>
      </c>
    </row>
    <row r="121" spans="1:36" ht="12.65" customHeight="1" x14ac:dyDescent="0.35">
      <c r="A121" s="8" t="s">
        <v>139</v>
      </c>
      <c r="B121" s="8" t="s">
        <v>136</v>
      </c>
      <c r="C121" s="8" t="s">
        <v>135</v>
      </c>
      <c r="D121" s="35" t="s">
        <v>1025</v>
      </c>
      <c r="E121" s="14" t="s">
        <v>1026</v>
      </c>
      <c r="F121" s="14" t="s">
        <v>57</v>
      </c>
      <c r="G121" s="14" t="s">
        <v>1</v>
      </c>
      <c r="H121" s="14" t="s">
        <v>9</v>
      </c>
      <c r="I121" s="34" t="s">
        <v>528</v>
      </c>
      <c r="J121" s="8" t="s">
        <v>529</v>
      </c>
      <c r="K121" s="69" t="s">
        <v>530</v>
      </c>
      <c r="L121" s="8" t="s">
        <v>299</v>
      </c>
      <c r="M121" s="8" t="s">
        <v>299</v>
      </c>
      <c r="N121" s="8" t="s">
        <v>306</v>
      </c>
      <c r="O121" s="8" t="s">
        <v>508</v>
      </c>
      <c r="P121" s="8" t="s">
        <v>509</v>
      </c>
      <c r="Q121" s="8" t="s">
        <v>543</v>
      </c>
      <c r="R121" s="8" t="s">
        <v>222</v>
      </c>
      <c r="S121" s="8" t="s">
        <v>237</v>
      </c>
      <c r="T121" s="8" t="s">
        <v>244</v>
      </c>
      <c r="U121" s="8" t="s">
        <v>194</v>
      </c>
      <c r="V121" s="8">
        <v>1</v>
      </c>
      <c r="W121" s="18">
        <v>1</v>
      </c>
      <c r="X121" s="51">
        <v>46107</v>
      </c>
      <c r="Y121" s="51">
        <v>46107</v>
      </c>
      <c r="Z121" s="28">
        <v>6</v>
      </c>
      <c r="AA121" s="16" t="s">
        <v>1710</v>
      </c>
      <c r="AB121" s="8" t="s">
        <v>294</v>
      </c>
      <c r="AC121" s="8" t="s">
        <v>294</v>
      </c>
      <c r="AD121" s="8" t="s">
        <v>137</v>
      </c>
      <c r="AE121" s="8" t="s">
        <v>153</v>
      </c>
      <c r="AF121" s="8" t="s">
        <v>153</v>
      </c>
      <c r="AG121" s="8" t="s">
        <v>292</v>
      </c>
      <c r="AH121" s="51">
        <v>35593</v>
      </c>
      <c r="AI121" s="28">
        <v>29</v>
      </c>
      <c r="AJ121" s="51" t="s">
        <v>1853</v>
      </c>
    </row>
    <row r="122" spans="1:36" ht="12.65" customHeight="1" x14ac:dyDescent="0.35">
      <c r="A122" s="8" t="s">
        <v>139</v>
      </c>
      <c r="B122" s="8" t="s">
        <v>136</v>
      </c>
      <c r="C122" s="8" t="s">
        <v>135</v>
      </c>
      <c r="D122" s="33" t="s">
        <v>1366</v>
      </c>
      <c r="E122" s="14" t="s">
        <v>1367</v>
      </c>
      <c r="F122" s="14" t="s">
        <v>57</v>
      </c>
      <c r="G122" s="14" t="s">
        <v>1</v>
      </c>
      <c r="H122" s="14" t="s">
        <v>9</v>
      </c>
      <c r="I122" s="34" t="s">
        <v>332</v>
      </c>
      <c r="J122" s="8" t="s">
        <v>101</v>
      </c>
      <c r="K122" s="69" t="s">
        <v>333</v>
      </c>
      <c r="L122" s="8" t="s">
        <v>75</v>
      </c>
      <c r="M122" s="8" t="s">
        <v>75</v>
      </c>
      <c r="N122" s="8" t="s">
        <v>306</v>
      </c>
      <c r="O122" s="8" t="s">
        <v>11</v>
      </c>
      <c r="P122" s="8" t="s">
        <v>274</v>
      </c>
      <c r="Q122" s="8" t="s">
        <v>275</v>
      </c>
      <c r="R122" s="8" t="s">
        <v>1628</v>
      </c>
      <c r="S122" s="8" t="s">
        <v>247</v>
      </c>
      <c r="T122" s="8" t="s">
        <v>172</v>
      </c>
      <c r="U122" s="8" t="s">
        <v>189</v>
      </c>
      <c r="V122" s="8">
        <v>1</v>
      </c>
      <c r="W122" s="18">
        <v>1</v>
      </c>
      <c r="X122" s="53">
        <v>45659</v>
      </c>
      <c r="Y122" s="53">
        <v>44868</v>
      </c>
      <c r="Z122" s="28">
        <v>47</v>
      </c>
      <c r="AA122" s="16" t="s">
        <v>1701</v>
      </c>
      <c r="AB122" s="8" t="s">
        <v>294</v>
      </c>
      <c r="AC122" s="8" t="s">
        <v>294</v>
      </c>
      <c r="AD122" s="53" t="s">
        <v>134</v>
      </c>
      <c r="AE122" s="39">
        <v>3102630784</v>
      </c>
      <c r="AF122" s="39" t="s">
        <v>276</v>
      </c>
      <c r="AG122" s="8" t="s">
        <v>292</v>
      </c>
      <c r="AH122" s="51">
        <v>36004</v>
      </c>
      <c r="AI122" s="28">
        <v>28</v>
      </c>
      <c r="AJ122" s="51" t="s">
        <v>1853</v>
      </c>
    </row>
    <row r="123" spans="1:36" ht="12.65" customHeight="1" x14ac:dyDescent="0.35">
      <c r="A123" s="8" t="s">
        <v>139</v>
      </c>
      <c r="B123" s="8" t="s">
        <v>136</v>
      </c>
      <c r="C123" s="8" t="s">
        <v>135</v>
      </c>
      <c r="D123" s="35" t="s">
        <v>1029</v>
      </c>
      <c r="E123" s="14" t="s">
        <v>1030</v>
      </c>
      <c r="F123" s="14" t="s">
        <v>57</v>
      </c>
      <c r="G123" s="14" t="s">
        <v>1</v>
      </c>
      <c r="H123" s="14" t="s">
        <v>9</v>
      </c>
      <c r="I123" s="34" t="s">
        <v>760</v>
      </c>
      <c r="J123" s="8" t="s">
        <v>26</v>
      </c>
      <c r="K123" s="69" t="s">
        <v>761</v>
      </c>
      <c r="L123" s="8" t="s">
        <v>442</v>
      </c>
      <c r="M123" s="8" t="s">
        <v>598</v>
      </c>
      <c r="N123" s="8" t="s">
        <v>393</v>
      </c>
      <c r="O123" s="8" t="s">
        <v>25</v>
      </c>
      <c r="P123" s="8" t="s">
        <v>280</v>
      </c>
      <c r="Q123" s="8" t="s">
        <v>281</v>
      </c>
      <c r="R123" s="8" t="s">
        <v>222</v>
      </c>
      <c r="S123" s="8" t="s">
        <v>237</v>
      </c>
      <c r="T123" s="8" t="s">
        <v>51</v>
      </c>
      <c r="U123" s="8" t="s">
        <v>183</v>
      </c>
      <c r="V123" s="8">
        <v>1</v>
      </c>
      <c r="W123" s="18">
        <v>1</v>
      </c>
      <c r="X123" s="51">
        <v>45659</v>
      </c>
      <c r="Y123" s="51">
        <v>45160</v>
      </c>
      <c r="Z123" s="28">
        <v>37</v>
      </c>
      <c r="AA123" s="16" t="s">
        <v>1701</v>
      </c>
      <c r="AB123" s="8" t="s">
        <v>293</v>
      </c>
      <c r="AC123" s="8" t="s">
        <v>293</v>
      </c>
      <c r="AD123" s="8" t="s">
        <v>134</v>
      </c>
      <c r="AE123" s="8">
        <v>3102646916</v>
      </c>
      <c r="AF123" s="8" t="s">
        <v>276</v>
      </c>
      <c r="AG123" s="8" t="s">
        <v>292</v>
      </c>
      <c r="AH123" s="51">
        <v>35981</v>
      </c>
      <c r="AI123" s="28">
        <v>28</v>
      </c>
      <c r="AJ123" s="51" t="s">
        <v>1853</v>
      </c>
    </row>
    <row r="124" spans="1:36" ht="12.65" customHeight="1" x14ac:dyDescent="0.35">
      <c r="A124" s="8" t="s">
        <v>139</v>
      </c>
      <c r="B124" s="8" t="s">
        <v>136</v>
      </c>
      <c r="C124" s="8" t="s">
        <v>135</v>
      </c>
      <c r="D124" s="35" t="s">
        <v>1031</v>
      </c>
      <c r="E124" s="14" t="s">
        <v>1032</v>
      </c>
      <c r="F124" s="14" t="s">
        <v>57</v>
      </c>
      <c r="G124" s="14" t="s">
        <v>1</v>
      </c>
      <c r="H124" s="14" t="s">
        <v>9</v>
      </c>
      <c r="I124" s="34" t="s">
        <v>433</v>
      </c>
      <c r="J124" s="8" t="s">
        <v>1033</v>
      </c>
      <c r="K124" s="69" t="s">
        <v>434</v>
      </c>
      <c r="L124" s="8" t="s">
        <v>406</v>
      </c>
      <c r="M124" s="8" t="s">
        <v>407</v>
      </c>
      <c r="N124" s="8" t="s">
        <v>306</v>
      </c>
      <c r="O124" s="8" t="s">
        <v>416</v>
      </c>
      <c r="P124" s="8" t="s">
        <v>417</v>
      </c>
      <c r="Q124" s="8" t="s">
        <v>326</v>
      </c>
      <c r="R124" s="8" t="s">
        <v>234</v>
      </c>
      <c r="S124" s="8" t="s">
        <v>241</v>
      </c>
      <c r="T124" s="8" t="s">
        <v>160</v>
      </c>
      <c r="U124" s="8" t="s">
        <v>186</v>
      </c>
      <c r="V124" s="8">
        <v>1</v>
      </c>
      <c r="W124" s="18">
        <v>1</v>
      </c>
      <c r="X124" s="51">
        <v>45925</v>
      </c>
      <c r="Y124" s="51">
        <v>45925</v>
      </c>
      <c r="Z124" s="28">
        <v>12</v>
      </c>
      <c r="AA124" s="16" t="s">
        <v>1700</v>
      </c>
      <c r="AB124" s="8" t="s">
        <v>294</v>
      </c>
      <c r="AC124" s="8" t="s">
        <v>294</v>
      </c>
      <c r="AD124" s="8" t="s">
        <v>137</v>
      </c>
      <c r="AE124" s="8">
        <v>3102646871</v>
      </c>
      <c r="AF124" s="8" t="s">
        <v>276</v>
      </c>
      <c r="AG124" s="8" t="s">
        <v>292</v>
      </c>
      <c r="AH124" s="51">
        <v>35336</v>
      </c>
      <c r="AI124" s="28">
        <v>30</v>
      </c>
      <c r="AJ124" s="51" t="s">
        <v>1853</v>
      </c>
    </row>
    <row r="125" spans="1:36" ht="12.65" customHeight="1" x14ac:dyDescent="0.35">
      <c r="A125" s="8" t="s">
        <v>139</v>
      </c>
      <c r="B125" s="8" t="s">
        <v>1243</v>
      </c>
      <c r="C125" s="8" t="s">
        <v>135</v>
      </c>
      <c r="D125" s="34" t="s">
        <v>1034</v>
      </c>
      <c r="E125" s="8" t="s">
        <v>1035</v>
      </c>
      <c r="F125" s="14" t="s">
        <v>57</v>
      </c>
      <c r="G125" s="14" t="s">
        <v>1</v>
      </c>
      <c r="H125" s="14" t="s">
        <v>9</v>
      </c>
      <c r="I125" s="34" t="s">
        <v>329</v>
      </c>
      <c r="J125" s="8" t="s">
        <v>95</v>
      </c>
      <c r="K125" s="69" t="s">
        <v>330</v>
      </c>
      <c r="L125" s="8" t="s">
        <v>75</v>
      </c>
      <c r="M125" s="8" t="s">
        <v>75</v>
      </c>
      <c r="N125" s="8" t="s">
        <v>306</v>
      </c>
      <c r="O125" s="8" t="s">
        <v>36</v>
      </c>
      <c r="P125" s="8" t="s">
        <v>282</v>
      </c>
      <c r="Q125" s="8" t="s">
        <v>543</v>
      </c>
      <c r="R125" s="8" t="s">
        <v>222</v>
      </c>
      <c r="S125" s="8" t="s">
        <v>237</v>
      </c>
      <c r="T125" s="8" t="s">
        <v>199</v>
      </c>
      <c r="U125" s="8" t="s">
        <v>189</v>
      </c>
      <c r="V125" s="8">
        <v>1</v>
      </c>
      <c r="W125" s="18">
        <v>1</v>
      </c>
      <c r="X125" s="51">
        <v>46121</v>
      </c>
      <c r="Y125" s="51">
        <v>46121</v>
      </c>
      <c r="Z125" s="28">
        <v>6</v>
      </c>
      <c r="AA125" s="16" t="s">
        <v>1710</v>
      </c>
      <c r="AB125" s="8" t="s">
        <v>291</v>
      </c>
      <c r="AC125" s="8" t="s">
        <v>291</v>
      </c>
      <c r="AD125" s="19" t="s">
        <v>137</v>
      </c>
      <c r="AE125" s="19" t="s">
        <v>153</v>
      </c>
      <c r="AF125" s="19" t="s">
        <v>153</v>
      </c>
      <c r="AG125" s="8" t="s">
        <v>292</v>
      </c>
      <c r="AH125" s="51">
        <v>36835</v>
      </c>
      <c r="AI125" s="28">
        <v>25</v>
      </c>
      <c r="AJ125" s="51" t="s">
        <v>1853</v>
      </c>
    </row>
    <row r="126" spans="1:36" ht="12.65" customHeight="1" x14ac:dyDescent="0.35">
      <c r="A126" s="8" t="s">
        <v>139</v>
      </c>
      <c r="B126" s="8" t="s">
        <v>136</v>
      </c>
      <c r="C126" s="8" t="s">
        <v>418</v>
      </c>
      <c r="D126" s="34" t="s">
        <v>1871</v>
      </c>
      <c r="E126" s="8" t="s">
        <v>1872</v>
      </c>
      <c r="F126" s="14" t="s">
        <v>57</v>
      </c>
      <c r="G126" s="14" t="s">
        <v>1</v>
      </c>
      <c r="H126" s="14" t="s">
        <v>9</v>
      </c>
      <c r="I126" s="34" t="s">
        <v>414</v>
      </c>
      <c r="J126" s="8" t="s">
        <v>1036</v>
      </c>
      <c r="K126" s="69" t="s">
        <v>415</v>
      </c>
      <c r="L126" s="8" t="s">
        <v>299</v>
      </c>
      <c r="M126" s="8" t="s">
        <v>299</v>
      </c>
      <c r="N126" s="8" t="s">
        <v>306</v>
      </c>
      <c r="O126" s="8" t="s">
        <v>416</v>
      </c>
      <c r="P126" s="8" t="s">
        <v>417</v>
      </c>
      <c r="Q126" s="8" t="s">
        <v>326</v>
      </c>
      <c r="R126" s="8" t="s">
        <v>234</v>
      </c>
      <c r="S126" s="8" t="s">
        <v>241</v>
      </c>
      <c r="T126" s="8" t="s">
        <v>169</v>
      </c>
      <c r="U126" s="8" t="s">
        <v>194</v>
      </c>
      <c r="V126" s="8">
        <v>1</v>
      </c>
      <c r="W126" s="18">
        <v>1</v>
      </c>
      <c r="X126" s="51">
        <v>46279</v>
      </c>
      <c r="Y126" s="51">
        <v>46279</v>
      </c>
      <c r="Z126" s="28">
        <v>1</v>
      </c>
      <c r="AA126" s="16" t="s">
        <v>1698</v>
      </c>
      <c r="AB126" s="8" t="s">
        <v>294</v>
      </c>
      <c r="AC126" s="8" t="s">
        <v>294</v>
      </c>
      <c r="AD126" s="19" t="s">
        <v>137</v>
      </c>
      <c r="AE126" s="19" t="s">
        <v>153</v>
      </c>
      <c r="AF126" s="19" t="s">
        <v>153</v>
      </c>
      <c r="AG126" s="8" t="s">
        <v>292</v>
      </c>
      <c r="AH126" s="51">
        <v>31887</v>
      </c>
      <c r="AI126" s="28">
        <v>39</v>
      </c>
      <c r="AJ126" s="51" t="s">
        <v>1853</v>
      </c>
    </row>
    <row r="127" spans="1:36" ht="12.65" customHeight="1" x14ac:dyDescent="0.35">
      <c r="A127" s="8" t="s">
        <v>139</v>
      </c>
      <c r="B127" s="8" t="s">
        <v>136</v>
      </c>
      <c r="C127" s="8" t="s">
        <v>418</v>
      </c>
      <c r="D127" s="33" t="s">
        <v>1869</v>
      </c>
      <c r="E127" s="14" t="s">
        <v>1868</v>
      </c>
      <c r="F127" s="14" t="s">
        <v>57</v>
      </c>
      <c r="G127" s="14" t="s">
        <v>1</v>
      </c>
      <c r="H127" s="14" t="s">
        <v>9</v>
      </c>
      <c r="I127" s="34" t="s">
        <v>544</v>
      </c>
      <c r="J127" s="8" t="s">
        <v>120</v>
      </c>
      <c r="K127" s="69" t="s">
        <v>545</v>
      </c>
      <c r="L127" s="8" t="s">
        <v>75</v>
      </c>
      <c r="M127" s="8" t="s">
        <v>107</v>
      </c>
      <c r="N127" s="8" t="s">
        <v>306</v>
      </c>
      <c r="O127" s="8" t="s">
        <v>296</v>
      </c>
      <c r="P127" s="8" t="s">
        <v>274</v>
      </c>
      <c r="Q127" s="8" t="s">
        <v>275</v>
      </c>
      <c r="R127" s="8" t="s">
        <v>1628</v>
      </c>
      <c r="S127" s="8" t="s">
        <v>247</v>
      </c>
      <c r="T127" s="8" t="s">
        <v>172</v>
      </c>
      <c r="U127" s="8" t="s">
        <v>189</v>
      </c>
      <c r="V127" s="8">
        <v>1</v>
      </c>
      <c r="W127" s="18">
        <v>1</v>
      </c>
      <c r="X127" s="53">
        <v>46269</v>
      </c>
      <c r="Y127" s="53">
        <v>46269</v>
      </c>
      <c r="Z127" s="28">
        <v>1</v>
      </c>
      <c r="AA127" s="16" t="s">
        <v>1698</v>
      </c>
      <c r="AB127" s="8" t="s">
        <v>294</v>
      </c>
      <c r="AC127" s="8" t="s">
        <v>294</v>
      </c>
      <c r="AD127" s="39" t="s">
        <v>137</v>
      </c>
      <c r="AE127" s="39" t="s">
        <v>153</v>
      </c>
      <c r="AF127" s="39" t="s">
        <v>153</v>
      </c>
      <c r="AG127" s="8" t="s">
        <v>292</v>
      </c>
      <c r="AH127" s="51">
        <v>36650</v>
      </c>
      <c r="AI127" s="28">
        <v>26</v>
      </c>
      <c r="AJ127" s="51" t="s">
        <v>1853</v>
      </c>
    </row>
    <row r="128" spans="1:36" ht="12.65" customHeight="1" x14ac:dyDescent="0.35">
      <c r="A128" s="8" t="s">
        <v>139</v>
      </c>
      <c r="B128" s="8" t="s">
        <v>136</v>
      </c>
      <c r="C128" s="8" t="s">
        <v>135</v>
      </c>
      <c r="D128" s="34" t="s">
        <v>1039</v>
      </c>
      <c r="E128" s="14" t="s">
        <v>1040</v>
      </c>
      <c r="F128" s="14" t="s">
        <v>57</v>
      </c>
      <c r="G128" s="14" t="s">
        <v>1</v>
      </c>
      <c r="H128" s="14" t="s">
        <v>9</v>
      </c>
      <c r="I128" s="34" t="s">
        <v>777</v>
      </c>
      <c r="J128" s="8" t="s">
        <v>778</v>
      </c>
      <c r="K128" s="69" t="s">
        <v>779</v>
      </c>
      <c r="L128" s="8" t="s">
        <v>871</v>
      </c>
      <c r="M128" s="8" t="s">
        <v>872</v>
      </c>
      <c r="N128" s="8" t="s">
        <v>393</v>
      </c>
      <c r="O128" s="8" t="s">
        <v>11</v>
      </c>
      <c r="P128" s="8" t="s">
        <v>274</v>
      </c>
      <c r="Q128" s="8" t="s">
        <v>275</v>
      </c>
      <c r="R128" s="8" t="s">
        <v>231</v>
      </c>
      <c r="S128" s="8" t="s">
        <v>247</v>
      </c>
      <c r="T128" s="14" t="s">
        <v>1666</v>
      </c>
      <c r="U128" s="8" t="s">
        <v>54</v>
      </c>
      <c r="V128" s="8">
        <v>1</v>
      </c>
      <c r="W128" s="18">
        <v>0.8</v>
      </c>
      <c r="X128" s="51">
        <v>45659</v>
      </c>
      <c r="Y128" s="51">
        <v>45623</v>
      </c>
      <c r="Z128" s="28">
        <v>22</v>
      </c>
      <c r="AA128" s="16" t="s">
        <v>1700</v>
      </c>
      <c r="AB128" s="8" t="s">
        <v>307</v>
      </c>
      <c r="AC128" s="8" t="s">
        <v>307</v>
      </c>
      <c r="AD128" s="19" t="s">
        <v>134</v>
      </c>
      <c r="AE128" s="19">
        <v>3102692284</v>
      </c>
      <c r="AF128" s="19" t="s">
        <v>276</v>
      </c>
      <c r="AG128" s="8" t="s">
        <v>295</v>
      </c>
      <c r="AH128" s="51">
        <v>37502</v>
      </c>
      <c r="AI128" s="28">
        <v>24</v>
      </c>
      <c r="AJ128" s="51" t="s">
        <v>1852</v>
      </c>
    </row>
    <row r="129" spans="1:36" ht="12.65" customHeight="1" x14ac:dyDescent="0.35">
      <c r="A129" s="8" t="s">
        <v>139</v>
      </c>
      <c r="B129" s="8" t="s">
        <v>136</v>
      </c>
      <c r="C129" s="8" t="s">
        <v>135</v>
      </c>
      <c r="D129" s="34" t="s">
        <v>1039</v>
      </c>
      <c r="E129" s="14" t="s">
        <v>1040</v>
      </c>
      <c r="F129" s="14" t="s">
        <v>57</v>
      </c>
      <c r="G129" s="14" t="s">
        <v>1</v>
      </c>
      <c r="H129" s="14" t="s">
        <v>9</v>
      </c>
      <c r="I129" s="34" t="s">
        <v>752</v>
      </c>
      <c r="J129" s="8" t="s">
        <v>1835</v>
      </c>
      <c r="K129" s="69" t="s">
        <v>1834</v>
      </c>
      <c r="L129" s="8" t="s">
        <v>871</v>
      </c>
      <c r="M129" s="8" t="s">
        <v>872</v>
      </c>
      <c r="N129" s="8" t="s">
        <v>393</v>
      </c>
      <c r="O129" s="8" t="s">
        <v>11</v>
      </c>
      <c r="P129" s="8" t="s">
        <v>274</v>
      </c>
      <c r="Q129" s="8" t="s">
        <v>275</v>
      </c>
      <c r="R129" s="8" t="s">
        <v>231</v>
      </c>
      <c r="S129" s="8" t="s">
        <v>247</v>
      </c>
      <c r="T129" s="14" t="s">
        <v>1666</v>
      </c>
      <c r="U129" s="8" t="s">
        <v>54</v>
      </c>
      <c r="V129" s="8">
        <v>0</v>
      </c>
      <c r="W129" s="18">
        <v>0.2</v>
      </c>
      <c r="X129" s="51">
        <v>45659</v>
      </c>
      <c r="Y129" s="51">
        <v>45623</v>
      </c>
      <c r="Z129" s="28">
        <v>22</v>
      </c>
      <c r="AA129" s="16" t="s">
        <v>1700</v>
      </c>
      <c r="AB129" s="8" t="s">
        <v>307</v>
      </c>
      <c r="AC129" s="8" t="s">
        <v>307</v>
      </c>
      <c r="AD129" s="19" t="s">
        <v>134</v>
      </c>
      <c r="AE129" s="19">
        <v>3102692284</v>
      </c>
      <c r="AF129" s="19" t="s">
        <v>276</v>
      </c>
      <c r="AG129" s="8" t="s">
        <v>295</v>
      </c>
      <c r="AH129" s="51">
        <v>37502</v>
      </c>
      <c r="AI129" s="28">
        <v>24</v>
      </c>
      <c r="AJ129" s="51" t="s">
        <v>1852</v>
      </c>
    </row>
    <row r="130" spans="1:36" ht="12.65" customHeight="1" x14ac:dyDescent="0.35">
      <c r="A130" s="8" t="s">
        <v>139</v>
      </c>
      <c r="B130" s="8" t="s">
        <v>136</v>
      </c>
      <c r="C130" s="8" t="s">
        <v>135</v>
      </c>
      <c r="D130" s="33" t="s">
        <v>1129</v>
      </c>
      <c r="E130" s="14" t="s">
        <v>1130</v>
      </c>
      <c r="F130" s="14" t="s">
        <v>57</v>
      </c>
      <c r="G130" s="14" t="s">
        <v>1</v>
      </c>
      <c r="H130" s="14" t="s">
        <v>9</v>
      </c>
      <c r="I130" s="34" t="s">
        <v>444</v>
      </c>
      <c r="J130" s="8" t="s">
        <v>971</v>
      </c>
      <c r="K130" s="69" t="s">
        <v>445</v>
      </c>
      <c r="L130" s="8" t="s">
        <v>299</v>
      </c>
      <c r="M130" s="8" t="s">
        <v>299</v>
      </c>
      <c r="N130" s="8" t="s">
        <v>306</v>
      </c>
      <c r="O130" s="8" t="s">
        <v>11</v>
      </c>
      <c r="P130" s="8" t="s">
        <v>274</v>
      </c>
      <c r="Q130" s="8" t="s">
        <v>275</v>
      </c>
      <c r="R130" s="8" t="s">
        <v>231</v>
      </c>
      <c r="S130" s="8" t="s">
        <v>247</v>
      </c>
      <c r="T130" s="8" t="s">
        <v>208</v>
      </c>
      <c r="U130" s="8" t="s">
        <v>194</v>
      </c>
      <c r="V130" s="8">
        <v>1</v>
      </c>
      <c r="W130" s="18">
        <v>1</v>
      </c>
      <c r="X130" s="16">
        <v>46151</v>
      </c>
      <c r="Y130" s="16">
        <v>46151</v>
      </c>
      <c r="Z130" s="28">
        <v>5</v>
      </c>
      <c r="AA130" s="16" t="s">
        <v>1699</v>
      </c>
      <c r="AB130" s="8" t="s">
        <v>291</v>
      </c>
      <c r="AC130" s="8" t="s">
        <v>291</v>
      </c>
      <c r="AD130" s="8" t="s">
        <v>137</v>
      </c>
      <c r="AE130" s="8" t="s">
        <v>153</v>
      </c>
      <c r="AF130" s="8" t="s">
        <v>153</v>
      </c>
      <c r="AG130" s="8" t="s">
        <v>292</v>
      </c>
      <c r="AH130" s="51">
        <v>29836</v>
      </c>
      <c r="AI130" s="28">
        <v>45</v>
      </c>
      <c r="AJ130" s="51" t="s">
        <v>1853</v>
      </c>
    </row>
    <row r="131" spans="1:36" ht="12.65" customHeight="1" x14ac:dyDescent="0.35">
      <c r="A131" s="8" t="s">
        <v>139</v>
      </c>
      <c r="B131" s="8" t="s">
        <v>136</v>
      </c>
      <c r="C131" s="8" t="s">
        <v>418</v>
      </c>
      <c r="D131" s="33" t="s">
        <v>1498</v>
      </c>
      <c r="E131" s="14" t="s">
        <v>1499</v>
      </c>
      <c r="F131" s="14" t="s">
        <v>57</v>
      </c>
      <c r="G131" s="14" t="s">
        <v>1</v>
      </c>
      <c r="H131" s="14" t="s">
        <v>9</v>
      </c>
      <c r="I131" s="34" t="s">
        <v>1045</v>
      </c>
      <c r="J131" s="8" t="s">
        <v>1046</v>
      </c>
      <c r="K131" s="69" t="s">
        <v>1047</v>
      </c>
      <c r="L131" s="8" t="s">
        <v>299</v>
      </c>
      <c r="M131" s="8" t="s">
        <v>299</v>
      </c>
      <c r="N131" s="8" t="s">
        <v>306</v>
      </c>
      <c r="O131" s="8" t="s">
        <v>11</v>
      </c>
      <c r="P131" s="8" t="s">
        <v>274</v>
      </c>
      <c r="Q131" s="8" t="s">
        <v>275</v>
      </c>
      <c r="R131" s="8" t="s">
        <v>231</v>
      </c>
      <c r="S131" s="8" t="s">
        <v>247</v>
      </c>
      <c r="T131" s="8" t="s">
        <v>208</v>
      </c>
      <c r="U131" s="8" t="s">
        <v>194</v>
      </c>
      <c r="V131" s="8">
        <v>1</v>
      </c>
      <c r="W131" s="18">
        <v>1</v>
      </c>
      <c r="X131" s="16">
        <v>45727</v>
      </c>
      <c r="Y131" s="16">
        <v>45727</v>
      </c>
      <c r="Z131" s="28">
        <v>19</v>
      </c>
      <c r="AA131" s="16" t="s">
        <v>1700</v>
      </c>
      <c r="AB131" s="8" t="s">
        <v>294</v>
      </c>
      <c r="AC131" s="8" t="s">
        <v>294</v>
      </c>
      <c r="AD131" s="14" t="s">
        <v>137</v>
      </c>
      <c r="AE131" s="14">
        <v>3102607930</v>
      </c>
      <c r="AF131" s="14" t="s">
        <v>276</v>
      </c>
      <c r="AG131" s="8" t="s">
        <v>292</v>
      </c>
      <c r="AH131" s="51">
        <v>33394</v>
      </c>
      <c r="AI131" s="28">
        <v>35</v>
      </c>
      <c r="AJ131" s="51" t="s">
        <v>1853</v>
      </c>
    </row>
    <row r="132" spans="1:36" ht="12.65" customHeight="1" x14ac:dyDescent="0.35">
      <c r="A132" s="8" t="s">
        <v>139</v>
      </c>
      <c r="B132" s="8" t="s">
        <v>136</v>
      </c>
      <c r="C132" s="8" t="s">
        <v>135</v>
      </c>
      <c r="D132" s="34" t="s">
        <v>1048</v>
      </c>
      <c r="E132" s="14" t="s">
        <v>1049</v>
      </c>
      <c r="F132" s="14" t="s">
        <v>57</v>
      </c>
      <c r="G132" s="14" t="s">
        <v>1</v>
      </c>
      <c r="H132" s="14" t="s">
        <v>9</v>
      </c>
      <c r="I132" s="34" t="s">
        <v>1050</v>
      </c>
      <c r="J132" s="8" t="s">
        <v>1051</v>
      </c>
      <c r="K132" s="69" t="s">
        <v>1052</v>
      </c>
      <c r="L132" s="8" t="s">
        <v>410</v>
      </c>
      <c r="M132" s="8" t="s">
        <v>410</v>
      </c>
      <c r="N132" s="8" t="s">
        <v>306</v>
      </c>
      <c r="O132" s="8" t="s">
        <v>11</v>
      </c>
      <c r="P132" s="8" t="s">
        <v>274</v>
      </c>
      <c r="Q132" s="8" t="s">
        <v>275</v>
      </c>
      <c r="R132" s="8" t="s">
        <v>231</v>
      </c>
      <c r="S132" s="8" t="s">
        <v>247</v>
      </c>
      <c r="T132" s="8" t="s">
        <v>255</v>
      </c>
      <c r="U132" s="8" t="s">
        <v>54</v>
      </c>
      <c r="V132" s="8">
        <v>1</v>
      </c>
      <c r="W132" s="18">
        <v>1</v>
      </c>
      <c r="X132" s="54">
        <v>45659</v>
      </c>
      <c r="Y132" s="54">
        <v>45428</v>
      </c>
      <c r="Z132" s="28">
        <v>29</v>
      </c>
      <c r="AA132" s="16" t="s">
        <v>1701</v>
      </c>
      <c r="AB132" s="8" t="s">
        <v>291</v>
      </c>
      <c r="AC132" s="8" t="s">
        <v>291</v>
      </c>
      <c r="AD132" s="54" t="s">
        <v>134</v>
      </c>
      <c r="AE132" s="41">
        <v>3102604782</v>
      </c>
      <c r="AF132" s="54" t="s">
        <v>276</v>
      </c>
      <c r="AG132" s="8" t="s">
        <v>292</v>
      </c>
      <c r="AH132" s="51">
        <v>37922</v>
      </c>
      <c r="AI132" s="28">
        <v>22</v>
      </c>
      <c r="AJ132" s="51" t="s">
        <v>1853</v>
      </c>
    </row>
    <row r="133" spans="1:36" ht="12.65" customHeight="1" x14ac:dyDescent="0.35">
      <c r="A133" s="8" t="s">
        <v>139</v>
      </c>
      <c r="B133" s="8" t="s">
        <v>136</v>
      </c>
      <c r="C133" s="8" t="s">
        <v>135</v>
      </c>
      <c r="D133" s="33" t="s">
        <v>1781</v>
      </c>
      <c r="E133" s="14" t="s">
        <v>1782</v>
      </c>
      <c r="F133" s="14" t="s">
        <v>57</v>
      </c>
      <c r="G133" s="14" t="s">
        <v>1</v>
      </c>
      <c r="H133" s="14" t="s">
        <v>9</v>
      </c>
      <c r="I133" s="34" t="s">
        <v>836</v>
      </c>
      <c r="J133" s="8" t="s">
        <v>83</v>
      </c>
      <c r="K133" s="69" t="s">
        <v>837</v>
      </c>
      <c r="L133" s="8" t="s">
        <v>75</v>
      </c>
      <c r="M133" s="8" t="s">
        <v>76</v>
      </c>
      <c r="N133" s="8" t="s">
        <v>306</v>
      </c>
      <c r="O133" s="8" t="s">
        <v>149</v>
      </c>
      <c r="P133" s="8" t="s">
        <v>286</v>
      </c>
      <c r="Q133" s="8" t="s">
        <v>865</v>
      </c>
      <c r="R133" s="8" t="s">
        <v>1628</v>
      </c>
      <c r="S133" s="8" t="s">
        <v>247</v>
      </c>
      <c r="T133" s="8" t="s">
        <v>157</v>
      </c>
      <c r="U133" s="8" t="s">
        <v>189</v>
      </c>
      <c r="V133" s="8">
        <v>1</v>
      </c>
      <c r="W133" s="18">
        <v>1</v>
      </c>
      <c r="X133" s="53">
        <v>46195</v>
      </c>
      <c r="Y133" s="53">
        <v>46195</v>
      </c>
      <c r="Z133" s="28">
        <v>3</v>
      </c>
      <c r="AA133" s="16" t="s">
        <v>1699</v>
      </c>
      <c r="AB133" s="8" t="s">
        <v>395</v>
      </c>
      <c r="AC133" s="8" t="s">
        <v>294</v>
      </c>
      <c r="AD133" s="8" t="s">
        <v>137</v>
      </c>
      <c r="AE133" s="8" t="s">
        <v>153</v>
      </c>
      <c r="AF133" s="8" t="s">
        <v>153</v>
      </c>
      <c r="AG133" s="8" t="s">
        <v>292</v>
      </c>
      <c r="AH133" s="51">
        <v>33296</v>
      </c>
      <c r="AI133" s="28">
        <v>35</v>
      </c>
      <c r="AJ133" s="51" t="s">
        <v>1853</v>
      </c>
    </row>
    <row r="134" spans="1:36" ht="12.65" customHeight="1" x14ac:dyDescent="0.35">
      <c r="A134" s="8" t="s">
        <v>139</v>
      </c>
      <c r="B134" s="8" t="s">
        <v>136</v>
      </c>
      <c r="C134" s="8" t="s">
        <v>135</v>
      </c>
      <c r="D134" s="33" t="s">
        <v>1773</v>
      </c>
      <c r="E134" s="14" t="s">
        <v>1776</v>
      </c>
      <c r="F134" s="14" t="s">
        <v>57</v>
      </c>
      <c r="G134" s="14" t="s">
        <v>1</v>
      </c>
      <c r="H134" s="14" t="s">
        <v>9</v>
      </c>
      <c r="I134" s="34" t="s">
        <v>408</v>
      </c>
      <c r="J134" s="8" t="s">
        <v>37</v>
      </c>
      <c r="K134" s="69" t="s">
        <v>409</v>
      </c>
      <c r="L134" s="8" t="s">
        <v>406</v>
      </c>
      <c r="M134" s="8" t="s">
        <v>407</v>
      </c>
      <c r="N134" s="8" t="s">
        <v>306</v>
      </c>
      <c r="O134" s="8" t="s">
        <v>36</v>
      </c>
      <c r="P134" s="8" t="s">
        <v>282</v>
      </c>
      <c r="Q134" s="8" t="s">
        <v>543</v>
      </c>
      <c r="R134" s="8" t="s">
        <v>222</v>
      </c>
      <c r="S134" s="8" t="s">
        <v>237</v>
      </c>
      <c r="T134" s="8" t="s">
        <v>199</v>
      </c>
      <c r="U134" s="8" t="s">
        <v>186</v>
      </c>
      <c r="V134" s="8">
        <v>1</v>
      </c>
      <c r="W134" s="18">
        <v>0.75</v>
      </c>
      <c r="X134" s="51">
        <v>46185</v>
      </c>
      <c r="Y134" s="51">
        <v>46185</v>
      </c>
      <c r="Z134" s="28">
        <v>4</v>
      </c>
      <c r="AA134" s="16" t="s">
        <v>1699</v>
      </c>
      <c r="AB134" s="8" t="s">
        <v>293</v>
      </c>
      <c r="AC134" s="8" t="s">
        <v>293</v>
      </c>
      <c r="AD134" s="19" t="s">
        <v>137</v>
      </c>
      <c r="AE134" s="19" t="s">
        <v>153</v>
      </c>
      <c r="AF134" s="19" t="s">
        <v>153</v>
      </c>
      <c r="AG134" s="8" t="s">
        <v>292</v>
      </c>
      <c r="AH134" s="51">
        <v>31679</v>
      </c>
      <c r="AI134" s="28">
        <v>40</v>
      </c>
      <c r="AJ134" s="51" t="s">
        <v>1853</v>
      </c>
    </row>
    <row r="135" spans="1:36" ht="12.65" customHeight="1" x14ac:dyDescent="0.35">
      <c r="A135" s="8" t="s">
        <v>139</v>
      </c>
      <c r="B135" s="8" t="s">
        <v>136</v>
      </c>
      <c r="C135" s="8" t="s">
        <v>135</v>
      </c>
      <c r="D135" s="33" t="s">
        <v>1773</v>
      </c>
      <c r="E135" s="14" t="s">
        <v>1776</v>
      </c>
      <c r="F135" s="14" t="s">
        <v>57</v>
      </c>
      <c r="G135" s="14" t="s">
        <v>1</v>
      </c>
      <c r="H135" s="14" t="s">
        <v>9</v>
      </c>
      <c r="I135" s="34" t="s">
        <v>524</v>
      </c>
      <c r="J135" s="8" t="s">
        <v>40</v>
      </c>
      <c r="K135" s="69" t="s">
        <v>525</v>
      </c>
      <c r="L135" s="8" t="s">
        <v>406</v>
      </c>
      <c r="M135" s="8" t="s">
        <v>407</v>
      </c>
      <c r="N135" s="8" t="s">
        <v>306</v>
      </c>
      <c r="O135" s="8" t="s">
        <v>36</v>
      </c>
      <c r="P135" s="8" t="s">
        <v>282</v>
      </c>
      <c r="Q135" s="8" t="s">
        <v>543</v>
      </c>
      <c r="R135" s="8" t="s">
        <v>222</v>
      </c>
      <c r="S135" s="8" t="s">
        <v>237</v>
      </c>
      <c r="T135" s="8" t="s">
        <v>199</v>
      </c>
      <c r="U135" s="8" t="s">
        <v>186</v>
      </c>
      <c r="V135" s="8">
        <v>0</v>
      </c>
      <c r="W135" s="18">
        <v>0.25</v>
      </c>
      <c r="X135" s="51">
        <v>46185</v>
      </c>
      <c r="Y135" s="51">
        <v>46185</v>
      </c>
      <c r="Z135" s="28">
        <v>4</v>
      </c>
      <c r="AA135" s="16" t="s">
        <v>1699</v>
      </c>
      <c r="AB135" s="8" t="s">
        <v>307</v>
      </c>
      <c r="AC135" s="8" t="s">
        <v>307</v>
      </c>
      <c r="AD135" s="19" t="s">
        <v>137</v>
      </c>
      <c r="AE135" s="19" t="s">
        <v>153</v>
      </c>
      <c r="AF135" s="19" t="s">
        <v>153</v>
      </c>
      <c r="AG135" s="8" t="s">
        <v>295</v>
      </c>
      <c r="AH135" s="51">
        <v>31679</v>
      </c>
      <c r="AI135" s="28">
        <v>40</v>
      </c>
      <c r="AJ135" s="51" t="s">
        <v>1853</v>
      </c>
    </row>
    <row r="136" spans="1:36" ht="12.65" customHeight="1" x14ac:dyDescent="0.35">
      <c r="A136" s="8" t="s">
        <v>139</v>
      </c>
      <c r="B136" s="8" t="s">
        <v>136</v>
      </c>
      <c r="C136" s="8" t="s">
        <v>135</v>
      </c>
      <c r="D136" s="34" t="s">
        <v>1609</v>
      </c>
      <c r="E136" s="14" t="s">
        <v>1610</v>
      </c>
      <c r="F136" s="14" t="s">
        <v>60</v>
      </c>
      <c r="G136" s="14" t="s">
        <v>1</v>
      </c>
      <c r="H136" s="14" t="s">
        <v>9</v>
      </c>
      <c r="I136" s="34" t="s">
        <v>1638</v>
      </c>
      <c r="J136" s="8" t="s">
        <v>1639</v>
      </c>
      <c r="K136" s="69" t="s">
        <v>1640</v>
      </c>
      <c r="L136" s="8" t="s">
        <v>1614</v>
      </c>
      <c r="M136" s="8" t="s">
        <v>1641</v>
      </c>
      <c r="N136" s="8" t="s">
        <v>393</v>
      </c>
      <c r="O136" s="8" t="s">
        <v>11</v>
      </c>
      <c r="P136" s="8" t="s">
        <v>274</v>
      </c>
      <c r="Q136" s="8" t="s">
        <v>275</v>
      </c>
      <c r="R136" s="8" t="s">
        <v>231</v>
      </c>
      <c r="S136" s="8" t="s">
        <v>247</v>
      </c>
      <c r="T136" s="8" t="s">
        <v>255</v>
      </c>
      <c r="U136" s="8" t="s">
        <v>54</v>
      </c>
      <c r="V136" s="8">
        <v>1</v>
      </c>
      <c r="W136" s="18">
        <v>1</v>
      </c>
      <c r="X136" s="51">
        <v>46069</v>
      </c>
      <c r="Y136" s="51">
        <v>46069</v>
      </c>
      <c r="Z136" s="28">
        <v>8</v>
      </c>
      <c r="AA136" s="16" t="s">
        <v>1710</v>
      </c>
      <c r="AB136" s="8" t="s">
        <v>307</v>
      </c>
      <c r="AC136" s="8" t="s">
        <v>307</v>
      </c>
      <c r="AD136" s="19" t="s">
        <v>137</v>
      </c>
      <c r="AE136" s="8">
        <v>3102634322</v>
      </c>
      <c r="AF136" s="8" t="s">
        <v>276</v>
      </c>
      <c r="AG136" s="8" t="s">
        <v>295</v>
      </c>
      <c r="AH136" s="51">
        <v>38290</v>
      </c>
      <c r="AI136" s="28">
        <v>21</v>
      </c>
      <c r="AJ136" s="51" t="s">
        <v>1853</v>
      </c>
    </row>
    <row r="137" spans="1:36" ht="12.65" customHeight="1" x14ac:dyDescent="0.35">
      <c r="A137" s="8" t="s">
        <v>139</v>
      </c>
      <c r="B137" s="8" t="s">
        <v>136</v>
      </c>
      <c r="C137" s="8" t="s">
        <v>135</v>
      </c>
      <c r="D137" s="33" t="s">
        <v>1053</v>
      </c>
      <c r="E137" s="14" t="s">
        <v>1054</v>
      </c>
      <c r="F137" s="14" t="s">
        <v>57</v>
      </c>
      <c r="G137" s="14" t="s">
        <v>1</v>
      </c>
      <c r="H137" s="14" t="s">
        <v>9</v>
      </c>
      <c r="I137" s="34" t="s">
        <v>692</v>
      </c>
      <c r="J137" s="8" t="s">
        <v>693</v>
      </c>
      <c r="K137" s="69" t="s">
        <v>694</v>
      </c>
      <c r="L137" s="8" t="s">
        <v>299</v>
      </c>
      <c r="M137" s="8" t="s">
        <v>299</v>
      </c>
      <c r="N137" s="8" t="s">
        <v>306</v>
      </c>
      <c r="O137" s="8" t="s">
        <v>362</v>
      </c>
      <c r="P137" s="8" t="s">
        <v>363</v>
      </c>
      <c r="Q137" s="8" t="s">
        <v>331</v>
      </c>
      <c r="R137" s="8" t="s">
        <v>222</v>
      </c>
      <c r="S137" s="8" t="s">
        <v>237</v>
      </c>
      <c r="T137" s="8" t="s">
        <v>56</v>
      </c>
      <c r="U137" s="8" t="s">
        <v>194</v>
      </c>
      <c r="V137" s="8">
        <v>1</v>
      </c>
      <c r="W137" s="18">
        <v>1</v>
      </c>
      <c r="X137" s="51">
        <v>45659</v>
      </c>
      <c r="Y137" s="51">
        <v>45575</v>
      </c>
      <c r="Z137" s="28">
        <v>24</v>
      </c>
      <c r="AA137" s="16" t="s">
        <v>1701</v>
      </c>
      <c r="AB137" s="8" t="s">
        <v>291</v>
      </c>
      <c r="AC137" s="8" t="s">
        <v>291</v>
      </c>
      <c r="AD137" s="8" t="s">
        <v>134</v>
      </c>
      <c r="AE137" s="8">
        <v>3102630274</v>
      </c>
      <c r="AF137" s="8" t="s">
        <v>276</v>
      </c>
      <c r="AG137" s="8" t="s">
        <v>292</v>
      </c>
      <c r="AH137" s="51">
        <v>36551</v>
      </c>
      <c r="AI137" s="28">
        <v>26</v>
      </c>
      <c r="AJ137" s="51" t="s">
        <v>1853</v>
      </c>
    </row>
    <row r="138" spans="1:36" ht="12.65" customHeight="1" x14ac:dyDescent="0.35">
      <c r="A138" s="8" t="s">
        <v>139</v>
      </c>
      <c r="B138" s="8" t="s">
        <v>136</v>
      </c>
      <c r="C138" s="8" t="s">
        <v>135</v>
      </c>
      <c r="D138" s="34" t="s">
        <v>1772</v>
      </c>
      <c r="E138" s="14" t="s">
        <v>1775</v>
      </c>
      <c r="F138" s="14" t="s">
        <v>57</v>
      </c>
      <c r="G138" s="14" t="s">
        <v>1</v>
      </c>
      <c r="H138" s="14" t="s">
        <v>9</v>
      </c>
      <c r="I138" s="34" t="s">
        <v>314</v>
      </c>
      <c r="J138" s="8" t="s">
        <v>98</v>
      </c>
      <c r="K138" s="69" t="s">
        <v>315</v>
      </c>
      <c r="L138" s="8" t="s">
        <v>75</v>
      </c>
      <c r="M138" s="8" t="s">
        <v>75</v>
      </c>
      <c r="N138" s="8" t="s">
        <v>306</v>
      </c>
      <c r="O138" s="8" t="s">
        <v>622</v>
      </c>
      <c r="P138" s="8" t="s">
        <v>279</v>
      </c>
      <c r="Q138" s="8" t="s">
        <v>279</v>
      </c>
      <c r="R138" s="8" t="s">
        <v>234</v>
      </c>
      <c r="S138" s="8" t="s">
        <v>241</v>
      </c>
      <c r="T138" s="8" t="s">
        <v>166</v>
      </c>
      <c r="U138" s="8" t="s">
        <v>189</v>
      </c>
      <c r="V138" s="8">
        <v>1</v>
      </c>
      <c r="W138" s="18">
        <v>1</v>
      </c>
      <c r="X138" s="16">
        <v>46185</v>
      </c>
      <c r="Y138" s="16">
        <v>46185</v>
      </c>
      <c r="Z138" s="28">
        <v>4</v>
      </c>
      <c r="AA138" s="16" t="s">
        <v>1699</v>
      </c>
      <c r="AB138" s="8" t="s">
        <v>294</v>
      </c>
      <c r="AC138" s="8" t="s">
        <v>294</v>
      </c>
      <c r="AD138" s="8" t="s">
        <v>137</v>
      </c>
      <c r="AE138" s="8" t="s">
        <v>153</v>
      </c>
      <c r="AF138" s="8" t="s">
        <v>153</v>
      </c>
      <c r="AG138" s="8" t="s">
        <v>292</v>
      </c>
      <c r="AH138" s="51">
        <v>35164</v>
      </c>
      <c r="AI138" s="28">
        <v>30</v>
      </c>
      <c r="AJ138" s="51" t="s">
        <v>1853</v>
      </c>
    </row>
    <row r="139" spans="1:36" ht="12.65" customHeight="1" x14ac:dyDescent="0.35">
      <c r="A139" s="8" t="s">
        <v>139</v>
      </c>
      <c r="B139" s="8" t="s">
        <v>136</v>
      </c>
      <c r="C139" s="8" t="s">
        <v>135</v>
      </c>
      <c r="D139" s="33" t="s">
        <v>1055</v>
      </c>
      <c r="E139" s="14" t="s">
        <v>1056</v>
      </c>
      <c r="F139" s="14" t="s">
        <v>57</v>
      </c>
      <c r="G139" s="14" t="s">
        <v>1</v>
      </c>
      <c r="H139" s="14" t="s">
        <v>9</v>
      </c>
      <c r="I139" s="34" t="s">
        <v>451</v>
      </c>
      <c r="J139" s="8" t="s">
        <v>1057</v>
      </c>
      <c r="K139" s="69" t="s">
        <v>452</v>
      </c>
      <c r="L139" s="8" t="s">
        <v>406</v>
      </c>
      <c r="M139" s="8" t="s">
        <v>407</v>
      </c>
      <c r="N139" s="8" t="s">
        <v>306</v>
      </c>
      <c r="O139" s="8" t="s">
        <v>11</v>
      </c>
      <c r="P139" s="8" t="s">
        <v>274</v>
      </c>
      <c r="Q139" s="8" t="s">
        <v>275</v>
      </c>
      <c r="R139" s="8" t="s">
        <v>231</v>
      </c>
      <c r="S139" s="8" t="s">
        <v>247</v>
      </c>
      <c r="T139" s="8" t="s">
        <v>208</v>
      </c>
      <c r="U139" s="8" t="s">
        <v>186</v>
      </c>
      <c r="V139" s="8">
        <v>1</v>
      </c>
      <c r="W139" s="18">
        <v>1</v>
      </c>
      <c r="X139" s="53">
        <v>46150</v>
      </c>
      <c r="Y139" s="53">
        <v>46150</v>
      </c>
      <c r="Z139" s="28">
        <v>5</v>
      </c>
      <c r="AA139" s="16" t="s">
        <v>1699</v>
      </c>
      <c r="AB139" s="8" t="s">
        <v>395</v>
      </c>
      <c r="AC139" s="8" t="s">
        <v>395</v>
      </c>
      <c r="AD139" s="8" t="s">
        <v>137</v>
      </c>
      <c r="AE139" s="8" t="s">
        <v>153</v>
      </c>
      <c r="AF139" s="8" t="s">
        <v>153</v>
      </c>
      <c r="AG139" s="8" t="s">
        <v>292</v>
      </c>
      <c r="AH139" s="51">
        <v>29339</v>
      </c>
      <c r="AI139" s="28">
        <v>46</v>
      </c>
      <c r="AJ139" s="51" t="s">
        <v>1852</v>
      </c>
    </row>
    <row r="140" spans="1:36" ht="12.65" customHeight="1" x14ac:dyDescent="0.35">
      <c r="A140" s="8" t="s">
        <v>139</v>
      </c>
      <c r="B140" s="8" t="s">
        <v>136</v>
      </c>
      <c r="C140" s="8" t="s">
        <v>135</v>
      </c>
      <c r="D140" s="33" t="s">
        <v>1058</v>
      </c>
      <c r="E140" s="14" t="s">
        <v>1059</v>
      </c>
      <c r="F140" s="14" t="s">
        <v>57</v>
      </c>
      <c r="G140" s="14" t="s">
        <v>1</v>
      </c>
      <c r="H140" s="14" t="s">
        <v>9</v>
      </c>
      <c r="I140" s="34" t="s">
        <v>420</v>
      </c>
      <c r="J140" s="8" t="s">
        <v>103</v>
      </c>
      <c r="K140" s="69" t="s">
        <v>421</v>
      </c>
      <c r="L140" s="8" t="s">
        <v>75</v>
      </c>
      <c r="M140" s="8" t="s">
        <v>75</v>
      </c>
      <c r="N140" s="8" t="s">
        <v>306</v>
      </c>
      <c r="O140" s="8" t="s">
        <v>422</v>
      </c>
      <c r="P140" s="8" t="s">
        <v>423</v>
      </c>
      <c r="Q140" s="8" t="s">
        <v>278</v>
      </c>
      <c r="R140" s="8" t="s">
        <v>231</v>
      </c>
      <c r="S140" s="8" t="s">
        <v>247</v>
      </c>
      <c r="T140" s="8" t="s">
        <v>211</v>
      </c>
      <c r="U140" s="8" t="s">
        <v>189</v>
      </c>
      <c r="V140" s="8">
        <v>1</v>
      </c>
      <c r="W140" s="18">
        <v>1</v>
      </c>
      <c r="X140" s="51">
        <v>46119</v>
      </c>
      <c r="Y140" s="51">
        <v>46119</v>
      </c>
      <c r="Z140" s="28">
        <v>6</v>
      </c>
      <c r="AA140" s="16" t="s">
        <v>1710</v>
      </c>
      <c r="AB140" s="8" t="s">
        <v>294</v>
      </c>
      <c r="AC140" s="8" t="s">
        <v>294</v>
      </c>
      <c r="AD140" s="8" t="s">
        <v>137</v>
      </c>
      <c r="AE140" s="8" t="s">
        <v>153</v>
      </c>
      <c r="AF140" s="8" t="s">
        <v>153</v>
      </c>
      <c r="AG140" s="8" t="s">
        <v>292</v>
      </c>
      <c r="AH140" s="51">
        <v>36970</v>
      </c>
      <c r="AI140" s="28">
        <v>25</v>
      </c>
      <c r="AJ140" s="51" t="s">
        <v>1853</v>
      </c>
    </row>
    <row r="141" spans="1:36" ht="12.65" customHeight="1" x14ac:dyDescent="0.35">
      <c r="A141" s="8" t="s">
        <v>139</v>
      </c>
      <c r="B141" s="8" t="s">
        <v>136</v>
      </c>
      <c r="C141" s="8" t="s">
        <v>135</v>
      </c>
      <c r="D141" s="33" t="s">
        <v>1060</v>
      </c>
      <c r="E141" s="14" t="s">
        <v>1061</v>
      </c>
      <c r="F141" s="14" t="s">
        <v>57</v>
      </c>
      <c r="G141" s="14" t="s">
        <v>1</v>
      </c>
      <c r="H141" s="14" t="s">
        <v>9</v>
      </c>
      <c r="I141" s="34" t="s">
        <v>572</v>
      </c>
      <c r="J141" s="8" t="s">
        <v>573</v>
      </c>
      <c r="K141" s="69" t="s">
        <v>574</v>
      </c>
      <c r="L141" s="8" t="s">
        <v>299</v>
      </c>
      <c r="M141" s="8" t="s">
        <v>299</v>
      </c>
      <c r="N141" s="8" t="s">
        <v>306</v>
      </c>
      <c r="O141" s="8" t="s">
        <v>20</v>
      </c>
      <c r="P141" s="8" t="s">
        <v>284</v>
      </c>
      <c r="Q141" s="8" t="s">
        <v>865</v>
      </c>
      <c r="R141" s="8" t="s">
        <v>1628</v>
      </c>
      <c r="S141" s="8" t="s">
        <v>247</v>
      </c>
      <c r="T141" s="8" t="s">
        <v>157</v>
      </c>
      <c r="U141" s="8" t="s">
        <v>194</v>
      </c>
      <c r="V141" s="8">
        <v>1</v>
      </c>
      <c r="W141" s="18">
        <v>1</v>
      </c>
      <c r="X141" s="51">
        <v>45659</v>
      </c>
      <c r="Y141" s="51">
        <v>44868</v>
      </c>
      <c r="Z141" s="28">
        <v>47</v>
      </c>
      <c r="AA141" s="16" t="s">
        <v>1701</v>
      </c>
      <c r="AB141" s="8" t="s">
        <v>291</v>
      </c>
      <c r="AC141" s="8" t="s">
        <v>291</v>
      </c>
      <c r="AD141" s="8" t="s">
        <v>134</v>
      </c>
      <c r="AE141" s="8">
        <v>3102670940</v>
      </c>
      <c r="AF141" s="8" t="s">
        <v>276</v>
      </c>
      <c r="AG141" s="8" t="s">
        <v>292</v>
      </c>
      <c r="AH141" s="51">
        <v>32086</v>
      </c>
      <c r="AI141" s="28">
        <v>38</v>
      </c>
      <c r="AJ141" s="51" t="s">
        <v>1853</v>
      </c>
    </row>
    <row r="142" spans="1:36" ht="12.65" customHeight="1" x14ac:dyDescent="0.35">
      <c r="A142" s="8" t="s">
        <v>139</v>
      </c>
      <c r="B142" s="8" t="s">
        <v>136</v>
      </c>
      <c r="C142" s="8" t="s">
        <v>135</v>
      </c>
      <c r="D142" s="35" t="s">
        <v>1062</v>
      </c>
      <c r="E142" s="14" t="s">
        <v>1063</v>
      </c>
      <c r="F142" s="14" t="s">
        <v>57</v>
      </c>
      <c r="G142" s="14" t="s">
        <v>1</v>
      </c>
      <c r="H142" s="14" t="s">
        <v>9</v>
      </c>
      <c r="I142" s="34" t="s">
        <v>711</v>
      </c>
      <c r="J142" s="8" t="s">
        <v>712</v>
      </c>
      <c r="K142" s="69" t="s">
        <v>713</v>
      </c>
      <c r="L142" s="8" t="s">
        <v>299</v>
      </c>
      <c r="M142" s="8" t="s">
        <v>299</v>
      </c>
      <c r="N142" s="8" t="s">
        <v>306</v>
      </c>
      <c r="O142" s="8" t="s">
        <v>154</v>
      </c>
      <c r="P142" s="8" t="s">
        <v>476</v>
      </c>
      <c r="Q142" s="8" t="s">
        <v>326</v>
      </c>
      <c r="R142" s="8" t="s">
        <v>234</v>
      </c>
      <c r="S142" s="8" t="s">
        <v>241</v>
      </c>
      <c r="T142" s="8" t="s">
        <v>169</v>
      </c>
      <c r="U142" s="8" t="s">
        <v>194</v>
      </c>
      <c r="V142" s="8">
        <v>1</v>
      </c>
      <c r="W142" s="18">
        <v>1</v>
      </c>
      <c r="X142" s="51">
        <v>45659</v>
      </c>
      <c r="Y142" s="51">
        <v>45565</v>
      </c>
      <c r="Z142" s="28">
        <v>24</v>
      </c>
      <c r="AA142" s="16" t="s">
        <v>1701</v>
      </c>
      <c r="AB142" s="8" t="s">
        <v>294</v>
      </c>
      <c r="AC142" s="8" t="s">
        <v>294</v>
      </c>
      <c r="AD142" s="8" t="s">
        <v>134</v>
      </c>
      <c r="AE142" s="8">
        <v>3102689248</v>
      </c>
      <c r="AF142" s="8" t="s">
        <v>276</v>
      </c>
      <c r="AG142" s="8" t="s">
        <v>292</v>
      </c>
      <c r="AH142" s="51">
        <v>29376</v>
      </c>
      <c r="AI142" s="28">
        <v>46</v>
      </c>
      <c r="AJ142" s="51" t="s">
        <v>1852</v>
      </c>
    </row>
    <row r="143" spans="1:36" ht="12.65" customHeight="1" x14ac:dyDescent="0.35">
      <c r="A143" s="8" t="s">
        <v>139</v>
      </c>
      <c r="B143" s="8" t="s">
        <v>136</v>
      </c>
      <c r="C143" s="8" t="s">
        <v>135</v>
      </c>
      <c r="D143" s="33" t="s">
        <v>986</v>
      </c>
      <c r="E143" s="14" t="s">
        <v>987</v>
      </c>
      <c r="F143" s="14" t="s">
        <v>57</v>
      </c>
      <c r="G143" s="14" t="s">
        <v>1</v>
      </c>
      <c r="H143" s="14" t="s">
        <v>9</v>
      </c>
      <c r="I143" s="34" t="s">
        <v>334</v>
      </c>
      <c r="J143" s="8" t="s">
        <v>112</v>
      </c>
      <c r="K143" s="69" t="s">
        <v>335</v>
      </c>
      <c r="L143" s="8" t="s">
        <v>75</v>
      </c>
      <c r="M143" s="8" t="s">
        <v>107</v>
      </c>
      <c r="N143" s="8" t="s">
        <v>306</v>
      </c>
      <c r="O143" s="8" t="s">
        <v>11</v>
      </c>
      <c r="P143" s="8" t="s">
        <v>274</v>
      </c>
      <c r="Q143" s="8" t="s">
        <v>275</v>
      </c>
      <c r="R143" s="8" t="s">
        <v>1628</v>
      </c>
      <c r="S143" s="8" t="s">
        <v>247</v>
      </c>
      <c r="T143" s="8" t="s">
        <v>202</v>
      </c>
      <c r="U143" s="8" t="s">
        <v>189</v>
      </c>
      <c r="V143" s="8">
        <v>1</v>
      </c>
      <c r="W143" s="18">
        <v>1</v>
      </c>
      <c r="X143" s="51">
        <v>45659</v>
      </c>
      <c r="Y143" s="51">
        <v>45036</v>
      </c>
      <c r="Z143" s="28">
        <v>41</v>
      </c>
      <c r="AA143" s="16" t="s">
        <v>1701</v>
      </c>
      <c r="AB143" s="8" t="s">
        <v>293</v>
      </c>
      <c r="AC143" s="8" t="s">
        <v>291</v>
      </c>
      <c r="AD143" s="51" t="s">
        <v>134</v>
      </c>
      <c r="AE143" s="19">
        <v>3102702060</v>
      </c>
      <c r="AF143" s="51" t="s">
        <v>276</v>
      </c>
      <c r="AG143" s="8" t="s">
        <v>292</v>
      </c>
      <c r="AH143" s="51">
        <v>35147</v>
      </c>
      <c r="AI143" s="28">
        <v>30</v>
      </c>
      <c r="AJ143" s="51" t="s">
        <v>1853</v>
      </c>
    </row>
    <row r="144" spans="1:36" ht="12.65" customHeight="1" x14ac:dyDescent="0.35">
      <c r="A144" s="8" t="s">
        <v>139</v>
      </c>
      <c r="B144" s="8" t="s">
        <v>136</v>
      </c>
      <c r="C144" s="8" t="s">
        <v>135</v>
      </c>
      <c r="D144" s="34" t="s">
        <v>1720</v>
      </c>
      <c r="E144" s="14" t="s">
        <v>1774</v>
      </c>
      <c r="F144" s="14" t="s">
        <v>57</v>
      </c>
      <c r="G144" s="14" t="s">
        <v>1</v>
      </c>
      <c r="H144" s="14" t="s">
        <v>9</v>
      </c>
      <c r="I144" s="34" t="s">
        <v>619</v>
      </c>
      <c r="J144" s="8" t="s">
        <v>620</v>
      </c>
      <c r="K144" s="69" t="s">
        <v>621</v>
      </c>
      <c r="L144" s="8" t="s">
        <v>299</v>
      </c>
      <c r="M144" s="8" t="s">
        <v>299</v>
      </c>
      <c r="N144" s="8" t="s">
        <v>306</v>
      </c>
      <c r="O144" s="8" t="s">
        <v>13</v>
      </c>
      <c r="P144" s="8" t="s">
        <v>285</v>
      </c>
      <c r="Q144" s="8" t="s">
        <v>285</v>
      </c>
      <c r="R144" s="8" t="s">
        <v>225</v>
      </c>
      <c r="S144" s="8" t="s">
        <v>237</v>
      </c>
      <c r="T144" s="8" t="s">
        <v>175</v>
      </c>
      <c r="U144" s="8" t="s">
        <v>194</v>
      </c>
      <c r="V144" s="8">
        <v>1</v>
      </c>
      <c r="W144" s="18">
        <v>1</v>
      </c>
      <c r="X144" s="22">
        <v>46185</v>
      </c>
      <c r="Y144" s="22">
        <v>46185</v>
      </c>
      <c r="Z144" s="28">
        <v>4</v>
      </c>
      <c r="AA144" s="16" t="s">
        <v>1699</v>
      </c>
      <c r="AB144" s="8" t="s">
        <v>294</v>
      </c>
      <c r="AC144" s="8" t="s">
        <v>291</v>
      </c>
      <c r="AD144" s="8" t="s">
        <v>137</v>
      </c>
      <c r="AE144" s="8" t="s">
        <v>153</v>
      </c>
      <c r="AF144" s="8" t="s">
        <v>153</v>
      </c>
      <c r="AG144" s="8" t="s">
        <v>292</v>
      </c>
      <c r="AH144" s="51">
        <v>28780</v>
      </c>
      <c r="AI144" s="28">
        <v>47</v>
      </c>
      <c r="AJ144" s="51" t="s">
        <v>1852</v>
      </c>
    </row>
    <row r="145" spans="1:36" ht="12.65" customHeight="1" x14ac:dyDescent="0.35">
      <c r="A145" s="8" t="s">
        <v>139</v>
      </c>
      <c r="B145" s="8" t="s">
        <v>136</v>
      </c>
      <c r="C145" s="8" t="s">
        <v>135</v>
      </c>
      <c r="D145" s="33" t="s">
        <v>1066</v>
      </c>
      <c r="E145" s="14" t="s">
        <v>1067</v>
      </c>
      <c r="F145" s="14" t="s">
        <v>57</v>
      </c>
      <c r="G145" s="14" t="s">
        <v>1</v>
      </c>
      <c r="H145" s="14" t="s">
        <v>9</v>
      </c>
      <c r="I145" s="34" t="s">
        <v>670</v>
      </c>
      <c r="J145" s="8" t="s">
        <v>671</v>
      </c>
      <c r="K145" s="69" t="s">
        <v>672</v>
      </c>
      <c r="L145" s="8" t="s">
        <v>391</v>
      </c>
      <c r="M145" s="8" t="s">
        <v>399</v>
      </c>
      <c r="N145" s="8" t="s">
        <v>393</v>
      </c>
      <c r="O145" s="8" t="s">
        <v>13</v>
      </c>
      <c r="P145" s="8" t="s">
        <v>285</v>
      </c>
      <c r="Q145" s="8" t="s">
        <v>285</v>
      </c>
      <c r="R145" s="8" t="s">
        <v>225</v>
      </c>
      <c r="S145" s="8" t="s">
        <v>237</v>
      </c>
      <c r="T145" s="8" t="s">
        <v>216</v>
      </c>
      <c r="U145" s="8" t="s">
        <v>183</v>
      </c>
      <c r="V145" s="8">
        <v>1</v>
      </c>
      <c r="W145" s="18">
        <v>1</v>
      </c>
      <c r="X145" s="51">
        <v>45659</v>
      </c>
      <c r="Y145" s="51">
        <v>45225</v>
      </c>
      <c r="Z145" s="28">
        <v>35</v>
      </c>
      <c r="AA145" s="16" t="s">
        <v>1701</v>
      </c>
      <c r="AB145" s="8" t="s">
        <v>395</v>
      </c>
      <c r="AC145" s="8" t="s">
        <v>395</v>
      </c>
      <c r="AD145" s="19" t="s">
        <v>134</v>
      </c>
      <c r="AE145" s="19">
        <v>3102653220</v>
      </c>
      <c r="AF145" s="19" t="s">
        <v>276</v>
      </c>
      <c r="AG145" s="8" t="s">
        <v>295</v>
      </c>
      <c r="AH145" s="51">
        <v>37651</v>
      </c>
      <c r="AI145" s="28">
        <v>23</v>
      </c>
      <c r="AJ145" s="51" t="s">
        <v>1853</v>
      </c>
    </row>
    <row r="146" spans="1:36" ht="12.65" customHeight="1" x14ac:dyDescent="0.35">
      <c r="A146" s="8" t="s">
        <v>139</v>
      </c>
      <c r="B146" s="8" t="s">
        <v>136</v>
      </c>
      <c r="C146" s="8" t="s">
        <v>135</v>
      </c>
      <c r="D146" s="34" t="s">
        <v>1897</v>
      </c>
      <c r="E146" s="14" t="s">
        <v>1896</v>
      </c>
      <c r="F146" s="14" t="s">
        <v>57</v>
      </c>
      <c r="G146" s="14" t="s">
        <v>1</v>
      </c>
      <c r="H146" s="14" t="s">
        <v>9</v>
      </c>
      <c r="I146" s="34" t="s">
        <v>332</v>
      </c>
      <c r="J146" s="8" t="s">
        <v>101</v>
      </c>
      <c r="K146" s="69" t="s">
        <v>333</v>
      </c>
      <c r="L146" s="8" t="s">
        <v>75</v>
      </c>
      <c r="M146" s="8" t="s">
        <v>75</v>
      </c>
      <c r="N146" s="8" t="s">
        <v>306</v>
      </c>
      <c r="O146" s="8" t="s">
        <v>11</v>
      </c>
      <c r="P146" s="8" t="s">
        <v>274</v>
      </c>
      <c r="Q146" s="8" t="s">
        <v>275</v>
      </c>
      <c r="R146" s="8" t="s">
        <v>1628</v>
      </c>
      <c r="S146" s="8" t="s">
        <v>247</v>
      </c>
      <c r="T146" s="8" t="s">
        <v>172</v>
      </c>
      <c r="U146" s="8" t="s">
        <v>189</v>
      </c>
      <c r="V146" s="8">
        <v>1</v>
      </c>
      <c r="W146" s="18">
        <v>1</v>
      </c>
      <c r="X146" s="51">
        <v>46303</v>
      </c>
      <c r="Y146" s="51">
        <v>46303</v>
      </c>
      <c r="Z146" s="28">
        <v>0</v>
      </c>
      <c r="AA146" s="16" t="s">
        <v>1698</v>
      </c>
      <c r="AB146" s="8" t="s">
        <v>294</v>
      </c>
      <c r="AC146" s="8" t="s">
        <v>294</v>
      </c>
      <c r="AD146" s="19" t="s">
        <v>137</v>
      </c>
      <c r="AE146" s="19" t="s">
        <v>153</v>
      </c>
      <c r="AF146" s="19" t="s">
        <v>153</v>
      </c>
      <c r="AG146" s="8" t="s">
        <v>292</v>
      </c>
      <c r="AH146" s="51" t="s">
        <v>4</v>
      </c>
      <c r="AI146" s="28" t="s">
        <v>4</v>
      </c>
      <c r="AJ146" s="51" t="s">
        <v>4</v>
      </c>
    </row>
    <row r="147" spans="1:36" ht="12.65" customHeight="1" x14ac:dyDescent="0.35">
      <c r="A147" s="8" t="s">
        <v>139</v>
      </c>
      <c r="B147" s="8" t="s">
        <v>136</v>
      </c>
      <c r="C147" s="8" t="s">
        <v>135</v>
      </c>
      <c r="D147" s="35" t="s">
        <v>1857</v>
      </c>
      <c r="E147" s="20" t="s">
        <v>1856</v>
      </c>
      <c r="F147" s="14" t="s">
        <v>57</v>
      </c>
      <c r="G147" s="14" t="s">
        <v>1</v>
      </c>
      <c r="H147" s="14" t="s">
        <v>9</v>
      </c>
      <c r="I147" s="34" t="s">
        <v>739</v>
      </c>
      <c r="J147" s="8" t="s">
        <v>123</v>
      </c>
      <c r="K147" s="69" t="s">
        <v>740</v>
      </c>
      <c r="L147" s="8" t="s">
        <v>75</v>
      </c>
      <c r="M147" s="8" t="s">
        <v>107</v>
      </c>
      <c r="N147" s="8" t="s">
        <v>306</v>
      </c>
      <c r="O147" s="8" t="s">
        <v>148</v>
      </c>
      <c r="P147" s="8" t="s">
        <v>279</v>
      </c>
      <c r="Q147" s="8" t="s">
        <v>279</v>
      </c>
      <c r="R147" s="8" t="s">
        <v>225</v>
      </c>
      <c r="S147" s="8" t="s">
        <v>241</v>
      </c>
      <c r="T147" s="8" t="s">
        <v>166</v>
      </c>
      <c r="U147" s="8" t="s">
        <v>189</v>
      </c>
      <c r="V147" s="8">
        <v>1</v>
      </c>
      <c r="W147" s="18">
        <v>1</v>
      </c>
      <c r="X147" s="51">
        <v>46254</v>
      </c>
      <c r="Y147" s="51">
        <v>46254</v>
      </c>
      <c r="Z147" s="28">
        <v>1</v>
      </c>
      <c r="AA147" s="16" t="s">
        <v>1698</v>
      </c>
      <c r="AB147" s="8" t="s">
        <v>395</v>
      </c>
      <c r="AC147" s="8" t="s">
        <v>395</v>
      </c>
      <c r="AD147" s="19" t="s">
        <v>137</v>
      </c>
      <c r="AE147" s="19" t="s">
        <v>153</v>
      </c>
      <c r="AF147" s="19" t="s">
        <v>153</v>
      </c>
      <c r="AG147" s="8" t="s">
        <v>292</v>
      </c>
      <c r="AH147" s="51">
        <v>34834</v>
      </c>
      <c r="AI147" s="28">
        <v>31</v>
      </c>
      <c r="AJ147" s="19" t="s">
        <v>1853</v>
      </c>
    </row>
    <row r="148" spans="1:36" ht="12.65" customHeight="1" x14ac:dyDescent="0.35">
      <c r="A148" s="8" t="s">
        <v>139</v>
      </c>
      <c r="B148" s="8" t="s">
        <v>136</v>
      </c>
      <c r="C148" s="8" t="s">
        <v>135</v>
      </c>
      <c r="D148" s="35" t="s">
        <v>1070</v>
      </c>
      <c r="E148" s="14" t="s">
        <v>1071</v>
      </c>
      <c r="F148" s="14" t="s">
        <v>57</v>
      </c>
      <c r="G148" s="14" t="s">
        <v>1</v>
      </c>
      <c r="H148" s="14" t="s">
        <v>9</v>
      </c>
      <c r="I148" s="34" t="s">
        <v>332</v>
      </c>
      <c r="J148" s="8" t="s">
        <v>101</v>
      </c>
      <c r="K148" s="69" t="s">
        <v>333</v>
      </c>
      <c r="L148" s="8" t="s">
        <v>75</v>
      </c>
      <c r="M148" s="8" t="s">
        <v>75</v>
      </c>
      <c r="N148" s="8" t="s">
        <v>306</v>
      </c>
      <c r="O148" s="8" t="s">
        <v>11</v>
      </c>
      <c r="P148" s="8" t="s">
        <v>274</v>
      </c>
      <c r="Q148" s="8" t="s">
        <v>275</v>
      </c>
      <c r="R148" s="8" t="s">
        <v>1628</v>
      </c>
      <c r="S148" s="8" t="s">
        <v>247</v>
      </c>
      <c r="T148" s="8" t="s">
        <v>172</v>
      </c>
      <c r="U148" s="8" t="s">
        <v>189</v>
      </c>
      <c r="V148" s="8">
        <v>1</v>
      </c>
      <c r="W148" s="18">
        <v>1</v>
      </c>
      <c r="X148" s="51">
        <v>45990</v>
      </c>
      <c r="Y148" s="51">
        <v>45990</v>
      </c>
      <c r="Z148" s="28">
        <v>10</v>
      </c>
      <c r="AA148" s="16" t="s">
        <v>1711</v>
      </c>
      <c r="AB148" s="8" t="s">
        <v>294</v>
      </c>
      <c r="AC148" s="8" t="s">
        <v>294</v>
      </c>
      <c r="AD148" s="19" t="s">
        <v>137</v>
      </c>
      <c r="AE148" s="8" t="s">
        <v>153</v>
      </c>
      <c r="AF148" s="8" t="s">
        <v>153</v>
      </c>
      <c r="AG148" s="8" t="s">
        <v>292</v>
      </c>
      <c r="AH148" s="51">
        <v>36427</v>
      </c>
      <c r="AI148" s="28">
        <v>27</v>
      </c>
      <c r="AJ148" s="51" t="s">
        <v>1852</v>
      </c>
    </row>
    <row r="149" spans="1:36" ht="12.65" customHeight="1" x14ac:dyDescent="0.35">
      <c r="A149" s="8" t="s">
        <v>139</v>
      </c>
      <c r="B149" s="8" t="s">
        <v>136</v>
      </c>
      <c r="C149" s="8" t="s">
        <v>135</v>
      </c>
      <c r="D149" s="34" t="s">
        <v>1072</v>
      </c>
      <c r="E149" s="14" t="s">
        <v>1073</v>
      </c>
      <c r="F149" s="14" t="s">
        <v>57</v>
      </c>
      <c r="G149" s="14" t="s">
        <v>1</v>
      </c>
      <c r="H149" s="14" t="s">
        <v>9</v>
      </c>
      <c r="I149" s="34" t="s">
        <v>1074</v>
      </c>
      <c r="J149" s="8" t="s">
        <v>1075</v>
      </c>
      <c r="K149" s="69" t="s">
        <v>1076</v>
      </c>
      <c r="L149" s="8" t="s">
        <v>406</v>
      </c>
      <c r="M149" s="8" t="s">
        <v>976</v>
      </c>
      <c r="N149" s="8" t="s">
        <v>306</v>
      </c>
      <c r="O149" s="8" t="s">
        <v>146</v>
      </c>
      <c r="P149" s="8" t="s">
        <v>283</v>
      </c>
      <c r="Q149" s="8" t="s">
        <v>326</v>
      </c>
      <c r="R149" s="8" t="s">
        <v>234</v>
      </c>
      <c r="S149" s="8" t="s">
        <v>241</v>
      </c>
      <c r="T149" s="8" t="s">
        <v>160</v>
      </c>
      <c r="U149" s="8" t="s">
        <v>186</v>
      </c>
      <c r="V149" s="8">
        <v>1</v>
      </c>
      <c r="W149" s="18">
        <v>1</v>
      </c>
      <c r="X149" s="51">
        <v>45659</v>
      </c>
      <c r="Y149" s="51">
        <v>44219</v>
      </c>
      <c r="Z149" s="28">
        <v>68</v>
      </c>
      <c r="AA149" s="16" t="s">
        <v>1701</v>
      </c>
      <c r="AB149" s="8" t="s">
        <v>293</v>
      </c>
      <c r="AC149" s="8" t="s">
        <v>293</v>
      </c>
      <c r="AD149" s="8" t="s">
        <v>134</v>
      </c>
      <c r="AE149" s="8">
        <v>3102614288</v>
      </c>
      <c r="AF149" s="8" t="s">
        <v>276</v>
      </c>
      <c r="AG149" s="8" t="s">
        <v>295</v>
      </c>
      <c r="AH149" s="51">
        <v>33483</v>
      </c>
      <c r="AI149" s="28">
        <v>35</v>
      </c>
      <c r="AJ149" s="51" t="s">
        <v>1853</v>
      </c>
    </row>
    <row r="150" spans="1:36" ht="12.65" customHeight="1" x14ac:dyDescent="0.35">
      <c r="A150" s="8" t="s">
        <v>139</v>
      </c>
      <c r="B150" s="8" t="s">
        <v>136</v>
      </c>
      <c r="C150" s="8" t="s">
        <v>135</v>
      </c>
      <c r="D150" s="33" t="s">
        <v>1574</v>
      </c>
      <c r="E150" s="14" t="s">
        <v>1575</v>
      </c>
      <c r="F150" s="14" t="s">
        <v>59</v>
      </c>
      <c r="G150" s="14" t="s">
        <v>1</v>
      </c>
      <c r="H150" s="14" t="s">
        <v>9</v>
      </c>
      <c r="I150" s="34" t="s">
        <v>360</v>
      </c>
      <c r="J150" s="8" t="s">
        <v>115</v>
      </c>
      <c r="K150" s="69" t="s">
        <v>361</v>
      </c>
      <c r="L150" s="8" t="s">
        <v>75</v>
      </c>
      <c r="M150" s="8" t="s">
        <v>107</v>
      </c>
      <c r="N150" s="8" t="s">
        <v>306</v>
      </c>
      <c r="O150" s="8" t="s">
        <v>362</v>
      </c>
      <c r="P150" s="8" t="s">
        <v>363</v>
      </c>
      <c r="Q150" s="8" t="s">
        <v>331</v>
      </c>
      <c r="R150" s="8" t="s">
        <v>222</v>
      </c>
      <c r="S150" s="8" t="s">
        <v>237</v>
      </c>
      <c r="T150" s="8" t="s">
        <v>56</v>
      </c>
      <c r="U150" s="8" t="s">
        <v>189</v>
      </c>
      <c r="V150" s="8">
        <v>1</v>
      </c>
      <c r="W150" s="18">
        <v>1</v>
      </c>
      <c r="X150" s="53">
        <v>45659</v>
      </c>
      <c r="Y150" s="53">
        <v>43245</v>
      </c>
      <c r="Z150" s="28">
        <v>100</v>
      </c>
      <c r="AA150" s="16" t="s">
        <v>1701</v>
      </c>
      <c r="AB150" s="8" t="s">
        <v>293</v>
      </c>
      <c r="AC150" s="8" t="s">
        <v>291</v>
      </c>
      <c r="AD150" s="14" t="s">
        <v>134</v>
      </c>
      <c r="AE150" s="14">
        <v>3102655921</v>
      </c>
      <c r="AF150" s="14" t="s">
        <v>276</v>
      </c>
      <c r="AG150" s="8" t="s">
        <v>292</v>
      </c>
      <c r="AH150" s="51">
        <v>32929</v>
      </c>
      <c r="AI150" s="28">
        <v>36</v>
      </c>
      <c r="AJ150" s="51" t="s">
        <v>1853</v>
      </c>
    </row>
    <row r="151" spans="1:36" ht="12.65" customHeight="1" x14ac:dyDescent="0.35">
      <c r="A151" s="8" t="s">
        <v>139</v>
      </c>
      <c r="B151" s="8" t="s">
        <v>1243</v>
      </c>
      <c r="C151" s="8" t="s">
        <v>135</v>
      </c>
      <c r="D151" s="35" t="s">
        <v>1079</v>
      </c>
      <c r="E151" s="14" t="s">
        <v>1080</v>
      </c>
      <c r="F151" s="14" t="s">
        <v>57</v>
      </c>
      <c r="G151" s="14" t="s">
        <v>1</v>
      </c>
      <c r="H151" s="14" t="s">
        <v>9</v>
      </c>
      <c r="I151" s="34" t="s">
        <v>474</v>
      </c>
      <c r="J151" s="8" t="s">
        <v>897</v>
      </c>
      <c r="K151" s="69" t="s">
        <v>475</v>
      </c>
      <c r="L151" s="8" t="s">
        <v>299</v>
      </c>
      <c r="M151" s="8" t="s">
        <v>299</v>
      </c>
      <c r="N151" s="8" t="s">
        <v>306</v>
      </c>
      <c r="O151" s="8" t="s">
        <v>11</v>
      </c>
      <c r="P151" s="8" t="s">
        <v>274</v>
      </c>
      <c r="Q151" s="8" t="s">
        <v>275</v>
      </c>
      <c r="R151" s="8" t="s">
        <v>231</v>
      </c>
      <c r="S151" s="8" t="s">
        <v>247</v>
      </c>
      <c r="T151" s="8" t="s">
        <v>208</v>
      </c>
      <c r="U151" s="8" t="s">
        <v>194</v>
      </c>
      <c r="V151" s="8">
        <v>1</v>
      </c>
      <c r="W151" s="18">
        <v>1</v>
      </c>
      <c r="X151" s="16">
        <v>45659</v>
      </c>
      <c r="Y151" s="16">
        <v>44868</v>
      </c>
      <c r="Z151" s="28">
        <v>47</v>
      </c>
      <c r="AA151" s="16" t="s">
        <v>1701</v>
      </c>
      <c r="AB151" s="8" t="s">
        <v>291</v>
      </c>
      <c r="AC151" s="8" t="s">
        <v>291</v>
      </c>
      <c r="AD151" s="8" t="s">
        <v>134</v>
      </c>
      <c r="AE151" s="8">
        <v>3102660475</v>
      </c>
      <c r="AF151" s="8" t="s">
        <v>276</v>
      </c>
      <c r="AG151" s="8" t="s">
        <v>292</v>
      </c>
      <c r="AH151" s="51">
        <v>32828</v>
      </c>
      <c r="AI151" s="28">
        <v>36</v>
      </c>
      <c r="AJ151" s="51" t="s">
        <v>1853</v>
      </c>
    </row>
    <row r="152" spans="1:36" ht="12.65" customHeight="1" x14ac:dyDescent="0.35">
      <c r="A152" s="8" t="s">
        <v>139</v>
      </c>
      <c r="B152" s="8" t="s">
        <v>136</v>
      </c>
      <c r="C152" s="8" t="s">
        <v>135</v>
      </c>
      <c r="D152" s="34" t="s">
        <v>1081</v>
      </c>
      <c r="E152" s="14" t="s">
        <v>1082</v>
      </c>
      <c r="F152" s="14" t="s">
        <v>57</v>
      </c>
      <c r="G152" s="14" t="s">
        <v>1</v>
      </c>
      <c r="H152" s="14" t="s">
        <v>9</v>
      </c>
      <c r="I152" s="34" t="s">
        <v>853</v>
      </c>
      <c r="J152" s="8" t="s">
        <v>121</v>
      </c>
      <c r="K152" s="69" t="s">
        <v>854</v>
      </c>
      <c r="L152" s="8" t="s">
        <v>75</v>
      </c>
      <c r="M152" s="8" t="s">
        <v>107</v>
      </c>
      <c r="N152" s="8" t="s">
        <v>306</v>
      </c>
      <c r="O152" s="8" t="s">
        <v>764</v>
      </c>
      <c r="P152" s="8" t="s">
        <v>274</v>
      </c>
      <c r="Q152" s="8" t="s">
        <v>275</v>
      </c>
      <c r="R152" s="8" t="s">
        <v>1628</v>
      </c>
      <c r="S152" s="8" t="s">
        <v>247</v>
      </c>
      <c r="T152" s="8" t="s">
        <v>172</v>
      </c>
      <c r="U152" s="8" t="s">
        <v>189</v>
      </c>
      <c r="V152" s="8">
        <v>1</v>
      </c>
      <c r="W152" s="18">
        <v>1</v>
      </c>
      <c r="X152" s="51">
        <v>45945</v>
      </c>
      <c r="Y152" s="51">
        <v>45945</v>
      </c>
      <c r="Z152" s="28">
        <v>12</v>
      </c>
      <c r="AA152" s="16" t="s">
        <v>1700</v>
      </c>
      <c r="AB152" s="8" t="s">
        <v>395</v>
      </c>
      <c r="AC152" s="8" t="s">
        <v>294</v>
      </c>
      <c r="AD152" s="8" t="s">
        <v>137</v>
      </c>
      <c r="AE152" s="8" t="s">
        <v>153</v>
      </c>
      <c r="AF152" s="8" t="s">
        <v>153</v>
      </c>
      <c r="AG152" s="8" t="s">
        <v>292</v>
      </c>
      <c r="AH152" s="51">
        <v>31049</v>
      </c>
      <c r="AI152" s="28">
        <v>41</v>
      </c>
      <c r="AJ152" s="51" t="s">
        <v>1853</v>
      </c>
    </row>
    <row r="153" spans="1:36" ht="12.65" customHeight="1" x14ac:dyDescent="0.35">
      <c r="A153" s="8" t="s">
        <v>139</v>
      </c>
      <c r="B153" s="8" t="s">
        <v>136</v>
      </c>
      <c r="C153" s="8" t="s">
        <v>135</v>
      </c>
      <c r="D153" s="35" t="s">
        <v>1250</v>
      </c>
      <c r="E153" s="14" t="s">
        <v>1251</v>
      </c>
      <c r="F153" s="14" t="s">
        <v>57</v>
      </c>
      <c r="G153" s="14" t="s">
        <v>1</v>
      </c>
      <c r="H153" s="14" t="s">
        <v>9</v>
      </c>
      <c r="I153" s="8" t="s">
        <v>480</v>
      </c>
      <c r="J153" s="8" t="s">
        <v>481</v>
      </c>
      <c r="K153" s="69" t="s">
        <v>482</v>
      </c>
      <c r="L153" s="8" t="s">
        <v>391</v>
      </c>
      <c r="M153" s="8" t="s">
        <v>405</v>
      </c>
      <c r="N153" s="8" t="s">
        <v>393</v>
      </c>
      <c r="O153" s="8" t="s">
        <v>13</v>
      </c>
      <c r="P153" s="8" t="s">
        <v>285</v>
      </c>
      <c r="Q153" s="8" t="s">
        <v>285</v>
      </c>
      <c r="R153" s="8" t="s">
        <v>225</v>
      </c>
      <c r="S153" s="8" t="s">
        <v>237</v>
      </c>
      <c r="T153" s="8" t="s">
        <v>216</v>
      </c>
      <c r="U153" s="8" t="s">
        <v>183</v>
      </c>
      <c r="V153" s="8">
        <v>1</v>
      </c>
      <c r="W153" s="18">
        <v>0.5</v>
      </c>
      <c r="X153" s="54">
        <v>45882</v>
      </c>
      <c r="Y153" s="54">
        <v>45882</v>
      </c>
      <c r="Z153" s="28">
        <v>14</v>
      </c>
      <c r="AA153" s="16" t="s">
        <v>1700</v>
      </c>
      <c r="AB153" s="8" t="s">
        <v>293</v>
      </c>
      <c r="AC153" s="8" t="s">
        <v>293</v>
      </c>
      <c r="AD153" s="20" t="s">
        <v>137</v>
      </c>
      <c r="AE153" s="20">
        <v>3102684721</v>
      </c>
      <c r="AF153" s="20" t="s">
        <v>276</v>
      </c>
      <c r="AG153" s="8" t="s">
        <v>295</v>
      </c>
      <c r="AH153" s="54">
        <v>36259</v>
      </c>
      <c r="AI153" s="40">
        <v>27</v>
      </c>
      <c r="AJ153" s="73" t="s">
        <v>1853</v>
      </c>
    </row>
    <row r="154" spans="1:36" ht="12.65" customHeight="1" x14ac:dyDescent="0.35">
      <c r="A154" s="8" t="s">
        <v>139</v>
      </c>
      <c r="B154" s="8" t="s">
        <v>136</v>
      </c>
      <c r="C154" s="8" t="s">
        <v>135</v>
      </c>
      <c r="D154" s="35" t="s">
        <v>1250</v>
      </c>
      <c r="E154" s="14" t="s">
        <v>1251</v>
      </c>
      <c r="F154" s="14" t="s">
        <v>57</v>
      </c>
      <c r="G154" s="14" t="s">
        <v>1</v>
      </c>
      <c r="H154" s="14" t="s">
        <v>9</v>
      </c>
      <c r="I154" s="34" t="s">
        <v>477</v>
      </c>
      <c r="J154" s="8" t="s">
        <v>478</v>
      </c>
      <c r="K154" s="69" t="s">
        <v>479</v>
      </c>
      <c r="L154" s="8" t="s">
        <v>391</v>
      </c>
      <c r="M154" s="8" t="s">
        <v>405</v>
      </c>
      <c r="N154" s="8" t="s">
        <v>393</v>
      </c>
      <c r="O154" s="8" t="s">
        <v>13</v>
      </c>
      <c r="P154" s="8" t="s">
        <v>285</v>
      </c>
      <c r="Q154" s="8" t="s">
        <v>285</v>
      </c>
      <c r="R154" s="8" t="s">
        <v>225</v>
      </c>
      <c r="S154" s="8" t="s">
        <v>237</v>
      </c>
      <c r="T154" s="8" t="s">
        <v>216</v>
      </c>
      <c r="U154" s="8" t="s">
        <v>183</v>
      </c>
      <c r="V154" s="8">
        <v>0</v>
      </c>
      <c r="W154" s="18">
        <v>0.5</v>
      </c>
      <c r="X154" s="54">
        <v>45882</v>
      </c>
      <c r="Y154" s="54">
        <v>45882</v>
      </c>
      <c r="Z154" s="28">
        <v>14</v>
      </c>
      <c r="AA154" s="16" t="s">
        <v>1700</v>
      </c>
      <c r="AB154" s="8" t="s">
        <v>293</v>
      </c>
      <c r="AC154" s="8" t="s">
        <v>293</v>
      </c>
      <c r="AD154" s="20" t="s">
        <v>137</v>
      </c>
      <c r="AE154" s="20">
        <v>3102684721</v>
      </c>
      <c r="AF154" s="20" t="s">
        <v>276</v>
      </c>
      <c r="AG154" s="8" t="s">
        <v>295</v>
      </c>
      <c r="AH154" s="54">
        <v>36259</v>
      </c>
      <c r="AI154" s="40">
        <v>27</v>
      </c>
      <c r="AJ154" s="73" t="s">
        <v>1853</v>
      </c>
    </row>
    <row r="155" spans="1:36" ht="12.65" customHeight="1" x14ac:dyDescent="0.35">
      <c r="A155" s="8" t="s">
        <v>139</v>
      </c>
      <c r="B155" s="8" t="s">
        <v>136</v>
      </c>
      <c r="C155" s="8" t="s">
        <v>135</v>
      </c>
      <c r="D155" s="34" t="s">
        <v>1084</v>
      </c>
      <c r="E155" s="14" t="s">
        <v>1085</v>
      </c>
      <c r="F155" s="14" t="s">
        <v>57</v>
      </c>
      <c r="G155" s="14" t="s">
        <v>1</v>
      </c>
      <c r="H155" s="14" t="s">
        <v>9</v>
      </c>
      <c r="I155" s="34" t="s">
        <v>449</v>
      </c>
      <c r="J155" s="8" t="s">
        <v>97</v>
      </c>
      <c r="K155" s="69" t="s">
        <v>450</v>
      </c>
      <c r="L155" s="8" t="s">
        <v>75</v>
      </c>
      <c r="M155" s="8" t="s">
        <v>75</v>
      </c>
      <c r="N155" s="8" t="s">
        <v>306</v>
      </c>
      <c r="O155" s="8" t="s">
        <v>11</v>
      </c>
      <c r="P155" s="8" t="s">
        <v>274</v>
      </c>
      <c r="Q155" s="8" t="s">
        <v>275</v>
      </c>
      <c r="R155" s="8" t="s">
        <v>1628</v>
      </c>
      <c r="S155" s="8" t="s">
        <v>247</v>
      </c>
      <c r="T155" s="8" t="s">
        <v>172</v>
      </c>
      <c r="U155" s="8" t="s">
        <v>189</v>
      </c>
      <c r="V155" s="8">
        <v>1</v>
      </c>
      <c r="W155" s="18">
        <v>1</v>
      </c>
      <c r="X155" s="51">
        <v>45741</v>
      </c>
      <c r="Y155" s="51">
        <v>45741</v>
      </c>
      <c r="Z155" s="28">
        <v>18</v>
      </c>
      <c r="AA155" s="16" t="s">
        <v>1700</v>
      </c>
      <c r="AB155" s="8" t="s">
        <v>294</v>
      </c>
      <c r="AC155" s="8" t="s">
        <v>294</v>
      </c>
      <c r="AD155" s="8" t="s">
        <v>137</v>
      </c>
      <c r="AE155" s="8">
        <v>3102072665</v>
      </c>
      <c r="AF155" s="8" t="s">
        <v>276</v>
      </c>
      <c r="AG155" s="8" t="s">
        <v>292</v>
      </c>
      <c r="AH155" s="51">
        <v>34460</v>
      </c>
      <c r="AI155" s="28">
        <v>32</v>
      </c>
      <c r="AJ155" s="51" t="s">
        <v>1853</v>
      </c>
    </row>
    <row r="156" spans="1:36" ht="12.65" customHeight="1" x14ac:dyDescent="0.35">
      <c r="A156" s="8" t="s">
        <v>139</v>
      </c>
      <c r="B156" s="8" t="s">
        <v>136</v>
      </c>
      <c r="C156" s="8" t="s">
        <v>135</v>
      </c>
      <c r="D156" s="34" t="s">
        <v>1086</v>
      </c>
      <c r="E156" s="14" t="s">
        <v>1087</v>
      </c>
      <c r="F156" s="14" t="s">
        <v>57</v>
      </c>
      <c r="G156" s="14" t="s">
        <v>1</v>
      </c>
      <c r="H156" s="14" t="s">
        <v>9</v>
      </c>
      <c r="I156" s="34" t="s">
        <v>1088</v>
      </c>
      <c r="J156" s="8" t="s">
        <v>1089</v>
      </c>
      <c r="K156" s="69" t="s">
        <v>1090</v>
      </c>
      <c r="L156" s="8" t="s">
        <v>406</v>
      </c>
      <c r="M156" s="8" t="s">
        <v>976</v>
      </c>
      <c r="N156" s="8" t="s">
        <v>306</v>
      </c>
      <c r="O156" s="8" t="s">
        <v>36</v>
      </c>
      <c r="P156" s="8" t="s">
        <v>282</v>
      </c>
      <c r="Q156" s="8" t="s">
        <v>543</v>
      </c>
      <c r="R156" s="8" t="s">
        <v>222</v>
      </c>
      <c r="S156" s="8" t="s">
        <v>237</v>
      </c>
      <c r="T156" s="8" t="s">
        <v>199</v>
      </c>
      <c r="U156" s="8" t="s">
        <v>186</v>
      </c>
      <c r="V156" s="8">
        <v>1</v>
      </c>
      <c r="W156" s="18">
        <v>0.5</v>
      </c>
      <c r="X156" s="51">
        <v>45659</v>
      </c>
      <c r="Y156" s="51">
        <v>44756</v>
      </c>
      <c r="Z156" s="28">
        <v>51</v>
      </c>
      <c r="AA156" s="16" t="s">
        <v>1701</v>
      </c>
      <c r="AB156" s="8" t="s">
        <v>395</v>
      </c>
      <c r="AC156" s="8" t="s">
        <v>395</v>
      </c>
      <c r="AD156" s="19" t="s">
        <v>134</v>
      </c>
      <c r="AE156" s="19">
        <v>3102623421</v>
      </c>
      <c r="AF156" s="19" t="s">
        <v>276</v>
      </c>
      <c r="AG156" s="8" t="s">
        <v>295</v>
      </c>
      <c r="AH156" s="51">
        <v>36674</v>
      </c>
      <c r="AI156" s="28">
        <v>26</v>
      </c>
      <c r="AJ156" s="51" t="s">
        <v>1853</v>
      </c>
    </row>
    <row r="157" spans="1:36" ht="12.65" customHeight="1" x14ac:dyDescent="0.35">
      <c r="A157" s="8" t="s">
        <v>139</v>
      </c>
      <c r="B157" s="8" t="s">
        <v>136</v>
      </c>
      <c r="C157" s="8" t="s">
        <v>135</v>
      </c>
      <c r="D157" s="35" t="s">
        <v>1086</v>
      </c>
      <c r="E157" s="14" t="s">
        <v>1087</v>
      </c>
      <c r="F157" s="14" t="s">
        <v>57</v>
      </c>
      <c r="G157" s="14" t="s">
        <v>1</v>
      </c>
      <c r="H157" s="14" t="s">
        <v>9</v>
      </c>
      <c r="I157" s="34" t="s">
        <v>1091</v>
      </c>
      <c r="J157" s="8" t="s">
        <v>1092</v>
      </c>
      <c r="K157" s="69" t="s">
        <v>1093</v>
      </c>
      <c r="L157" s="8" t="s">
        <v>406</v>
      </c>
      <c r="M157" s="8" t="s">
        <v>976</v>
      </c>
      <c r="N157" s="8" t="s">
        <v>306</v>
      </c>
      <c r="O157" s="8" t="s">
        <v>36</v>
      </c>
      <c r="P157" s="8" t="s">
        <v>282</v>
      </c>
      <c r="Q157" s="8" t="s">
        <v>543</v>
      </c>
      <c r="R157" s="8" t="s">
        <v>222</v>
      </c>
      <c r="S157" s="8" t="s">
        <v>237</v>
      </c>
      <c r="T157" s="8" t="s">
        <v>199</v>
      </c>
      <c r="U157" s="8" t="s">
        <v>186</v>
      </c>
      <c r="V157" s="8">
        <v>0</v>
      </c>
      <c r="W157" s="18">
        <v>0.5</v>
      </c>
      <c r="X157" s="51">
        <v>45659</v>
      </c>
      <c r="Y157" s="51">
        <v>44756</v>
      </c>
      <c r="Z157" s="28">
        <v>51</v>
      </c>
      <c r="AA157" s="16" t="s">
        <v>1701</v>
      </c>
      <c r="AB157" s="8" t="s">
        <v>395</v>
      </c>
      <c r="AC157" s="8" t="s">
        <v>395</v>
      </c>
      <c r="AD157" s="19" t="s">
        <v>134</v>
      </c>
      <c r="AE157" s="19">
        <v>3102623421</v>
      </c>
      <c r="AF157" s="19" t="s">
        <v>276</v>
      </c>
      <c r="AG157" s="8" t="s">
        <v>295</v>
      </c>
      <c r="AH157" s="51">
        <v>36674</v>
      </c>
      <c r="AI157" s="28">
        <v>26</v>
      </c>
      <c r="AJ157" s="51" t="s">
        <v>1853</v>
      </c>
    </row>
    <row r="158" spans="1:36" ht="12.65" customHeight="1" x14ac:dyDescent="0.35">
      <c r="A158" s="8" t="s">
        <v>139</v>
      </c>
      <c r="B158" s="8" t="s">
        <v>136</v>
      </c>
      <c r="C158" s="8" t="s">
        <v>135</v>
      </c>
      <c r="D158" s="34" t="s">
        <v>1094</v>
      </c>
      <c r="E158" s="14" t="s">
        <v>1095</v>
      </c>
      <c r="F158" s="14" t="s">
        <v>57</v>
      </c>
      <c r="G158" s="14" t="s">
        <v>1</v>
      </c>
      <c r="H158" s="14" t="s">
        <v>9</v>
      </c>
      <c r="I158" s="34" t="s">
        <v>711</v>
      </c>
      <c r="J158" s="8" t="s">
        <v>712</v>
      </c>
      <c r="K158" s="69" t="s">
        <v>713</v>
      </c>
      <c r="L158" s="8" t="s">
        <v>299</v>
      </c>
      <c r="M158" s="8" t="s">
        <v>299</v>
      </c>
      <c r="N158" s="8" t="s">
        <v>306</v>
      </c>
      <c r="O158" s="8" t="s">
        <v>154</v>
      </c>
      <c r="P158" s="8" t="s">
        <v>476</v>
      </c>
      <c r="Q158" s="8" t="s">
        <v>326</v>
      </c>
      <c r="R158" s="8" t="s">
        <v>234</v>
      </c>
      <c r="S158" s="8" t="s">
        <v>241</v>
      </c>
      <c r="T158" s="8" t="s">
        <v>169</v>
      </c>
      <c r="U158" s="8" t="s">
        <v>194</v>
      </c>
      <c r="V158" s="8">
        <v>1</v>
      </c>
      <c r="W158" s="18">
        <v>1</v>
      </c>
      <c r="X158" s="51">
        <v>45659</v>
      </c>
      <c r="Y158" s="51">
        <v>44546</v>
      </c>
      <c r="Z158" s="28">
        <v>58</v>
      </c>
      <c r="AA158" s="16" t="s">
        <v>1701</v>
      </c>
      <c r="AB158" s="8" t="s">
        <v>294</v>
      </c>
      <c r="AC158" s="8" t="s">
        <v>294</v>
      </c>
      <c r="AD158" s="8" t="s">
        <v>134</v>
      </c>
      <c r="AE158" s="8">
        <v>3102638248</v>
      </c>
      <c r="AF158" s="8" t="s">
        <v>276</v>
      </c>
      <c r="AG158" s="8" t="s">
        <v>292</v>
      </c>
      <c r="AH158" s="51">
        <v>33296</v>
      </c>
      <c r="AI158" s="28">
        <v>35</v>
      </c>
      <c r="AJ158" s="51" t="s">
        <v>1853</v>
      </c>
    </row>
    <row r="159" spans="1:36" ht="12.65" customHeight="1" x14ac:dyDescent="0.35">
      <c r="A159" s="8" t="s">
        <v>139</v>
      </c>
      <c r="B159" s="8" t="s">
        <v>136</v>
      </c>
      <c r="C159" s="8" t="s">
        <v>418</v>
      </c>
      <c r="D159" s="34" t="s">
        <v>1817</v>
      </c>
      <c r="E159" s="14" t="s">
        <v>1820</v>
      </c>
      <c r="F159" s="14" t="s">
        <v>57</v>
      </c>
      <c r="G159" s="14" t="s">
        <v>1</v>
      </c>
      <c r="H159" s="14" t="s">
        <v>9</v>
      </c>
      <c r="I159" s="34" t="s">
        <v>501</v>
      </c>
      <c r="J159" s="8" t="s">
        <v>502</v>
      </c>
      <c r="K159" s="69" t="s">
        <v>503</v>
      </c>
      <c r="L159" s="8" t="s">
        <v>299</v>
      </c>
      <c r="M159" s="8" t="s">
        <v>299</v>
      </c>
      <c r="N159" s="8" t="s">
        <v>306</v>
      </c>
      <c r="O159" s="8" t="s">
        <v>149</v>
      </c>
      <c r="P159" s="8" t="s">
        <v>286</v>
      </c>
      <c r="Q159" s="8" t="s">
        <v>865</v>
      </c>
      <c r="R159" s="8" t="s">
        <v>1628</v>
      </c>
      <c r="S159" s="8" t="s">
        <v>247</v>
      </c>
      <c r="T159" s="8" t="s">
        <v>157</v>
      </c>
      <c r="U159" s="8" t="s">
        <v>194</v>
      </c>
      <c r="V159" s="8">
        <v>1</v>
      </c>
      <c r="W159" s="18">
        <v>1</v>
      </c>
      <c r="X159" s="51">
        <v>46235</v>
      </c>
      <c r="Y159" s="51">
        <v>46235</v>
      </c>
      <c r="Z159" s="28">
        <v>2</v>
      </c>
      <c r="AA159" s="16" t="s">
        <v>1698</v>
      </c>
      <c r="AB159" s="8" t="s">
        <v>291</v>
      </c>
      <c r="AC159" s="8" t="s">
        <v>291</v>
      </c>
      <c r="AD159" s="8" t="s">
        <v>137</v>
      </c>
      <c r="AE159" s="8" t="s">
        <v>153</v>
      </c>
      <c r="AF159" s="8" t="s">
        <v>153</v>
      </c>
      <c r="AG159" s="8" t="s">
        <v>292</v>
      </c>
      <c r="AH159" s="51">
        <v>39177</v>
      </c>
      <c r="AI159" s="28">
        <v>19</v>
      </c>
      <c r="AJ159" s="51" t="s">
        <v>1853</v>
      </c>
    </row>
    <row r="160" spans="1:36" ht="12.65" customHeight="1" x14ac:dyDescent="0.35">
      <c r="A160" s="8" t="s">
        <v>139</v>
      </c>
      <c r="B160" s="8" t="s">
        <v>136</v>
      </c>
      <c r="C160" s="8" t="s">
        <v>135</v>
      </c>
      <c r="D160" s="34" t="s">
        <v>884</v>
      </c>
      <c r="E160" s="14" t="s">
        <v>885</v>
      </c>
      <c r="F160" s="14" t="s">
        <v>57</v>
      </c>
      <c r="G160" s="14" t="s">
        <v>1</v>
      </c>
      <c r="H160" s="14" t="s">
        <v>9</v>
      </c>
      <c r="I160" s="34" t="s">
        <v>354</v>
      </c>
      <c r="J160" s="8" t="s">
        <v>111</v>
      </c>
      <c r="K160" s="69" t="s">
        <v>355</v>
      </c>
      <c r="L160" s="8" t="s">
        <v>75</v>
      </c>
      <c r="M160" s="8" t="s">
        <v>107</v>
      </c>
      <c r="N160" s="8" t="s">
        <v>306</v>
      </c>
      <c r="O160" s="8" t="s">
        <v>11</v>
      </c>
      <c r="P160" s="8" t="s">
        <v>274</v>
      </c>
      <c r="Q160" s="8" t="s">
        <v>275</v>
      </c>
      <c r="R160" s="8" t="s">
        <v>1628</v>
      </c>
      <c r="S160" s="8" t="s">
        <v>247</v>
      </c>
      <c r="T160" s="8" t="s">
        <v>172</v>
      </c>
      <c r="U160" s="8" t="s">
        <v>189</v>
      </c>
      <c r="V160" s="8">
        <v>1</v>
      </c>
      <c r="W160" s="18">
        <v>1</v>
      </c>
      <c r="X160" s="51">
        <v>45897</v>
      </c>
      <c r="Y160" s="51">
        <v>45897</v>
      </c>
      <c r="Z160" s="28">
        <v>13</v>
      </c>
      <c r="AA160" s="16" t="s">
        <v>1700</v>
      </c>
      <c r="AB160" s="8" t="s">
        <v>395</v>
      </c>
      <c r="AC160" s="8" t="s">
        <v>294</v>
      </c>
      <c r="AD160" s="8" t="s">
        <v>137</v>
      </c>
      <c r="AE160" s="8" t="s">
        <v>153</v>
      </c>
      <c r="AF160" s="8" t="s">
        <v>153</v>
      </c>
      <c r="AG160" s="8" t="s">
        <v>292</v>
      </c>
      <c r="AH160" s="51">
        <v>36409</v>
      </c>
      <c r="AI160" s="28">
        <v>27</v>
      </c>
      <c r="AJ160" s="51" t="s">
        <v>1853</v>
      </c>
    </row>
    <row r="161" spans="1:36" ht="12.65" customHeight="1" x14ac:dyDescent="0.35">
      <c r="A161" s="8" t="s">
        <v>139</v>
      </c>
      <c r="B161" s="8" t="s">
        <v>136</v>
      </c>
      <c r="C161" s="8" t="s">
        <v>135</v>
      </c>
      <c r="D161" s="34" t="s">
        <v>1098</v>
      </c>
      <c r="E161" s="14" t="s">
        <v>1099</v>
      </c>
      <c r="F161" s="14" t="s">
        <v>57</v>
      </c>
      <c r="G161" s="14" t="s">
        <v>1</v>
      </c>
      <c r="H161" s="14" t="s">
        <v>9</v>
      </c>
      <c r="I161" s="34" t="s">
        <v>720</v>
      </c>
      <c r="J161" s="8" t="s">
        <v>84</v>
      </c>
      <c r="K161" s="69" t="s">
        <v>721</v>
      </c>
      <c r="L161" s="8" t="s">
        <v>75</v>
      </c>
      <c r="M161" s="8" t="s">
        <v>76</v>
      </c>
      <c r="N161" s="8" t="s">
        <v>306</v>
      </c>
      <c r="O161" s="8" t="s">
        <v>722</v>
      </c>
      <c r="P161" s="8" t="s">
        <v>285</v>
      </c>
      <c r="Q161" s="8" t="s">
        <v>285</v>
      </c>
      <c r="R161" s="8" t="s">
        <v>225</v>
      </c>
      <c r="S161" s="8" t="s">
        <v>237</v>
      </c>
      <c r="T161" s="8" t="s">
        <v>175</v>
      </c>
      <c r="U161" s="8" t="s">
        <v>189</v>
      </c>
      <c r="V161" s="8">
        <v>1</v>
      </c>
      <c r="W161" s="18">
        <v>1</v>
      </c>
      <c r="X161" s="51">
        <v>45665</v>
      </c>
      <c r="Y161" s="51">
        <v>45665</v>
      </c>
      <c r="Z161" s="28">
        <v>21</v>
      </c>
      <c r="AA161" s="16" t="s">
        <v>1700</v>
      </c>
      <c r="AB161" s="8" t="s">
        <v>293</v>
      </c>
      <c r="AC161" s="8" t="s">
        <v>294</v>
      </c>
      <c r="AD161" s="8" t="s">
        <v>134</v>
      </c>
      <c r="AE161" s="8">
        <v>3102683406</v>
      </c>
      <c r="AF161" s="8" t="s">
        <v>276</v>
      </c>
      <c r="AG161" s="8" t="s">
        <v>292</v>
      </c>
      <c r="AH161" s="51">
        <v>37836</v>
      </c>
      <c r="AI161" s="28">
        <v>23</v>
      </c>
      <c r="AJ161" s="51" t="s">
        <v>1853</v>
      </c>
    </row>
    <row r="162" spans="1:36" ht="12.65" customHeight="1" x14ac:dyDescent="0.35">
      <c r="A162" s="8" t="s">
        <v>139</v>
      </c>
      <c r="B162" s="8" t="s">
        <v>136</v>
      </c>
      <c r="C162" s="8" t="s">
        <v>135</v>
      </c>
      <c r="D162" s="35" t="s">
        <v>1532</v>
      </c>
      <c r="E162" s="14" t="s">
        <v>1533</v>
      </c>
      <c r="F162" s="14" t="s">
        <v>57</v>
      </c>
      <c r="G162" s="14" t="s">
        <v>1</v>
      </c>
      <c r="H162" s="14" t="s">
        <v>9</v>
      </c>
      <c r="I162" s="34" t="s">
        <v>383</v>
      </c>
      <c r="J162" s="8" t="s">
        <v>41</v>
      </c>
      <c r="K162" s="69" t="s">
        <v>384</v>
      </c>
      <c r="L162" s="8" t="s">
        <v>75</v>
      </c>
      <c r="M162" s="8" t="s">
        <v>76</v>
      </c>
      <c r="N162" s="8" t="s">
        <v>306</v>
      </c>
      <c r="O162" s="8" t="s">
        <v>36</v>
      </c>
      <c r="P162" s="8" t="s">
        <v>282</v>
      </c>
      <c r="Q162" s="8" t="s">
        <v>543</v>
      </c>
      <c r="R162" s="8" t="s">
        <v>222</v>
      </c>
      <c r="S162" s="8" t="s">
        <v>237</v>
      </c>
      <c r="T162" s="8" t="s">
        <v>199</v>
      </c>
      <c r="U162" s="8" t="s">
        <v>189</v>
      </c>
      <c r="V162" s="8">
        <v>1</v>
      </c>
      <c r="W162" s="18">
        <v>1</v>
      </c>
      <c r="X162" s="51">
        <v>45659</v>
      </c>
      <c r="Y162" s="51">
        <v>45488</v>
      </c>
      <c r="Z162" s="28">
        <v>27</v>
      </c>
      <c r="AA162" s="16" t="s">
        <v>1701</v>
      </c>
      <c r="AB162" s="8" t="s">
        <v>294</v>
      </c>
      <c r="AC162" s="8" t="s">
        <v>294</v>
      </c>
      <c r="AD162" s="51" t="s">
        <v>134</v>
      </c>
      <c r="AE162" s="19">
        <v>3102620954</v>
      </c>
      <c r="AF162" s="19" t="s">
        <v>276</v>
      </c>
      <c r="AG162" s="8" t="s">
        <v>292</v>
      </c>
      <c r="AH162" s="51">
        <v>37535</v>
      </c>
      <c r="AI162" s="28">
        <v>24</v>
      </c>
      <c r="AJ162" s="19" t="s">
        <v>1853</v>
      </c>
    </row>
    <row r="163" spans="1:36" ht="12.65" customHeight="1" x14ac:dyDescent="0.35">
      <c r="A163" s="8" t="s">
        <v>139</v>
      </c>
      <c r="B163" s="8" t="s">
        <v>136</v>
      </c>
      <c r="C163" s="8" t="s">
        <v>135</v>
      </c>
      <c r="D163" s="33" t="s">
        <v>1102</v>
      </c>
      <c r="E163" s="14" t="s">
        <v>1103</v>
      </c>
      <c r="F163" s="14" t="s">
        <v>57</v>
      </c>
      <c r="G163" s="14" t="s">
        <v>1</v>
      </c>
      <c r="H163" s="14" t="s">
        <v>9</v>
      </c>
      <c r="I163" s="34" t="s">
        <v>324</v>
      </c>
      <c r="J163" s="8" t="s">
        <v>94</v>
      </c>
      <c r="K163" s="69" t="s">
        <v>325</v>
      </c>
      <c r="L163" s="8" t="s">
        <v>75</v>
      </c>
      <c r="M163" s="8" t="s">
        <v>75</v>
      </c>
      <c r="N163" s="8" t="s">
        <v>306</v>
      </c>
      <c r="O163" s="8" t="s">
        <v>146</v>
      </c>
      <c r="P163" s="8" t="s">
        <v>283</v>
      </c>
      <c r="Q163" s="8" t="s">
        <v>326</v>
      </c>
      <c r="R163" s="8" t="s">
        <v>234</v>
      </c>
      <c r="S163" s="8" t="s">
        <v>241</v>
      </c>
      <c r="T163" s="8" t="s">
        <v>169</v>
      </c>
      <c r="U163" s="8" t="s">
        <v>189</v>
      </c>
      <c r="V163" s="8">
        <v>1</v>
      </c>
      <c r="W163" s="18">
        <v>1</v>
      </c>
      <c r="X163" s="51">
        <v>45940</v>
      </c>
      <c r="Y163" s="51">
        <v>45940</v>
      </c>
      <c r="Z163" s="28">
        <v>12</v>
      </c>
      <c r="AA163" s="16" t="s">
        <v>1700</v>
      </c>
      <c r="AB163" s="8" t="s">
        <v>291</v>
      </c>
      <c r="AC163" s="8" t="s">
        <v>291</v>
      </c>
      <c r="AD163" s="19" t="s">
        <v>137</v>
      </c>
      <c r="AE163" s="19">
        <v>3102630780</v>
      </c>
      <c r="AF163" s="8" t="s">
        <v>153</v>
      </c>
      <c r="AG163" s="8" t="s">
        <v>292</v>
      </c>
      <c r="AH163" s="51">
        <v>32516</v>
      </c>
      <c r="AI163" s="28">
        <v>37</v>
      </c>
      <c r="AJ163" s="51" t="s">
        <v>1853</v>
      </c>
    </row>
    <row r="164" spans="1:36" ht="12.65" customHeight="1" x14ac:dyDescent="0.35">
      <c r="A164" s="8" t="s">
        <v>139</v>
      </c>
      <c r="B164" s="8" t="s">
        <v>136</v>
      </c>
      <c r="C164" s="8" t="s">
        <v>135</v>
      </c>
      <c r="D164" s="34" t="s">
        <v>1104</v>
      </c>
      <c r="E164" s="14" t="s">
        <v>1105</v>
      </c>
      <c r="F164" s="14" t="s">
        <v>57</v>
      </c>
      <c r="G164" s="14" t="s">
        <v>1</v>
      </c>
      <c r="H164" s="14" t="s">
        <v>9</v>
      </c>
      <c r="I164" s="34" t="s">
        <v>506</v>
      </c>
      <c r="J164" s="8" t="s">
        <v>1106</v>
      </c>
      <c r="K164" s="69" t="s">
        <v>507</v>
      </c>
      <c r="L164" s="8" t="s">
        <v>410</v>
      </c>
      <c r="M164" s="8" t="s">
        <v>410</v>
      </c>
      <c r="N164" s="8" t="s">
        <v>306</v>
      </c>
      <c r="O164" s="8" t="s">
        <v>508</v>
      </c>
      <c r="P164" s="8" t="s">
        <v>509</v>
      </c>
      <c r="Q164" s="8" t="s">
        <v>543</v>
      </c>
      <c r="R164" s="8" t="s">
        <v>222</v>
      </c>
      <c r="S164" s="8" t="s">
        <v>237</v>
      </c>
      <c r="T164" s="8" t="s">
        <v>199</v>
      </c>
      <c r="U164" s="8" t="s">
        <v>54</v>
      </c>
      <c r="V164" s="8">
        <v>1</v>
      </c>
      <c r="W164" s="18">
        <v>1</v>
      </c>
      <c r="X164" s="51">
        <v>46156</v>
      </c>
      <c r="Y164" s="51">
        <v>46156</v>
      </c>
      <c r="Z164" s="28">
        <v>5</v>
      </c>
      <c r="AA164" s="16" t="s">
        <v>1699</v>
      </c>
      <c r="AB164" s="8" t="s">
        <v>291</v>
      </c>
      <c r="AC164" s="8" t="s">
        <v>395</v>
      </c>
      <c r="AD164" s="8" t="s">
        <v>137</v>
      </c>
      <c r="AE164" s="8" t="s">
        <v>153</v>
      </c>
      <c r="AF164" s="8" t="s">
        <v>153</v>
      </c>
      <c r="AG164" s="8" t="s">
        <v>292</v>
      </c>
      <c r="AH164" s="51">
        <v>32433</v>
      </c>
      <c r="AI164" s="28">
        <v>37</v>
      </c>
      <c r="AJ164" s="51" t="s">
        <v>1853</v>
      </c>
    </row>
    <row r="165" spans="1:36" ht="12.65" customHeight="1" x14ac:dyDescent="0.35">
      <c r="A165" s="8" t="s">
        <v>139</v>
      </c>
      <c r="B165" s="8" t="s">
        <v>136</v>
      </c>
      <c r="C165" s="8" t="s">
        <v>135</v>
      </c>
      <c r="D165" s="33" t="s">
        <v>1397</v>
      </c>
      <c r="E165" s="14" t="s">
        <v>1398</v>
      </c>
      <c r="F165" s="14" t="s">
        <v>57</v>
      </c>
      <c r="G165" s="14" t="s">
        <v>1</v>
      </c>
      <c r="H165" s="14" t="s">
        <v>9</v>
      </c>
      <c r="I165" s="34" t="s">
        <v>366</v>
      </c>
      <c r="J165" s="8" t="s">
        <v>105</v>
      </c>
      <c r="K165" s="69" t="s">
        <v>367</v>
      </c>
      <c r="L165" s="8" t="s">
        <v>75</v>
      </c>
      <c r="M165" s="8" t="s">
        <v>75</v>
      </c>
      <c r="N165" s="8" t="s">
        <v>306</v>
      </c>
      <c r="O165" s="8" t="s">
        <v>11</v>
      </c>
      <c r="P165" s="8" t="s">
        <v>274</v>
      </c>
      <c r="Q165" s="8" t="s">
        <v>275</v>
      </c>
      <c r="R165" s="8" t="s">
        <v>1628</v>
      </c>
      <c r="S165" s="8" t="s">
        <v>247</v>
      </c>
      <c r="T165" s="8" t="s">
        <v>202</v>
      </c>
      <c r="U165" s="8" t="s">
        <v>189</v>
      </c>
      <c r="V165" s="8">
        <v>1</v>
      </c>
      <c r="W165" s="18">
        <v>1</v>
      </c>
      <c r="X165" s="51">
        <v>45659</v>
      </c>
      <c r="Y165" s="51">
        <v>45484</v>
      </c>
      <c r="Z165" s="28">
        <v>27</v>
      </c>
      <c r="AA165" s="16" t="s">
        <v>1701</v>
      </c>
      <c r="AB165" s="8" t="s">
        <v>291</v>
      </c>
      <c r="AC165" s="8" t="s">
        <v>291</v>
      </c>
      <c r="AD165" s="19" t="s">
        <v>134</v>
      </c>
      <c r="AE165" s="19">
        <v>3102678872</v>
      </c>
      <c r="AF165" s="19" t="s">
        <v>276</v>
      </c>
      <c r="AG165" s="8" t="s">
        <v>292</v>
      </c>
      <c r="AH165" s="51">
        <v>34559</v>
      </c>
      <c r="AI165" s="28">
        <v>32</v>
      </c>
      <c r="AJ165" s="51" t="s">
        <v>1853</v>
      </c>
    </row>
    <row r="166" spans="1:36" ht="12.65" customHeight="1" x14ac:dyDescent="0.35">
      <c r="A166" s="8" t="s">
        <v>139</v>
      </c>
      <c r="B166" s="8" t="s">
        <v>136</v>
      </c>
      <c r="C166" s="8" t="s">
        <v>135</v>
      </c>
      <c r="D166" s="35" t="s">
        <v>1335</v>
      </c>
      <c r="E166" s="14" t="s">
        <v>1336</v>
      </c>
      <c r="F166" s="14" t="s">
        <v>57</v>
      </c>
      <c r="G166" s="14" t="s">
        <v>1</v>
      </c>
      <c r="H166" s="14" t="s">
        <v>9</v>
      </c>
      <c r="I166" s="34" t="s">
        <v>729</v>
      </c>
      <c r="J166" s="8" t="s">
        <v>730</v>
      </c>
      <c r="K166" s="69" t="s">
        <v>731</v>
      </c>
      <c r="L166" s="8" t="s">
        <v>299</v>
      </c>
      <c r="M166" s="8" t="s">
        <v>299</v>
      </c>
      <c r="N166" s="8" t="s">
        <v>306</v>
      </c>
      <c r="O166" s="8" t="s">
        <v>13</v>
      </c>
      <c r="P166" s="8" t="s">
        <v>285</v>
      </c>
      <c r="Q166" s="8" t="s">
        <v>285</v>
      </c>
      <c r="R166" s="8" t="s">
        <v>225</v>
      </c>
      <c r="S166" s="8" t="s">
        <v>237</v>
      </c>
      <c r="T166" s="8" t="s">
        <v>175</v>
      </c>
      <c r="U166" s="8" t="s">
        <v>194</v>
      </c>
      <c r="V166" s="8">
        <v>1</v>
      </c>
      <c r="W166" s="18">
        <v>1</v>
      </c>
      <c r="X166" s="51">
        <v>45792</v>
      </c>
      <c r="Y166" s="51">
        <v>45792</v>
      </c>
      <c r="Z166" s="28">
        <v>17</v>
      </c>
      <c r="AA166" s="16" t="s">
        <v>1700</v>
      </c>
      <c r="AB166" s="8" t="s">
        <v>291</v>
      </c>
      <c r="AC166" s="8" t="s">
        <v>291</v>
      </c>
      <c r="AD166" s="19" t="s">
        <v>137</v>
      </c>
      <c r="AE166" s="19">
        <v>3102673233</v>
      </c>
      <c r="AF166" s="19" t="s">
        <v>276</v>
      </c>
      <c r="AG166" s="8" t="s">
        <v>292</v>
      </c>
      <c r="AH166" s="51">
        <v>33354</v>
      </c>
      <c r="AI166" s="28">
        <v>35</v>
      </c>
      <c r="AJ166" s="51" t="s">
        <v>1852</v>
      </c>
    </row>
    <row r="167" spans="1:36" ht="12.65" customHeight="1" x14ac:dyDescent="0.35">
      <c r="A167" s="8" t="s">
        <v>4</v>
      </c>
      <c r="B167" s="8" t="s">
        <v>136</v>
      </c>
      <c r="C167" s="8" t="s">
        <v>418</v>
      </c>
      <c r="D167" s="35" t="s">
        <v>1744</v>
      </c>
      <c r="E167" s="8" t="s">
        <v>4</v>
      </c>
      <c r="F167" s="14" t="s">
        <v>57</v>
      </c>
      <c r="G167" s="14" t="s">
        <v>1</v>
      </c>
      <c r="H167" s="14" t="s">
        <v>10</v>
      </c>
      <c r="I167" s="34" t="s">
        <v>1909</v>
      </c>
      <c r="J167" s="8" t="s">
        <v>1814</v>
      </c>
      <c r="K167" s="69" t="s">
        <v>1811</v>
      </c>
      <c r="L167" s="8" t="s">
        <v>75</v>
      </c>
      <c r="M167" s="8" t="s">
        <v>107</v>
      </c>
      <c r="N167" s="8" t="s">
        <v>306</v>
      </c>
      <c r="O167" s="8" t="s">
        <v>15</v>
      </c>
      <c r="P167" s="8" t="s">
        <v>288</v>
      </c>
      <c r="Q167" s="8" t="s">
        <v>326</v>
      </c>
      <c r="R167" s="8" t="s">
        <v>234</v>
      </c>
      <c r="S167" s="8" t="s">
        <v>241</v>
      </c>
      <c r="T167" s="8" t="s">
        <v>169</v>
      </c>
      <c r="U167" s="8" t="s">
        <v>189</v>
      </c>
      <c r="V167" s="8">
        <v>1</v>
      </c>
      <c r="W167" s="18">
        <v>1</v>
      </c>
      <c r="X167" s="51" t="s">
        <v>4</v>
      </c>
      <c r="Y167" s="51" t="s">
        <v>14</v>
      </c>
      <c r="Z167" s="28" t="s">
        <v>14</v>
      </c>
      <c r="AA167" s="16" t="s">
        <v>14</v>
      </c>
      <c r="AB167" s="8" t="s">
        <v>395</v>
      </c>
      <c r="AC167" s="8" t="s">
        <v>395</v>
      </c>
      <c r="AD167" s="19" t="s">
        <v>4</v>
      </c>
      <c r="AE167" s="19" t="s">
        <v>4</v>
      </c>
      <c r="AF167" s="19" t="s">
        <v>4</v>
      </c>
      <c r="AG167" s="8" t="s">
        <v>295</v>
      </c>
      <c r="AH167" s="51" t="s">
        <v>4</v>
      </c>
      <c r="AI167" s="28" t="s">
        <v>4</v>
      </c>
      <c r="AJ167" s="51" t="s">
        <v>4</v>
      </c>
    </row>
    <row r="168" spans="1:36" ht="12.65" customHeight="1" x14ac:dyDescent="0.35">
      <c r="A168" s="8" t="s">
        <v>139</v>
      </c>
      <c r="B168" s="8" t="s">
        <v>136</v>
      </c>
      <c r="C168" s="8" t="s">
        <v>135</v>
      </c>
      <c r="D168" s="35" t="s">
        <v>1717</v>
      </c>
      <c r="E168" s="8" t="s">
        <v>1745</v>
      </c>
      <c r="F168" s="14" t="s">
        <v>57</v>
      </c>
      <c r="G168" s="14" t="s">
        <v>1</v>
      </c>
      <c r="H168" s="14" t="s">
        <v>9</v>
      </c>
      <c r="I168" s="34" t="s">
        <v>1909</v>
      </c>
      <c r="J168" s="8" t="s">
        <v>1814</v>
      </c>
      <c r="K168" s="69" t="s">
        <v>1811</v>
      </c>
      <c r="L168" s="8" t="s">
        <v>75</v>
      </c>
      <c r="M168" s="8" t="s">
        <v>107</v>
      </c>
      <c r="N168" s="8" t="s">
        <v>306</v>
      </c>
      <c r="O168" s="8" t="s">
        <v>15</v>
      </c>
      <c r="P168" s="8" t="s">
        <v>288</v>
      </c>
      <c r="Q168" s="8" t="s">
        <v>326</v>
      </c>
      <c r="R168" s="8" t="s">
        <v>234</v>
      </c>
      <c r="S168" s="8" t="s">
        <v>241</v>
      </c>
      <c r="T168" s="8" t="s">
        <v>169</v>
      </c>
      <c r="U168" s="8" t="s">
        <v>189</v>
      </c>
      <c r="V168" s="8">
        <v>1</v>
      </c>
      <c r="W168" s="18">
        <v>1</v>
      </c>
      <c r="X168" s="51">
        <v>46240</v>
      </c>
      <c r="Y168" s="51">
        <v>46240</v>
      </c>
      <c r="Z168" s="28">
        <v>2</v>
      </c>
      <c r="AA168" s="16" t="s">
        <v>1698</v>
      </c>
      <c r="AB168" s="8" t="s">
        <v>395</v>
      </c>
      <c r="AC168" s="8" t="s">
        <v>395</v>
      </c>
      <c r="AD168" s="19" t="s">
        <v>137</v>
      </c>
      <c r="AE168" s="19" t="s">
        <v>153</v>
      </c>
      <c r="AF168" s="19" t="s">
        <v>153</v>
      </c>
      <c r="AG168" s="8" t="s">
        <v>295</v>
      </c>
      <c r="AH168" s="51">
        <v>31952</v>
      </c>
      <c r="AI168" s="28">
        <v>39</v>
      </c>
      <c r="AJ168" s="51" t="s">
        <v>1852</v>
      </c>
    </row>
    <row r="169" spans="1:36" ht="12.65" customHeight="1" x14ac:dyDescent="0.35">
      <c r="A169" s="8" t="s">
        <v>139</v>
      </c>
      <c r="B169" s="8" t="s">
        <v>136</v>
      </c>
      <c r="C169" s="8" t="s">
        <v>135</v>
      </c>
      <c r="D169" s="35" t="s">
        <v>1109</v>
      </c>
      <c r="E169" s="20" t="s">
        <v>1110</v>
      </c>
      <c r="F169" s="14" t="s">
        <v>57</v>
      </c>
      <c r="G169" s="14" t="s">
        <v>1</v>
      </c>
      <c r="H169" s="14" t="s">
        <v>9</v>
      </c>
      <c r="I169" s="34" t="s">
        <v>633</v>
      </c>
      <c r="J169" s="8" t="s">
        <v>634</v>
      </c>
      <c r="K169" s="69" t="s">
        <v>635</v>
      </c>
      <c r="L169" s="8" t="s">
        <v>299</v>
      </c>
      <c r="M169" s="8" t="s">
        <v>299</v>
      </c>
      <c r="N169" s="8" t="s">
        <v>306</v>
      </c>
      <c r="O169" s="8" t="s">
        <v>15</v>
      </c>
      <c r="P169" s="8" t="s">
        <v>288</v>
      </c>
      <c r="Q169" s="8" t="s">
        <v>326</v>
      </c>
      <c r="R169" s="8" t="s">
        <v>234</v>
      </c>
      <c r="S169" s="8" t="s">
        <v>241</v>
      </c>
      <c r="T169" s="8" t="s">
        <v>169</v>
      </c>
      <c r="U169" s="8" t="s">
        <v>194</v>
      </c>
      <c r="V169" s="8">
        <v>1</v>
      </c>
      <c r="W169" s="18">
        <v>1</v>
      </c>
      <c r="X169" s="51">
        <v>45659</v>
      </c>
      <c r="Y169" s="51">
        <v>44714</v>
      </c>
      <c r="Z169" s="28">
        <v>52</v>
      </c>
      <c r="AA169" s="16" t="s">
        <v>1701</v>
      </c>
      <c r="AB169" s="8" t="s">
        <v>294</v>
      </c>
      <c r="AC169" s="8" t="s">
        <v>294</v>
      </c>
      <c r="AD169" s="8" t="s">
        <v>134</v>
      </c>
      <c r="AE169" s="8">
        <v>3102688473</v>
      </c>
      <c r="AF169" s="8" t="s">
        <v>276</v>
      </c>
      <c r="AG169" s="8" t="s">
        <v>292</v>
      </c>
      <c r="AH169" s="51">
        <v>32558</v>
      </c>
      <c r="AI169" s="28">
        <v>37</v>
      </c>
      <c r="AJ169" s="51" t="s">
        <v>1853</v>
      </c>
    </row>
    <row r="170" spans="1:36" ht="12.65" customHeight="1" x14ac:dyDescent="0.35">
      <c r="A170" s="8" t="s">
        <v>139</v>
      </c>
      <c r="B170" s="8" t="s">
        <v>136</v>
      </c>
      <c r="C170" s="8" t="s">
        <v>135</v>
      </c>
      <c r="D170" s="34" t="s">
        <v>1855</v>
      </c>
      <c r="E170" s="14" t="s">
        <v>1854</v>
      </c>
      <c r="F170" s="14" t="s">
        <v>57</v>
      </c>
      <c r="G170" s="14" t="s">
        <v>1</v>
      </c>
      <c r="H170" s="14" t="s">
        <v>9</v>
      </c>
      <c r="I170" s="34" t="s">
        <v>595</v>
      </c>
      <c r="J170" s="8" t="s">
        <v>596</v>
      </c>
      <c r="K170" s="69" t="s">
        <v>597</v>
      </c>
      <c r="L170" s="8" t="s">
        <v>442</v>
      </c>
      <c r="M170" s="8" t="s">
        <v>598</v>
      </c>
      <c r="N170" s="8" t="s">
        <v>393</v>
      </c>
      <c r="O170" s="8" t="s">
        <v>150</v>
      </c>
      <c r="P170" s="8" t="s">
        <v>280</v>
      </c>
      <c r="Q170" s="8" t="s">
        <v>281</v>
      </c>
      <c r="R170" s="8" t="s">
        <v>222</v>
      </c>
      <c r="S170" s="8" t="s">
        <v>237</v>
      </c>
      <c r="T170" s="8" t="s">
        <v>51</v>
      </c>
      <c r="U170" s="8" t="s">
        <v>183</v>
      </c>
      <c r="V170" s="8">
        <v>1</v>
      </c>
      <c r="W170" s="18">
        <v>1</v>
      </c>
      <c r="X170" s="51">
        <v>46253</v>
      </c>
      <c r="Y170" s="51">
        <v>46253</v>
      </c>
      <c r="Z170" s="28">
        <v>1</v>
      </c>
      <c r="AA170" s="16" t="s">
        <v>1698</v>
      </c>
      <c r="AB170" s="8" t="s">
        <v>294</v>
      </c>
      <c r="AC170" s="8" t="s">
        <v>294</v>
      </c>
      <c r="AD170" s="8" t="s">
        <v>137</v>
      </c>
      <c r="AE170" s="8" t="s">
        <v>153</v>
      </c>
      <c r="AF170" s="8" t="s">
        <v>153</v>
      </c>
      <c r="AG170" s="8" t="s">
        <v>292</v>
      </c>
      <c r="AH170" s="51">
        <v>38385</v>
      </c>
      <c r="AI170" s="28">
        <v>21</v>
      </c>
      <c r="AJ170" s="51" t="s">
        <v>1852</v>
      </c>
    </row>
    <row r="171" spans="1:36" ht="12.65" customHeight="1" x14ac:dyDescent="0.35">
      <c r="A171" s="8" t="s">
        <v>139</v>
      </c>
      <c r="B171" s="8" t="s">
        <v>136</v>
      </c>
      <c r="C171" s="8" t="s">
        <v>135</v>
      </c>
      <c r="D171" s="33" t="s">
        <v>1859</v>
      </c>
      <c r="E171" s="14" t="s">
        <v>1858</v>
      </c>
      <c r="F171" s="14" t="s">
        <v>57</v>
      </c>
      <c r="G171" s="14" t="s">
        <v>1</v>
      </c>
      <c r="H171" s="14" t="s">
        <v>9</v>
      </c>
      <c r="I171" s="34" t="s">
        <v>459</v>
      </c>
      <c r="J171" s="8" t="s">
        <v>22</v>
      </c>
      <c r="K171" s="69" t="s">
        <v>460</v>
      </c>
      <c r="L171" s="8" t="s">
        <v>75</v>
      </c>
      <c r="M171" s="8" t="s">
        <v>75</v>
      </c>
      <c r="N171" s="8" t="s">
        <v>306</v>
      </c>
      <c r="O171" s="8" t="s">
        <v>21</v>
      </c>
      <c r="P171" s="8" t="s">
        <v>274</v>
      </c>
      <c r="Q171" s="8" t="s">
        <v>275</v>
      </c>
      <c r="R171" s="8" t="s">
        <v>1628</v>
      </c>
      <c r="S171" s="8" t="s">
        <v>247</v>
      </c>
      <c r="T171" s="8" t="s">
        <v>172</v>
      </c>
      <c r="U171" s="8" t="s">
        <v>189</v>
      </c>
      <c r="V171" s="8">
        <v>1</v>
      </c>
      <c r="W171" s="18">
        <v>1</v>
      </c>
      <c r="X171" s="51">
        <v>46255</v>
      </c>
      <c r="Y171" s="51">
        <v>46255</v>
      </c>
      <c r="Z171" s="28">
        <v>1</v>
      </c>
      <c r="AA171" s="16" t="s">
        <v>1698</v>
      </c>
      <c r="AB171" s="8" t="s">
        <v>294</v>
      </c>
      <c r="AC171" s="8" t="s">
        <v>294</v>
      </c>
      <c r="AD171" s="8" t="s">
        <v>137</v>
      </c>
      <c r="AE171" s="8" t="s">
        <v>153</v>
      </c>
      <c r="AF171" s="8" t="s">
        <v>153</v>
      </c>
      <c r="AG171" s="8" t="s">
        <v>292</v>
      </c>
      <c r="AH171" s="51">
        <v>38935</v>
      </c>
      <c r="AI171" s="28">
        <v>20</v>
      </c>
      <c r="AJ171" s="51" t="s">
        <v>1852</v>
      </c>
    </row>
    <row r="172" spans="1:36" ht="12.65" customHeight="1" x14ac:dyDescent="0.35">
      <c r="A172" s="8" t="s">
        <v>139</v>
      </c>
      <c r="B172" s="8" t="s">
        <v>136</v>
      </c>
      <c r="C172" s="8" t="s">
        <v>418</v>
      </c>
      <c r="D172" s="33" t="s">
        <v>1037</v>
      </c>
      <c r="E172" s="14" t="s">
        <v>1038</v>
      </c>
      <c r="F172" s="14" t="s">
        <v>57</v>
      </c>
      <c r="G172" s="14" t="s">
        <v>1</v>
      </c>
      <c r="H172" s="14" t="s">
        <v>9</v>
      </c>
      <c r="I172" s="34" t="s">
        <v>449</v>
      </c>
      <c r="J172" s="8" t="s">
        <v>97</v>
      </c>
      <c r="K172" s="69" t="s">
        <v>450</v>
      </c>
      <c r="L172" s="8" t="s">
        <v>75</v>
      </c>
      <c r="M172" s="8" t="s">
        <v>75</v>
      </c>
      <c r="N172" s="8" t="s">
        <v>306</v>
      </c>
      <c r="O172" s="8" t="s">
        <v>11</v>
      </c>
      <c r="P172" s="8" t="s">
        <v>274</v>
      </c>
      <c r="Q172" s="8" t="s">
        <v>275</v>
      </c>
      <c r="R172" s="8" t="s">
        <v>1628</v>
      </c>
      <c r="S172" s="8" t="s">
        <v>247</v>
      </c>
      <c r="T172" s="8" t="s">
        <v>172</v>
      </c>
      <c r="U172" s="8" t="s">
        <v>189</v>
      </c>
      <c r="V172" s="8">
        <v>1</v>
      </c>
      <c r="W172" s="18">
        <v>1</v>
      </c>
      <c r="X172" s="51">
        <v>46105</v>
      </c>
      <c r="Y172" s="51">
        <v>46105</v>
      </c>
      <c r="Z172" s="28">
        <v>6</v>
      </c>
      <c r="AA172" s="16" t="s">
        <v>1710</v>
      </c>
      <c r="AB172" s="8" t="s">
        <v>294</v>
      </c>
      <c r="AC172" s="8" t="s">
        <v>294</v>
      </c>
      <c r="AD172" s="51" t="s">
        <v>137</v>
      </c>
      <c r="AE172" s="51" t="s">
        <v>153</v>
      </c>
      <c r="AF172" s="51" t="s">
        <v>153</v>
      </c>
      <c r="AG172" s="8" t="s">
        <v>292</v>
      </c>
      <c r="AH172" s="51">
        <v>38576</v>
      </c>
      <c r="AI172" s="28">
        <v>21</v>
      </c>
      <c r="AJ172" s="51" t="s">
        <v>1853</v>
      </c>
    </row>
    <row r="173" spans="1:36" ht="12.65" customHeight="1" x14ac:dyDescent="0.35">
      <c r="A173" s="8" t="s">
        <v>139</v>
      </c>
      <c r="B173" s="8" t="s">
        <v>136</v>
      </c>
      <c r="C173" s="8" t="s">
        <v>135</v>
      </c>
      <c r="D173" s="33" t="s">
        <v>1113</v>
      </c>
      <c r="E173" s="14" t="s">
        <v>1114</v>
      </c>
      <c r="F173" s="14" t="s">
        <v>57</v>
      </c>
      <c r="G173" s="14" t="s">
        <v>1</v>
      </c>
      <c r="H173" s="14" t="s">
        <v>9</v>
      </c>
      <c r="I173" s="34" t="s">
        <v>680</v>
      </c>
      <c r="J173" s="8" t="s">
        <v>87</v>
      </c>
      <c r="K173" s="69" t="s">
        <v>681</v>
      </c>
      <c r="L173" s="8" t="s">
        <v>75</v>
      </c>
      <c r="M173" s="8" t="s">
        <v>76</v>
      </c>
      <c r="N173" s="8" t="s">
        <v>306</v>
      </c>
      <c r="O173" s="8" t="s">
        <v>20</v>
      </c>
      <c r="P173" s="8" t="s">
        <v>284</v>
      </c>
      <c r="Q173" s="8" t="s">
        <v>865</v>
      </c>
      <c r="R173" s="8" t="s">
        <v>1628</v>
      </c>
      <c r="S173" s="8" t="s">
        <v>247</v>
      </c>
      <c r="T173" s="8" t="s">
        <v>157</v>
      </c>
      <c r="U173" s="8" t="s">
        <v>189</v>
      </c>
      <c r="V173" s="8">
        <v>1</v>
      </c>
      <c r="W173" s="18">
        <v>1</v>
      </c>
      <c r="X173" s="51">
        <v>45659</v>
      </c>
      <c r="Y173" s="51">
        <v>44324</v>
      </c>
      <c r="Z173" s="28">
        <v>65</v>
      </c>
      <c r="AA173" s="16" t="s">
        <v>1701</v>
      </c>
      <c r="AB173" s="8" t="s">
        <v>293</v>
      </c>
      <c r="AC173" s="8" t="s">
        <v>294</v>
      </c>
      <c r="AD173" s="8" t="s">
        <v>134</v>
      </c>
      <c r="AE173" s="8">
        <v>3102680374</v>
      </c>
      <c r="AF173" s="8" t="s">
        <v>276</v>
      </c>
      <c r="AG173" s="8" t="s">
        <v>292</v>
      </c>
      <c r="AH173" s="51">
        <v>33476</v>
      </c>
      <c r="AI173" s="28">
        <v>35</v>
      </c>
      <c r="AJ173" s="51" t="s">
        <v>1853</v>
      </c>
    </row>
    <row r="174" spans="1:36" ht="12.65" customHeight="1" x14ac:dyDescent="0.35">
      <c r="A174" s="8" t="s">
        <v>139</v>
      </c>
      <c r="B174" s="8" t="s">
        <v>136</v>
      </c>
      <c r="C174" s="8" t="s">
        <v>135</v>
      </c>
      <c r="D174" s="34" t="s">
        <v>1115</v>
      </c>
      <c r="E174" s="14" t="s">
        <v>1116</v>
      </c>
      <c r="F174" s="14" t="s">
        <v>57</v>
      </c>
      <c r="G174" s="14" t="s">
        <v>1</v>
      </c>
      <c r="H174" s="14" t="s">
        <v>9</v>
      </c>
      <c r="I174" s="34" t="s">
        <v>1117</v>
      </c>
      <c r="J174" s="8" t="s">
        <v>1118</v>
      </c>
      <c r="K174" s="69" t="s">
        <v>1119</v>
      </c>
      <c r="L174" s="8" t="s">
        <v>442</v>
      </c>
      <c r="M174" s="8" t="s">
        <v>598</v>
      </c>
      <c r="N174" s="8" t="s">
        <v>393</v>
      </c>
      <c r="O174" s="8" t="s">
        <v>1120</v>
      </c>
      <c r="P174" s="8" t="s">
        <v>280</v>
      </c>
      <c r="Q174" s="8" t="s">
        <v>281</v>
      </c>
      <c r="R174" s="8" t="s">
        <v>222</v>
      </c>
      <c r="S174" s="8" t="s">
        <v>237</v>
      </c>
      <c r="T174" s="8" t="s">
        <v>51</v>
      </c>
      <c r="U174" s="8" t="s">
        <v>183</v>
      </c>
      <c r="V174" s="8">
        <v>1</v>
      </c>
      <c r="W174" s="18">
        <v>1</v>
      </c>
      <c r="X174" s="51">
        <v>45659</v>
      </c>
      <c r="Y174" s="51">
        <v>44631</v>
      </c>
      <c r="Z174" s="28">
        <v>55</v>
      </c>
      <c r="AA174" s="16" t="s">
        <v>1701</v>
      </c>
      <c r="AB174" s="8" t="s">
        <v>291</v>
      </c>
      <c r="AC174" s="8" t="s">
        <v>291</v>
      </c>
      <c r="AD174" s="8" t="s">
        <v>134</v>
      </c>
      <c r="AE174" s="8">
        <v>3102640139</v>
      </c>
      <c r="AF174" s="8" t="s">
        <v>276</v>
      </c>
      <c r="AG174" s="8" t="s">
        <v>295</v>
      </c>
      <c r="AH174" s="51">
        <v>34170</v>
      </c>
      <c r="AI174" s="28">
        <v>33</v>
      </c>
      <c r="AJ174" s="51" t="s">
        <v>1853</v>
      </c>
    </row>
    <row r="175" spans="1:36" ht="12.65" customHeight="1" x14ac:dyDescent="0.35">
      <c r="A175" s="8" t="s">
        <v>139</v>
      </c>
      <c r="B175" s="8" t="s">
        <v>136</v>
      </c>
      <c r="C175" s="8" t="s">
        <v>135</v>
      </c>
      <c r="D175" s="33" t="s">
        <v>1124</v>
      </c>
      <c r="E175" s="14" t="s">
        <v>1125</v>
      </c>
      <c r="F175" s="14" t="s">
        <v>57</v>
      </c>
      <c r="G175" s="14" t="s">
        <v>1</v>
      </c>
      <c r="H175" s="14" t="s">
        <v>9</v>
      </c>
      <c r="I175" s="34" t="s">
        <v>628</v>
      </c>
      <c r="J175" s="8" t="s">
        <v>1126</v>
      </c>
      <c r="K175" s="69" t="s">
        <v>629</v>
      </c>
      <c r="L175" s="8" t="s">
        <v>299</v>
      </c>
      <c r="M175" s="8" t="s">
        <v>299</v>
      </c>
      <c r="N175" s="8" t="s">
        <v>306</v>
      </c>
      <c r="O175" s="8" t="s">
        <v>13</v>
      </c>
      <c r="P175" s="8" t="s">
        <v>285</v>
      </c>
      <c r="Q175" s="8" t="s">
        <v>285</v>
      </c>
      <c r="R175" s="8" t="s">
        <v>225</v>
      </c>
      <c r="S175" s="8" t="s">
        <v>237</v>
      </c>
      <c r="T175" s="8" t="s">
        <v>175</v>
      </c>
      <c r="U175" s="8" t="s">
        <v>194</v>
      </c>
      <c r="V175" s="8">
        <v>1</v>
      </c>
      <c r="W175" s="18">
        <v>1</v>
      </c>
      <c r="X175" s="51">
        <v>45937</v>
      </c>
      <c r="Y175" s="51">
        <v>45937</v>
      </c>
      <c r="Z175" s="28">
        <v>12</v>
      </c>
      <c r="AA175" s="16" t="s">
        <v>1700</v>
      </c>
      <c r="AB175" s="8" t="s">
        <v>291</v>
      </c>
      <c r="AC175" s="8" t="s">
        <v>291</v>
      </c>
      <c r="AD175" s="19" t="s">
        <v>137</v>
      </c>
      <c r="AE175" s="19">
        <v>3102614853</v>
      </c>
      <c r="AF175" s="19" t="s">
        <v>276</v>
      </c>
      <c r="AG175" s="8" t="s">
        <v>292</v>
      </c>
      <c r="AH175" s="51">
        <v>26300</v>
      </c>
      <c r="AI175" s="28">
        <v>54</v>
      </c>
      <c r="AJ175" s="51" t="s">
        <v>1853</v>
      </c>
    </row>
    <row r="176" spans="1:36" ht="12.65" customHeight="1" x14ac:dyDescent="0.35">
      <c r="A176" s="8" t="s">
        <v>139</v>
      </c>
      <c r="B176" s="8" t="s">
        <v>136</v>
      </c>
      <c r="C176" s="8" t="s">
        <v>135</v>
      </c>
      <c r="D176" s="35" t="s">
        <v>1686</v>
      </c>
      <c r="E176" s="14" t="s">
        <v>1127</v>
      </c>
      <c r="F176" s="14" t="s">
        <v>57</v>
      </c>
      <c r="G176" s="14" t="s">
        <v>1</v>
      </c>
      <c r="H176" s="14" t="s">
        <v>9</v>
      </c>
      <c r="I176" s="34" t="s">
        <v>522</v>
      </c>
      <c r="J176" s="8" t="s">
        <v>1128</v>
      </c>
      <c r="K176" s="69" t="s">
        <v>523</v>
      </c>
      <c r="L176" s="8" t="s">
        <v>410</v>
      </c>
      <c r="M176" s="8" t="s">
        <v>410</v>
      </c>
      <c r="N176" s="8" t="s">
        <v>306</v>
      </c>
      <c r="O176" s="8" t="s">
        <v>13</v>
      </c>
      <c r="P176" s="8" t="s">
        <v>285</v>
      </c>
      <c r="Q176" s="8" t="s">
        <v>285</v>
      </c>
      <c r="R176" s="8" t="s">
        <v>225</v>
      </c>
      <c r="S176" s="8" t="s">
        <v>237</v>
      </c>
      <c r="T176" s="8" t="s">
        <v>216</v>
      </c>
      <c r="U176" s="8" t="s">
        <v>54</v>
      </c>
      <c r="V176" s="8">
        <v>1</v>
      </c>
      <c r="W176" s="18">
        <v>1</v>
      </c>
      <c r="X176" s="51">
        <v>46093</v>
      </c>
      <c r="Y176" s="51">
        <v>46093</v>
      </c>
      <c r="Z176" s="28">
        <v>7</v>
      </c>
      <c r="AA176" s="16" t="s">
        <v>1710</v>
      </c>
      <c r="AB176" s="8" t="s">
        <v>291</v>
      </c>
      <c r="AC176" s="8" t="s">
        <v>291</v>
      </c>
      <c r="AD176" s="8" t="s">
        <v>137</v>
      </c>
      <c r="AE176" s="8" t="s">
        <v>153</v>
      </c>
      <c r="AF176" s="8" t="s">
        <v>153</v>
      </c>
      <c r="AG176" s="8" t="s">
        <v>292</v>
      </c>
      <c r="AH176" s="51">
        <v>38219</v>
      </c>
      <c r="AI176" s="28">
        <v>22</v>
      </c>
      <c r="AJ176" s="51" t="s">
        <v>1853</v>
      </c>
    </row>
    <row r="177" spans="1:36" ht="12.65" customHeight="1" x14ac:dyDescent="0.35">
      <c r="A177" s="8" t="s">
        <v>139</v>
      </c>
      <c r="B177" s="8" t="s">
        <v>136</v>
      </c>
      <c r="C177" s="8" t="s">
        <v>135</v>
      </c>
      <c r="D177" s="35" t="s">
        <v>898</v>
      </c>
      <c r="E177" s="14" t="s">
        <v>899</v>
      </c>
      <c r="F177" s="14" t="s">
        <v>57</v>
      </c>
      <c r="G177" s="14" t="s">
        <v>1</v>
      </c>
      <c r="H177" s="14" t="s">
        <v>9</v>
      </c>
      <c r="I177" s="34" t="s">
        <v>310</v>
      </c>
      <c r="J177" s="8" t="s">
        <v>119</v>
      </c>
      <c r="K177" s="69" t="s">
        <v>311</v>
      </c>
      <c r="L177" s="8" t="s">
        <v>75</v>
      </c>
      <c r="M177" s="8" t="s">
        <v>107</v>
      </c>
      <c r="N177" s="8" t="s">
        <v>306</v>
      </c>
      <c r="O177" s="8" t="s">
        <v>11</v>
      </c>
      <c r="P177" s="8" t="s">
        <v>274</v>
      </c>
      <c r="Q177" s="8" t="s">
        <v>275</v>
      </c>
      <c r="R177" s="8" t="s">
        <v>1628</v>
      </c>
      <c r="S177" s="8" t="s">
        <v>247</v>
      </c>
      <c r="T177" s="8" t="s">
        <v>202</v>
      </c>
      <c r="U177" s="8" t="s">
        <v>189</v>
      </c>
      <c r="V177" s="8">
        <v>1</v>
      </c>
      <c r="W177" s="18">
        <v>1</v>
      </c>
      <c r="X177" s="51">
        <v>46161</v>
      </c>
      <c r="Y177" s="51">
        <v>46161</v>
      </c>
      <c r="Z177" s="28">
        <v>4</v>
      </c>
      <c r="AA177" s="16" t="s">
        <v>1699</v>
      </c>
      <c r="AB177" s="8" t="s">
        <v>293</v>
      </c>
      <c r="AC177" s="8" t="s">
        <v>291</v>
      </c>
      <c r="AD177" s="8" t="s">
        <v>137</v>
      </c>
      <c r="AE177" s="8" t="s">
        <v>153</v>
      </c>
      <c r="AF177" s="8" t="s">
        <v>153</v>
      </c>
      <c r="AG177" s="8" t="s">
        <v>292</v>
      </c>
      <c r="AH177" s="51">
        <v>31667</v>
      </c>
      <c r="AI177" s="28">
        <v>40</v>
      </c>
      <c r="AJ177" s="51" t="s">
        <v>1853</v>
      </c>
    </row>
    <row r="178" spans="1:36" ht="12.65" customHeight="1" x14ac:dyDescent="0.35">
      <c r="A178" s="8" t="s">
        <v>139</v>
      </c>
      <c r="B178" s="8" t="s">
        <v>136</v>
      </c>
      <c r="C178" s="8" t="s">
        <v>135</v>
      </c>
      <c r="D178" s="34" t="s">
        <v>1131</v>
      </c>
      <c r="E178" s="14" t="s">
        <v>1132</v>
      </c>
      <c r="F178" s="14" t="s">
        <v>57</v>
      </c>
      <c r="G178" s="14" t="s">
        <v>1</v>
      </c>
      <c r="H178" s="14" t="s">
        <v>9</v>
      </c>
      <c r="I178" s="34" t="s">
        <v>1133</v>
      </c>
      <c r="J178" s="8" t="s">
        <v>1134</v>
      </c>
      <c r="K178" s="69" t="s">
        <v>1135</v>
      </c>
      <c r="L178" s="8" t="s">
        <v>410</v>
      </c>
      <c r="M178" s="8" t="s">
        <v>410</v>
      </c>
      <c r="N178" s="8" t="s">
        <v>306</v>
      </c>
      <c r="O178" s="8" t="s">
        <v>1136</v>
      </c>
      <c r="P178" s="8" t="s">
        <v>282</v>
      </c>
      <c r="Q178" s="8" t="s">
        <v>543</v>
      </c>
      <c r="R178" s="8" t="s">
        <v>222</v>
      </c>
      <c r="S178" s="8" t="s">
        <v>237</v>
      </c>
      <c r="T178" s="8" t="s">
        <v>199</v>
      </c>
      <c r="U178" s="14" t="s">
        <v>54</v>
      </c>
      <c r="V178" s="8">
        <v>1</v>
      </c>
      <c r="W178" s="18">
        <v>1</v>
      </c>
      <c r="X178" s="51">
        <v>45897</v>
      </c>
      <c r="Y178" s="51">
        <v>45897</v>
      </c>
      <c r="Z178" s="28">
        <v>13</v>
      </c>
      <c r="AA178" s="16" t="s">
        <v>1700</v>
      </c>
      <c r="AB178" s="8" t="s">
        <v>291</v>
      </c>
      <c r="AC178" s="8" t="s">
        <v>293</v>
      </c>
      <c r="AD178" s="19" t="s">
        <v>137</v>
      </c>
      <c r="AE178" s="19">
        <v>3102663046</v>
      </c>
      <c r="AF178" s="19" t="s">
        <v>276</v>
      </c>
      <c r="AG178" s="8" t="s">
        <v>295</v>
      </c>
      <c r="AH178" s="51">
        <v>29756</v>
      </c>
      <c r="AI178" s="28">
        <v>45</v>
      </c>
      <c r="AJ178" s="51" t="s">
        <v>1853</v>
      </c>
    </row>
    <row r="179" spans="1:36" ht="12.65" customHeight="1" x14ac:dyDescent="0.35">
      <c r="A179" s="8" t="s">
        <v>139</v>
      </c>
      <c r="B179" s="8" t="s">
        <v>136</v>
      </c>
      <c r="C179" s="8" t="s">
        <v>135</v>
      </c>
      <c r="D179" s="34" t="s">
        <v>1536</v>
      </c>
      <c r="E179" s="14" t="s">
        <v>1537</v>
      </c>
      <c r="F179" s="14" t="s">
        <v>57</v>
      </c>
      <c r="G179" s="14" t="s">
        <v>1</v>
      </c>
      <c r="H179" s="14" t="s">
        <v>9</v>
      </c>
      <c r="I179" s="34" t="s">
        <v>1137</v>
      </c>
      <c r="J179" s="8" t="s">
        <v>88</v>
      </c>
      <c r="K179" s="69" t="s">
        <v>1138</v>
      </c>
      <c r="L179" s="8" t="s">
        <v>75</v>
      </c>
      <c r="M179" s="8" t="s">
        <v>76</v>
      </c>
      <c r="N179" s="8" t="s">
        <v>306</v>
      </c>
      <c r="O179" s="8" t="s">
        <v>1139</v>
      </c>
      <c r="P179" s="8" t="s">
        <v>289</v>
      </c>
      <c r="Q179" s="8" t="s">
        <v>331</v>
      </c>
      <c r="R179" s="8" t="s">
        <v>222</v>
      </c>
      <c r="S179" s="8" t="s">
        <v>237</v>
      </c>
      <c r="T179" s="8" t="s">
        <v>56</v>
      </c>
      <c r="U179" s="8" t="s">
        <v>189</v>
      </c>
      <c r="V179" s="8">
        <v>1</v>
      </c>
      <c r="W179" s="18">
        <v>1</v>
      </c>
      <c r="X179" s="51">
        <v>46300</v>
      </c>
      <c r="Y179" s="51">
        <v>46300</v>
      </c>
      <c r="Z179" s="28">
        <v>0</v>
      </c>
      <c r="AA179" s="16" t="s">
        <v>1698</v>
      </c>
      <c r="AB179" s="8" t="s">
        <v>293</v>
      </c>
      <c r="AC179" s="8" t="s">
        <v>395</v>
      </c>
      <c r="AD179" s="8" t="s">
        <v>137</v>
      </c>
      <c r="AE179" s="8" t="s">
        <v>153</v>
      </c>
      <c r="AF179" s="8" t="s">
        <v>153</v>
      </c>
      <c r="AG179" s="8" t="s">
        <v>292</v>
      </c>
      <c r="AH179" s="51" t="s">
        <v>4</v>
      </c>
      <c r="AI179" s="28" t="s">
        <v>4</v>
      </c>
      <c r="AJ179" s="28" t="s">
        <v>4</v>
      </c>
    </row>
    <row r="180" spans="1:36" ht="12.65" customHeight="1" x14ac:dyDescent="0.35">
      <c r="A180" s="8" t="s">
        <v>139</v>
      </c>
      <c r="B180" s="8" t="s">
        <v>136</v>
      </c>
      <c r="C180" s="8" t="s">
        <v>418</v>
      </c>
      <c r="D180" s="34" t="s">
        <v>1818</v>
      </c>
      <c r="E180" s="33" t="s">
        <v>1821</v>
      </c>
      <c r="F180" s="14" t="s">
        <v>57</v>
      </c>
      <c r="G180" s="14" t="s">
        <v>1</v>
      </c>
      <c r="H180" s="14" t="s">
        <v>9</v>
      </c>
      <c r="I180" s="34" t="s">
        <v>815</v>
      </c>
      <c r="J180" s="8" t="s">
        <v>80</v>
      </c>
      <c r="K180" s="69" t="s">
        <v>816</v>
      </c>
      <c r="L180" s="8" t="s">
        <v>75</v>
      </c>
      <c r="M180" s="8" t="s">
        <v>76</v>
      </c>
      <c r="N180" s="8" t="s">
        <v>306</v>
      </c>
      <c r="O180" s="8" t="s">
        <v>148</v>
      </c>
      <c r="P180" s="8" t="s">
        <v>279</v>
      </c>
      <c r="Q180" s="8" t="s">
        <v>279</v>
      </c>
      <c r="R180" s="8" t="s">
        <v>225</v>
      </c>
      <c r="S180" s="8" t="s">
        <v>241</v>
      </c>
      <c r="T180" s="8" t="s">
        <v>166</v>
      </c>
      <c r="U180" s="8" t="s">
        <v>189</v>
      </c>
      <c r="V180" s="8">
        <v>1</v>
      </c>
      <c r="W180" s="18">
        <v>1</v>
      </c>
      <c r="X180" s="51">
        <v>46235</v>
      </c>
      <c r="Y180" s="51">
        <v>46235</v>
      </c>
      <c r="Z180" s="28">
        <v>2</v>
      </c>
      <c r="AA180" s="16" t="s">
        <v>1698</v>
      </c>
      <c r="AB180" s="8" t="s">
        <v>395</v>
      </c>
      <c r="AC180" s="8" t="s">
        <v>395</v>
      </c>
      <c r="AD180" s="8" t="s">
        <v>137</v>
      </c>
      <c r="AE180" s="8" t="s">
        <v>153</v>
      </c>
      <c r="AF180" s="8" t="s">
        <v>153</v>
      </c>
      <c r="AG180" s="8" t="s">
        <v>292</v>
      </c>
      <c r="AH180" s="51">
        <v>37848</v>
      </c>
      <c r="AI180" s="28">
        <v>23</v>
      </c>
      <c r="AJ180" s="51" t="s">
        <v>1852</v>
      </c>
    </row>
    <row r="181" spans="1:36" ht="12.65" customHeight="1" x14ac:dyDescent="0.35">
      <c r="A181" s="8" t="s">
        <v>139</v>
      </c>
      <c r="B181" s="8" t="s">
        <v>136</v>
      </c>
      <c r="C181" s="8" t="s">
        <v>135</v>
      </c>
      <c r="D181" s="33" t="s">
        <v>1142</v>
      </c>
      <c r="E181" s="14" t="s">
        <v>1143</v>
      </c>
      <c r="F181" s="14" t="s">
        <v>57</v>
      </c>
      <c r="G181" s="14" t="s">
        <v>1</v>
      </c>
      <c r="H181" s="14" t="s">
        <v>9</v>
      </c>
      <c r="I181" s="34" t="s">
        <v>1144</v>
      </c>
      <c r="J181" s="8" t="s">
        <v>1145</v>
      </c>
      <c r="K181" s="69" t="s">
        <v>1146</v>
      </c>
      <c r="L181" s="8" t="s">
        <v>871</v>
      </c>
      <c r="M181" s="8" t="s">
        <v>872</v>
      </c>
      <c r="N181" s="8" t="s">
        <v>393</v>
      </c>
      <c r="O181" s="8" t="s">
        <v>11</v>
      </c>
      <c r="P181" s="8" t="s">
        <v>274</v>
      </c>
      <c r="Q181" s="8" t="s">
        <v>275</v>
      </c>
      <c r="R181" s="8" t="s">
        <v>231</v>
      </c>
      <c r="S181" s="8" t="s">
        <v>247</v>
      </c>
      <c r="T181" s="14" t="s">
        <v>1666</v>
      </c>
      <c r="U181" s="8" t="s">
        <v>54</v>
      </c>
      <c r="V181" s="8">
        <v>1</v>
      </c>
      <c r="W181" s="18">
        <v>1</v>
      </c>
      <c r="X181" s="51">
        <v>46084</v>
      </c>
      <c r="Y181" s="51">
        <v>46084</v>
      </c>
      <c r="Z181" s="28">
        <v>7</v>
      </c>
      <c r="AA181" s="16" t="s">
        <v>1710</v>
      </c>
      <c r="AB181" s="8" t="s">
        <v>307</v>
      </c>
      <c r="AC181" s="8" t="s">
        <v>307</v>
      </c>
      <c r="AD181" s="8" t="s">
        <v>137</v>
      </c>
      <c r="AE181" s="8" t="s">
        <v>153</v>
      </c>
      <c r="AF181" s="8" t="s">
        <v>153</v>
      </c>
      <c r="AG181" s="8" t="s">
        <v>295</v>
      </c>
      <c r="AH181" s="51">
        <v>35111</v>
      </c>
      <c r="AI181" s="28">
        <v>30</v>
      </c>
      <c r="AJ181" s="51" t="s">
        <v>1853</v>
      </c>
    </row>
    <row r="182" spans="1:36" ht="12.65" customHeight="1" x14ac:dyDescent="0.35">
      <c r="A182" s="8" t="s">
        <v>139</v>
      </c>
      <c r="B182" s="8" t="s">
        <v>136</v>
      </c>
      <c r="C182" s="8" t="s">
        <v>135</v>
      </c>
      <c r="D182" s="33" t="s">
        <v>1147</v>
      </c>
      <c r="E182" s="14" t="s">
        <v>1148</v>
      </c>
      <c r="F182" s="14" t="s">
        <v>57</v>
      </c>
      <c r="G182" s="14" t="s">
        <v>1</v>
      </c>
      <c r="H182" s="14" t="s">
        <v>9</v>
      </c>
      <c r="I182" s="34" t="s">
        <v>725</v>
      </c>
      <c r="J182" s="8" t="s">
        <v>78</v>
      </c>
      <c r="K182" s="69" t="s">
        <v>726</v>
      </c>
      <c r="L182" s="8" t="s">
        <v>75</v>
      </c>
      <c r="M182" s="8" t="s">
        <v>76</v>
      </c>
      <c r="N182" s="8" t="s">
        <v>306</v>
      </c>
      <c r="O182" s="8" t="s">
        <v>424</v>
      </c>
      <c r="P182" s="8" t="s">
        <v>279</v>
      </c>
      <c r="Q182" s="8" t="s">
        <v>279</v>
      </c>
      <c r="R182" s="8" t="s">
        <v>225</v>
      </c>
      <c r="S182" s="8" t="s">
        <v>241</v>
      </c>
      <c r="T182" s="8" t="s">
        <v>166</v>
      </c>
      <c r="U182" s="8" t="s">
        <v>189</v>
      </c>
      <c r="V182" s="8">
        <v>1</v>
      </c>
      <c r="W182" s="18">
        <v>1</v>
      </c>
      <c r="X182" s="51">
        <v>45668</v>
      </c>
      <c r="Y182" s="51">
        <v>45668</v>
      </c>
      <c r="Z182" s="28">
        <v>21</v>
      </c>
      <c r="AA182" s="16" t="s">
        <v>1700</v>
      </c>
      <c r="AB182" s="8" t="s">
        <v>293</v>
      </c>
      <c r="AC182" s="8" t="s">
        <v>294</v>
      </c>
      <c r="AD182" s="8" t="s">
        <v>137</v>
      </c>
      <c r="AE182" s="8">
        <v>3102632565</v>
      </c>
      <c r="AF182" s="8" t="s">
        <v>276</v>
      </c>
      <c r="AG182" s="8" t="s">
        <v>292</v>
      </c>
      <c r="AH182" s="51">
        <v>31626</v>
      </c>
      <c r="AI182" s="28">
        <v>40</v>
      </c>
      <c r="AJ182" s="51" t="s">
        <v>1853</v>
      </c>
    </row>
    <row r="183" spans="1:36" ht="12.65" customHeight="1" x14ac:dyDescent="0.35">
      <c r="A183" s="8" t="s">
        <v>139</v>
      </c>
      <c r="B183" s="8" t="s">
        <v>136</v>
      </c>
      <c r="C183" s="8" t="s">
        <v>135</v>
      </c>
      <c r="D183" s="35" t="s">
        <v>1149</v>
      </c>
      <c r="E183" s="20" t="s">
        <v>1150</v>
      </c>
      <c r="F183" s="14" t="s">
        <v>57</v>
      </c>
      <c r="G183" s="14" t="s">
        <v>1</v>
      </c>
      <c r="H183" s="14" t="s">
        <v>9</v>
      </c>
      <c r="I183" s="34" t="s">
        <v>388</v>
      </c>
      <c r="J183" s="8" t="s">
        <v>389</v>
      </c>
      <c r="K183" s="69" t="s">
        <v>390</v>
      </c>
      <c r="L183" s="8" t="s">
        <v>391</v>
      </c>
      <c r="M183" s="8" t="s">
        <v>392</v>
      </c>
      <c r="N183" s="8" t="s">
        <v>393</v>
      </c>
      <c r="O183" s="8" t="s">
        <v>13</v>
      </c>
      <c r="P183" s="8" t="s">
        <v>285</v>
      </c>
      <c r="Q183" s="8" t="s">
        <v>285</v>
      </c>
      <c r="R183" s="8" t="s">
        <v>225</v>
      </c>
      <c r="S183" s="8" t="s">
        <v>237</v>
      </c>
      <c r="T183" s="8" t="s">
        <v>216</v>
      </c>
      <c r="U183" s="8" t="s">
        <v>183</v>
      </c>
      <c r="V183" s="8">
        <v>1</v>
      </c>
      <c r="W183" s="18">
        <v>0.25</v>
      </c>
      <c r="X183" s="51">
        <v>45659</v>
      </c>
      <c r="Y183" s="51">
        <v>45659</v>
      </c>
      <c r="Z183" s="28">
        <v>21</v>
      </c>
      <c r="AA183" s="16" t="s">
        <v>1700</v>
      </c>
      <c r="AB183" s="8" t="s">
        <v>395</v>
      </c>
      <c r="AC183" s="8" t="s">
        <v>395</v>
      </c>
      <c r="AD183" s="19" t="s">
        <v>137</v>
      </c>
      <c r="AE183" s="19">
        <v>3102626773</v>
      </c>
      <c r="AF183" s="19" t="s">
        <v>276</v>
      </c>
      <c r="AG183" s="8" t="s">
        <v>295</v>
      </c>
      <c r="AH183" s="51">
        <v>31539</v>
      </c>
      <c r="AI183" s="28">
        <v>40</v>
      </c>
      <c r="AJ183" s="51" t="s">
        <v>1853</v>
      </c>
    </row>
    <row r="184" spans="1:36" ht="12.65" customHeight="1" x14ac:dyDescent="0.35">
      <c r="A184" s="8" t="s">
        <v>139</v>
      </c>
      <c r="B184" s="8" t="s">
        <v>136</v>
      </c>
      <c r="C184" s="8" t="s">
        <v>135</v>
      </c>
      <c r="D184" s="35" t="s">
        <v>1149</v>
      </c>
      <c r="E184" s="20" t="s">
        <v>1150</v>
      </c>
      <c r="F184" s="14" t="s">
        <v>57</v>
      </c>
      <c r="G184" s="14" t="s">
        <v>1</v>
      </c>
      <c r="H184" s="14" t="s">
        <v>9</v>
      </c>
      <c r="I184" s="34" t="s">
        <v>1721</v>
      </c>
      <c r="J184" s="8" t="s">
        <v>1722</v>
      </c>
      <c r="K184" s="69" t="s">
        <v>1723</v>
      </c>
      <c r="L184" s="8" t="s">
        <v>391</v>
      </c>
      <c r="M184" s="8" t="s">
        <v>392</v>
      </c>
      <c r="N184" s="8" t="s">
        <v>393</v>
      </c>
      <c r="O184" s="8" t="s">
        <v>394</v>
      </c>
      <c r="P184" s="8" t="s">
        <v>285</v>
      </c>
      <c r="Q184" s="8" t="s">
        <v>285</v>
      </c>
      <c r="R184" s="8" t="s">
        <v>225</v>
      </c>
      <c r="S184" s="8" t="s">
        <v>237</v>
      </c>
      <c r="T184" s="8" t="s">
        <v>216</v>
      </c>
      <c r="U184" s="8" t="s">
        <v>183</v>
      </c>
      <c r="V184" s="8">
        <v>0</v>
      </c>
      <c r="W184" s="18">
        <v>0.25</v>
      </c>
      <c r="X184" s="51">
        <v>45659</v>
      </c>
      <c r="Y184" s="51">
        <v>45659</v>
      </c>
      <c r="Z184" s="28">
        <v>21</v>
      </c>
      <c r="AA184" s="16" t="s">
        <v>1700</v>
      </c>
      <c r="AB184" s="8" t="s">
        <v>395</v>
      </c>
      <c r="AC184" s="8" t="s">
        <v>395</v>
      </c>
      <c r="AD184" s="19" t="s">
        <v>137</v>
      </c>
      <c r="AE184" s="19">
        <v>3102626773</v>
      </c>
      <c r="AF184" s="19" t="s">
        <v>276</v>
      </c>
      <c r="AG184" s="8" t="s">
        <v>295</v>
      </c>
      <c r="AH184" s="51">
        <v>31539</v>
      </c>
      <c r="AI184" s="28">
        <v>40</v>
      </c>
      <c r="AJ184" s="51" t="s">
        <v>1853</v>
      </c>
    </row>
    <row r="185" spans="1:36" ht="12.65" customHeight="1" x14ac:dyDescent="0.35">
      <c r="A185" s="8" t="s">
        <v>139</v>
      </c>
      <c r="B185" s="8" t="s">
        <v>136</v>
      </c>
      <c r="C185" s="8" t="s">
        <v>135</v>
      </c>
      <c r="D185" s="35" t="s">
        <v>1149</v>
      </c>
      <c r="E185" s="20" t="s">
        <v>1150</v>
      </c>
      <c r="F185" s="14" t="s">
        <v>57</v>
      </c>
      <c r="G185" s="14" t="s">
        <v>1</v>
      </c>
      <c r="H185" s="14" t="s">
        <v>9</v>
      </c>
      <c r="I185" s="34" t="s">
        <v>1724</v>
      </c>
      <c r="J185" s="8" t="s">
        <v>1696</v>
      </c>
      <c r="K185" s="69" t="s">
        <v>1725</v>
      </c>
      <c r="L185" s="8" t="s">
        <v>391</v>
      </c>
      <c r="M185" s="8" t="s">
        <v>392</v>
      </c>
      <c r="N185" s="8" t="s">
        <v>393</v>
      </c>
      <c r="O185" s="8" t="s">
        <v>404</v>
      </c>
      <c r="P185" s="8" t="s">
        <v>285</v>
      </c>
      <c r="Q185" s="8" t="s">
        <v>285</v>
      </c>
      <c r="R185" s="8" t="s">
        <v>225</v>
      </c>
      <c r="S185" s="8" t="s">
        <v>237</v>
      </c>
      <c r="T185" s="8" t="s">
        <v>216</v>
      </c>
      <c r="U185" s="8" t="s">
        <v>183</v>
      </c>
      <c r="V185" s="8">
        <v>0</v>
      </c>
      <c r="W185" s="18">
        <v>0.25</v>
      </c>
      <c r="X185" s="51">
        <v>45659</v>
      </c>
      <c r="Y185" s="51">
        <v>45659</v>
      </c>
      <c r="Z185" s="28">
        <v>21</v>
      </c>
      <c r="AA185" s="16" t="s">
        <v>1700</v>
      </c>
      <c r="AB185" s="8" t="s">
        <v>395</v>
      </c>
      <c r="AC185" s="8" t="s">
        <v>395</v>
      </c>
      <c r="AD185" s="19" t="s">
        <v>137</v>
      </c>
      <c r="AE185" s="19">
        <v>3102626773</v>
      </c>
      <c r="AF185" s="19" t="s">
        <v>276</v>
      </c>
      <c r="AG185" s="8" t="s">
        <v>295</v>
      </c>
      <c r="AH185" s="51">
        <v>31539</v>
      </c>
      <c r="AI185" s="28">
        <v>40</v>
      </c>
      <c r="AJ185" s="51" t="s">
        <v>1853</v>
      </c>
    </row>
    <row r="186" spans="1:36" ht="12.65" customHeight="1" x14ac:dyDescent="0.35">
      <c r="A186" s="8" t="s">
        <v>139</v>
      </c>
      <c r="B186" s="8" t="s">
        <v>136</v>
      </c>
      <c r="C186" s="8" t="s">
        <v>135</v>
      </c>
      <c r="D186" s="33" t="s">
        <v>1149</v>
      </c>
      <c r="E186" s="14" t="s">
        <v>1150</v>
      </c>
      <c r="F186" s="14" t="s">
        <v>57</v>
      </c>
      <c r="G186" s="14" t="s">
        <v>1</v>
      </c>
      <c r="H186" s="14" t="s">
        <v>9</v>
      </c>
      <c r="I186" s="34" t="s">
        <v>1726</v>
      </c>
      <c r="J186" s="8" t="s">
        <v>1727</v>
      </c>
      <c r="K186" s="69" t="s">
        <v>1728</v>
      </c>
      <c r="L186" s="8" t="s">
        <v>391</v>
      </c>
      <c r="M186" s="8" t="s">
        <v>392</v>
      </c>
      <c r="N186" s="8" t="s">
        <v>393</v>
      </c>
      <c r="O186" s="8" t="s">
        <v>394</v>
      </c>
      <c r="P186" s="8" t="s">
        <v>285</v>
      </c>
      <c r="Q186" s="8" t="s">
        <v>285</v>
      </c>
      <c r="R186" s="8" t="s">
        <v>225</v>
      </c>
      <c r="S186" s="8" t="s">
        <v>237</v>
      </c>
      <c r="T186" s="8" t="s">
        <v>216</v>
      </c>
      <c r="U186" s="8" t="s">
        <v>183</v>
      </c>
      <c r="V186" s="8">
        <v>0</v>
      </c>
      <c r="W186" s="18">
        <v>0.25</v>
      </c>
      <c r="X186" s="51">
        <v>45659</v>
      </c>
      <c r="Y186" s="51">
        <v>45659</v>
      </c>
      <c r="Z186" s="28">
        <v>21</v>
      </c>
      <c r="AA186" s="16" t="s">
        <v>1700</v>
      </c>
      <c r="AB186" s="8" t="s">
        <v>395</v>
      </c>
      <c r="AC186" s="8" t="s">
        <v>395</v>
      </c>
      <c r="AD186" s="19" t="s">
        <v>137</v>
      </c>
      <c r="AE186" s="19">
        <v>3102626773</v>
      </c>
      <c r="AF186" s="19" t="s">
        <v>276</v>
      </c>
      <c r="AG186" s="8" t="s">
        <v>295</v>
      </c>
      <c r="AH186" s="51">
        <v>31539</v>
      </c>
      <c r="AI186" s="28">
        <v>40</v>
      </c>
      <c r="AJ186" s="51" t="s">
        <v>1853</v>
      </c>
    </row>
    <row r="187" spans="1:36" ht="12.65" customHeight="1" x14ac:dyDescent="0.35">
      <c r="A187" s="8" t="s">
        <v>139</v>
      </c>
      <c r="B187" s="8" t="s">
        <v>136</v>
      </c>
      <c r="C187" s="8" t="s">
        <v>135</v>
      </c>
      <c r="D187" s="44" t="s">
        <v>1155</v>
      </c>
      <c r="E187" s="4" t="s">
        <v>1156</v>
      </c>
      <c r="F187" s="4" t="s">
        <v>57</v>
      </c>
      <c r="G187" s="14" t="s">
        <v>1</v>
      </c>
      <c r="H187" s="14" t="s">
        <v>9</v>
      </c>
      <c r="I187" s="34" t="s">
        <v>1157</v>
      </c>
      <c r="J187" s="8" t="s">
        <v>1158</v>
      </c>
      <c r="K187" s="69" t="s">
        <v>1159</v>
      </c>
      <c r="L187" s="8" t="s">
        <v>471</v>
      </c>
      <c r="M187" s="8" t="s">
        <v>556</v>
      </c>
      <c r="N187" s="8" t="s">
        <v>393</v>
      </c>
      <c r="O187" s="8" t="s">
        <v>17</v>
      </c>
      <c r="P187" s="8" t="s">
        <v>290</v>
      </c>
      <c r="Q187" s="8" t="s">
        <v>279</v>
      </c>
      <c r="R187" s="8" t="s">
        <v>234</v>
      </c>
      <c r="S187" s="8" t="s">
        <v>241</v>
      </c>
      <c r="T187" s="8" t="s">
        <v>166</v>
      </c>
      <c r="U187" s="8" t="s">
        <v>183</v>
      </c>
      <c r="V187" s="8">
        <v>0</v>
      </c>
      <c r="W187" s="18">
        <v>0.75</v>
      </c>
      <c r="X187" s="54">
        <v>45659</v>
      </c>
      <c r="Y187" s="54">
        <v>45155</v>
      </c>
      <c r="Z187" s="28">
        <v>37</v>
      </c>
      <c r="AA187" s="16" t="s">
        <v>1701</v>
      </c>
      <c r="AB187" s="8" t="s">
        <v>395</v>
      </c>
      <c r="AC187" s="8" t="s">
        <v>395</v>
      </c>
      <c r="AD187" s="41" t="s">
        <v>134</v>
      </c>
      <c r="AE187" s="41">
        <v>3102631612</v>
      </c>
      <c r="AF187" s="41" t="s">
        <v>276</v>
      </c>
      <c r="AG187" s="8" t="s">
        <v>295</v>
      </c>
      <c r="AH187" s="51">
        <v>35161</v>
      </c>
      <c r="AI187" s="28">
        <v>30</v>
      </c>
      <c r="AJ187" s="51" t="s">
        <v>1852</v>
      </c>
    </row>
    <row r="188" spans="1:36" ht="12.65" customHeight="1" x14ac:dyDescent="0.35">
      <c r="A188" s="8" t="s">
        <v>139</v>
      </c>
      <c r="B188" s="8" t="s">
        <v>136</v>
      </c>
      <c r="C188" s="8" t="s">
        <v>135</v>
      </c>
      <c r="D188" s="44" t="s">
        <v>1155</v>
      </c>
      <c r="E188" s="4" t="s">
        <v>1156</v>
      </c>
      <c r="F188" s="4" t="s">
        <v>57</v>
      </c>
      <c r="G188" s="14" t="s">
        <v>1</v>
      </c>
      <c r="H188" s="14" t="s">
        <v>9</v>
      </c>
      <c r="I188" s="34" t="s">
        <v>1160</v>
      </c>
      <c r="J188" s="8" t="s">
        <v>1161</v>
      </c>
      <c r="K188" s="69" t="s">
        <v>1162</v>
      </c>
      <c r="L188" s="8" t="s">
        <v>471</v>
      </c>
      <c r="M188" s="8" t="s">
        <v>556</v>
      </c>
      <c r="N188" s="8" t="s">
        <v>393</v>
      </c>
      <c r="O188" s="8" t="s">
        <v>17</v>
      </c>
      <c r="P188" s="8" t="s">
        <v>290</v>
      </c>
      <c r="Q188" s="8" t="s">
        <v>279</v>
      </c>
      <c r="R188" s="8" t="s">
        <v>234</v>
      </c>
      <c r="S188" s="8" t="s">
        <v>241</v>
      </c>
      <c r="T188" s="8" t="s">
        <v>166</v>
      </c>
      <c r="U188" s="8" t="s">
        <v>183</v>
      </c>
      <c r="V188" s="8">
        <v>1</v>
      </c>
      <c r="W188" s="18">
        <v>0.25</v>
      </c>
      <c r="X188" s="54">
        <v>45659</v>
      </c>
      <c r="Y188" s="54">
        <v>45155</v>
      </c>
      <c r="Z188" s="28">
        <v>37</v>
      </c>
      <c r="AA188" s="16" t="s">
        <v>1701</v>
      </c>
      <c r="AB188" s="8" t="s">
        <v>395</v>
      </c>
      <c r="AC188" s="8" t="s">
        <v>395</v>
      </c>
      <c r="AD188" s="41" t="s">
        <v>134</v>
      </c>
      <c r="AE188" s="41">
        <v>3102631612</v>
      </c>
      <c r="AF188" s="41" t="s">
        <v>276</v>
      </c>
      <c r="AG188" s="8" t="s">
        <v>295</v>
      </c>
      <c r="AH188" s="51">
        <v>35161</v>
      </c>
      <c r="AI188" s="28">
        <v>30</v>
      </c>
      <c r="AJ188" s="51" t="s">
        <v>1852</v>
      </c>
    </row>
    <row r="189" spans="1:36" ht="12.65" customHeight="1" x14ac:dyDescent="0.35">
      <c r="A189" s="8" t="s">
        <v>139</v>
      </c>
      <c r="B189" s="8" t="s">
        <v>136</v>
      </c>
      <c r="C189" s="8" t="s">
        <v>135</v>
      </c>
      <c r="D189" s="33" t="s">
        <v>1163</v>
      </c>
      <c r="E189" s="14" t="s">
        <v>1164</v>
      </c>
      <c r="F189" s="14" t="s">
        <v>57</v>
      </c>
      <c r="G189" s="14" t="s">
        <v>1</v>
      </c>
      <c r="H189" s="14" t="s">
        <v>9</v>
      </c>
      <c r="I189" s="34" t="s">
        <v>633</v>
      </c>
      <c r="J189" s="8" t="s">
        <v>634</v>
      </c>
      <c r="K189" s="69" t="s">
        <v>635</v>
      </c>
      <c r="L189" s="8" t="s">
        <v>299</v>
      </c>
      <c r="M189" s="8" t="s">
        <v>299</v>
      </c>
      <c r="N189" s="8" t="s">
        <v>306</v>
      </c>
      <c r="O189" s="8" t="s">
        <v>15</v>
      </c>
      <c r="P189" s="8" t="s">
        <v>288</v>
      </c>
      <c r="Q189" s="8" t="s">
        <v>326</v>
      </c>
      <c r="R189" s="8" t="s">
        <v>234</v>
      </c>
      <c r="S189" s="8" t="s">
        <v>241</v>
      </c>
      <c r="T189" s="8" t="s">
        <v>169</v>
      </c>
      <c r="U189" s="8" t="s">
        <v>194</v>
      </c>
      <c r="V189" s="8">
        <v>1</v>
      </c>
      <c r="W189" s="18">
        <v>1</v>
      </c>
      <c r="X189" s="51">
        <v>46157</v>
      </c>
      <c r="Y189" s="51">
        <v>46157</v>
      </c>
      <c r="Z189" s="28">
        <v>5</v>
      </c>
      <c r="AA189" s="16" t="s">
        <v>1699</v>
      </c>
      <c r="AB189" s="8" t="s">
        <v>294</v>
      </c>
      <c r="AC189" s="8" t="s">
        <v>294</v>
      </c>
      <c r="AD189" s="19" t="s">
        <v>137</v>
      </c>
      <c r="AE189" s="19" t="s">
        <v>153</v>
      </c>
      <c r="AF189" s="8" t="s">
        <v>276</v>
      </c>
      <c r="AG189" s="8" t="s">
        <v>292</v>
      </c>
      <c r="AH189" s="51">
        <v>29543</v>
      </c>
      <c r="AI189" s="28">
        <v>45</v>
      </c>
      <c r="AJ189" s="51" t="s">
        <v>1852</v>
      </c>
    </row>
    <row r="190" spans="1:36" ht="12.65" customHeight="1" x14ac:dyDescent="0.35">
      <c r="A190" s="8" t="s">
        <v>139</v>
      </c>
      <c r="B190" s="8" t="s">
        <v>136</v>
      </c>
      <c r="C190" s="8" t="s">
        <v>135</v>
      </c>
      <c r="D190" s="34" t="s">
        <v>1165</v>
      </c>
      <c r="E190" s="14" t="s">
        <v>1166</v>
      </c>
      <c r="F190" s="14" t="s">
        <v>57</v>
      </c>
      <c r="G190" s="14" t="s">
        <v>1</v>
      </c>
      <c r="H190" s="14" t="s">
        <v>9</v>
      </c>
      <c r="I190" s="34" t="s">
        <v>1167</v>
      </c>
      <c r="J190" s="8" t="s">
        <v>1168</v>
      </c>
      <c r="K190" s="69" t="s">
        <v>1169</v>
      </c>
      <c r="L190" s="8" t="s">
        <v>406</v>
      </c>
      <c r="M190" s="8" t="s">
        <v>976</v>
      </c>
      <c r="N190" s="8" t="s">
        <v>306</v>
      </c>
      <c r="O190" s="8" t="s">
        <v>13</v>
      </c>
      <c r="P190" s="8" t="s">
        <v>285</v>
      </c>
      <c r="Q190" s="8" t="s">
        <v>285</v>
      </c>
      <c r="R190" s="8" t="s">
        <v>225</v>
      </c>
      <c r="S190" s="8" t="s">
        <v>237</v>
      </c>
      <c r="T190" s="8" t="s">
        <v>216</v>
      </c>
      <c r="U190" s="8" t="s">
        <v>186</v>
      </c>
      <c r="V190" s="8">
        <v>1</v>
      </c>
      <c r="W190" s="18">
        <v>0.5</v>
      </c>
      <c r="X190" s="51">
        <v>46064</v>
      </c>
      <c r="Y190" s="51">
        <v>46064</v>
      </c>
      <c r="Z190" s="28">
        <v>8</v>
      </c>
      <c r="AA190" s="16" t="s">
        <v>1710</v>
      </c>
      <c r="AB190" s="8" t="s">
        <v>293</v>
      </c>
      <c r="AC190" s="8" t="s">
        <v>293</v>
      </c>
      <c r="AD190" s="8" t="s">
        <v>137</v>
      </c>
      <c r="AE190" s="8" t="s">
        <v>153</v>
      </c>
      <c r="AF190" s="8" t="s">
        <v>153</v>
      </c>
      <c r="AG190" s="8" t="s">
        <v>295</v>
      </c>
      <c r="AH190" s="51">
        <v>31059</v>
      </c>
      <c r="AI190" s="28">
        <v>41</v>
      </c>
      <c r="AJ190" s="51" t="s">
        <v>1853</v>
      </c>
    </row>
    <row r="191" spans="1:36" ht="12.65" customHeight="1" x14ac:dyDescent="0.35">
      <c r="A191" s="8" t="s">
        <v>139</v>
      </c>
      <c r="B191" s="8" t="s">
        <v>136</v>
      </c>
      <c r="C191" s="8" t="s">
        <v>135</v>
      </c>
      <c r="D191" s="34" t="s">
        <v>1165</v>
      </c>
      <c r="E191" s="14" t="s">
        <v>1166</v>
      </c>
      <c r="F191" s="14" t="s">
        <v>57</v>
      </c>
      <c r="G191" s="14" t="s">
        <v>1</v>
      </c>
      <c r="H191" s="14" t="s">
        <v>9</v>
      </c>
      <c r="I191" s="34" t="s">
        <v>1170</v>
      </c>
      <c r="J191" s="8" t="s">
        <v>1171</v>
      </c>
      <c r="K191" s="69" t="s">
        <v>1172</v>
      </c>
      <c r="L191" s="8" t="s">
        <v>406</v>
      </c>
      <c r="M191" s="8" t="s">
        <v>976</v>
      </c>
      <c r="N191" s="8" t="s">
        <v>306</v>
      </c>
      <c r="O191" s="8" t="s">
        <v>13</v>
      </c>
      <c r="P191" s="8" t="s">
        <v>285</v>
      </c>
      <c r="Q191" s="8" t="s">
        <v>285</v>
      </c>
      <c r="R191" s="8" t="s">
        <v>225</v>
      </c>
      <c r="S191" s="8" t="s">
        <v>237</v>
      </c>
      <c r="T191" s="8" t="s">
        <v>216</v>
      </c>
      <c r="U191" s="8" t="s">
        <v>186</v>
      </c>
      <c r="V191" s="8">
        <v>0</v>
      </c>
      <c r="W191" s="18">
        <v>0.5</v>
      </c>
      <c r="X191" s="51">
        <v>46064</v>
      </c>
      <c r="Y191" s="51">
        <v>46064</v>
      </c>
      <c r="Z191" s="28">
        <v>8</v>
      </c>
      <c r="AA191" s="16" t="s">
        <v>1710</v>
      </c>
      <c r="AB191" s="8" t="s">
        <v>293</v>
      </c>
      <c r="AC191" s="8" t="s">
        <v>293</v>
      </c>
      <c r="AD191" s="8" t="s">
        <v>137</v>
      </c>
      <c r="AE191" s="8" t="s">
        <v>153</v>
      </c>
      <c r="AF191" s="8" t="s">
        <v>153</v>
      </c>
      <c r="AG191" s="8" t="s">
        <v>295</v>
      </c>
      <c r="AH191" s="51">
        <v>31059</v>
      </c>
      <c r="AI191" s="28">
        <v>41</v>
      </c>
      <c r="AJ191" s="51" t="s">
        <v>1853</v>
      </c>
    </row>
    <row r="192" spans="1:36" ht="12.65" customHeight="1" x14ac:dyDescent="0.35">
      <c r="A192" s="8" t="s">
        <v>139</v>
      </c>
      <c r="B192" s="8" t="s">
        <v>136</v>
      </c>
      <c r="C192" s="8" t="s">
        <v>135</v>
      </c>
      <c r="D192" s="34" t="s">
        <v>1173</v>
      </c>
      <c r="E192" s="14" t="s">
        <v>1174</v>
      </c>
      <c r="F192" s="14" t="s">
        <v>57</v>
      </c>
      <c r="G192" s="14" t="s">
        <v>1</v>
      </c>
      <c r="H192" s="14" t="s">
        <v>9</v>
      </c>
      <c r="I192" s="34" t="s">
        <v>520</v>
      </c>
      <c r="J192" s="8" t="s">
        <v>1175</v>
      </c>
      <c r="K192" s="69" t="s">
        <v>1176</v>
      </c>
      <c r="L192" s="8" t="s">
        <v>442</v>
      </c>
      <c r="M192" s="8" t="s">
        <v>443</v>
      </c>
      <c r="N192" s="8" t="s">
        <v>393</v>
      </c>
      <c r="O192" s="8" t="s">
        <v>521</v>
      </c>
      <c r="P192" s="8" t="s">
        <v>282</v>
      </c>
      <c r="Q192" s="8" t="s">
        <v>543</v>
      </c>
      <c r="R192" s="8" t="s">
        <v>222</v>
      </c>
      <c r="S192" s="8" t="s">
        <v>237</v>
      </c>
      <c r="T192" s="8" t="s">
        <v>244</v>
      </c>
      <c r="U192" s="8" t="s">
        <v>183</v>
      </c>
      <c r="V192" s="8">
        <v>1</v>
      </c>
      <c r="W192" s="18">
        <v>0.5</v>
      </c>
      <c r="X192" s="51">
        <v>45659</v>
      </c>
      <c r="Y192" s="51">
        <v>44889</v>
      </c>
      <c r="Z192" s="28">
        <v>46</v>
      </c>
      <c r="AA192" s="16" t="s">
        <v>1701</v>
      </c>
      <c r="AB192" s="8" t="s">
        <v>395</v>
      </c>
      <c r="AC192" s="8" t="s">
        <v>395</v>
      </c>
      <c r="AD192" s="8" t="s">
        <v>134</v>
      </c>
      <c r="AE192" s="8">
        <v>3102628714</v>
      </c>
      <c r="AF192" s="8" t="s">
        <v>276</v>
      </c>
      <c r="AG192" s="8" t="s">
        <v>295</v>
      </c>
      <c r="AH192" s="51">
        <v>31692</v>
      </c>
      <c r="AI192" s="28">
        <v>40</v>
      </c>
      <c r="AJ192" s="51" t="s">
        <v>1853</v>
      </c>
    </row>
    <row r="193" spans="1:36" ht="12.65" customHeight="1" x14ac:dyDescent="0.35">
      <c r="A193" s="8" t="s">
        <v>139</v>
      </c>
      <c r="B193" s="8" t="s">
        <v>136</v>
      </c>
      <c r="C193" s="8" t="s">
        <v>135</v>
      </c>
      <c r="D193" s="34" t="s">
        <v>1173</v>
      </c>
      <c r="E193" s="14" t="s">
        <v>1174</v>
      </c>
      <c r="F193" s="14" t="s">
        <v>57</v>
      </c>
      <c r="G193" s="14" t="s">
        <v>1</v>
      </c>
      <c r="H193" s="14" t="s">
        <v>9</v>
      </c>
      <c r="I193" s="34" t="s">
        <v>1177</v>
      </c>
      <c r="J193" s="8" t="s">
        <v>1178</v>
      </c>
      <c r="K193" s="69" t="s">
        <v>1179</v>
      </c>
      <c r="L193" s="8" t="s">
        <v>299</v>
      </c>
      <c r="M193" s="8" t="s">
        <v>299</v>
      </c>
      <c r="N193" s="8" t="s">
        <v>306</v>
      </c>
      <c r="O193" s="8" t="s">
        <v>1180</v>
      </c>
      <c r="P193" s="8" t="s">
        <v>282</v>
      </c>
      <c r="Q193" s="8" t="s">
        <v>543</v>
      </c>
      <c r="R193" s="8" t="s">
        <v>222</v>
      </c>
      <c r="S193" s="8" t="s">
        <v>237</v>
      </c>
      <c r="T193" s="8" t="s">
        <v>244</v>
      </c>
      <c r="U193" s="8" t="s">
        <v>194</v>
      </c>
      <c r="V193" s="8">
        <v>0</v>
      </c>
      <c r="W193" s="18">
        <v>0.5</v>
      </c>
      <c r="X193" s="51">
        <v>45659</v>
      </c>
      <c r="Y193" s="51">
        <v>44889</v>
      </c>
      <c r="Z193" s="28">
        <v>46</v>
      </c>
      <c r="AA193" s="16" t="s">
        <v>1701</v>
      </c>
      <c r="AB193" s="8" t="s">
        <v>293</v>
      </c>
      <c r="AC193" s="8" t="s">
        <v>293</v>
      </c>
      <c r="AD193" s="8" t="s">
        <v>134</v>
      </c>
      <c r="AE193" s="8">
        <v>3102628714</v>
      </c>
      <c r="AF193" s="8" t="s">
        <v>276</v>
      </c>
      <c r="AG193" s="8" t="s">
        <v>295</v>
      </c>
      <c r="AH193" s="51">
        <v>31692</v>
      </c>
      <c r="AI193" s="28">
        <v>40</v>
      </c>
      <c r="AJ193" s="51" t="s">
        <v>1853</v>
      </c>
    </row>
    <row r="194" spans="1:36" ht="12.65" customHeight="1" x14ac:dyDescent="0.35">
      <c r="A194" s="8" t="s">
        <v>139</v>
      </c>
      <c r="B194" s="8" t="s">
        <v>136</v>
      </c>
      <c r="C194" s="8" t="s">
        <v>135</v>
      </c>
      <c r="D194" s="34" t="s">
        <v>1181</v>
      </c>
      <c r="E194" s="14" t="s">
        <v>1182</v>
      </c>
      <c r="F194" s="14" t="s">
        <v>57</v>
      </c>
      <c r="G194" s="14" t="s">
        <v>1</v>
      </c>
      <c r="H194" s="14" t="s">
        <v>9</v>
      </c>
      <c r="I194" s="34" t="s">
        <v>1305</v>
      </c>
      <c r="J194" s="8" t="s">
        <v>1306</v>
      </c>
      <c r="K194" s="69" t="s">
        <v>1836</v>
      </c>
      <c r="L194" s="8" t="s">
        <v>871</v>
      </c>
      <c r="M194" s="8" t="s">
        <v>872</v>
      </c>
      <c r="N194" s="8" t="s">
        <v>393</v>
      </c>
      <c r="O194" s="8" t="s">
        <v>11</v>
      </c>
      <c r="P194" s="8" t="s">
        <v>274</v>
      </c>
      <c r="Q194" s="8" t="s">
        <v>275</v>
      </c>
      <c r="R194" s="8" t="s">
        <v>231</v>
      </c>
      <c r="S194" s="8" t="s">
        <v>247</v>
      </c>
      <c r="T194" s="14" t="s">
        <v>1666</v>
      </c>
      <c r="U194" s="8" t="s">
        <v>54</v>
      </c>
      <c r="V194" s="8">
        <v>1</v>
      </c>
      <c r="W194" s="18">
        <v>1</v>
      </c>
      <c r="X194" s="51">
        <v>45659</v>
      </c>
      <c r="Y194" s="51">
        <v>45355</v>
      </c>
      <c r="Z194" s="28">
        <v>31</v>
      </c>
      <c r="AA194" s="16" t="s">
        <v>1701</v>
      </c>
      <c r="AB194" s="8" t="s">
        <v>307</v>
      </c>
      <c r="AC194" s="8" t="s">
        <v>307</v>
      </c>
      <c r="AD194" s="19" t="s">
        <v>134</v>
      </c>
      <c r="AE194" s="19">
        <v>3102697338</v>
      </c>
      <c r="AF194" s="19" t="s">
        <v>276</v>
      </c>
      <c r="AG194" s="8" t="s">
        <v>295</v>
      </c>
      <c r="AH194" s="51">
        <v>28907</v>
      </c>
      <c r="AI194" s="28">
        <v>47</v>
      </c>
      <c r="AJ194" s="51" t="s">
        <v>1852</v>
      </c>
    </row>
    <row r="195" spans="1:36" ht="12.65" customHeight="1" x14ac:dyDescent="0.35">
      <c r="A195" s="8" t="s">
        <v>139</v>
      </c>
      <c r="B195" s="8" t="s">
        <v>136</v>
      </c>
      <c r="C195" s="8" t="s">
        <v>135</v>
      </c>
      <c r="D195" s="33" t="s">
        <v>890</v>
      </c>
      <c r="E195" s="14" t="s">
        <v>891</v>
      </c>
      <c r="F195" s="14" t="s">
        <v>57</v>
      </c>
      <c r="G195" s="14" t="s">
        <v>1</v>
      </c>
      <c r="H195" s="14" t="s">
        <v>9</v>
      </c>
      <c r="I195" s="34" t="s">
        <v>688</v>
      </c>
      <c r="J195" s="8" t="s">
        <v>18</v>
      </c>
      <c r="K195" s="69" t="s">
        <v>689</v>
      </c>
      <c r="L195" s="8" t="s">
        <v>299</v>
      </c>
      <c r="M195" s="8" t="s">
        <v>299</v>
      </c>
      <c r="N195" s="8" t="s">
        <v>306</v>
      </c>
      <c r="O195" s="8" t="s">
        <v>17</v>
      </c>
      <c r="P195" s="8" t="s">
        <v>290</v>
      </c>
      <c r="Q195" s="8" t="s">
        <v>279</v>
      </c>
      <c r="R195" s="8" t="s">
        <v>234</v>
      </c>
      <c r="S195" s="8" t="s">
        <v>241</v>
      </c>
      <c r="T195" s="8" t="s">
        <v>166</v>
      </c>
      <c r="U195" s="14" t="s">
        <v>194</v>
      </c>
      <c r="V195" s="8">
        <v>1</v>
      </c>
      <c r="W195" s="18">
        <v>1</v>
      </c>
      <c r="X195" s="54">
        <v>46163</v>
      </c>
      <c r="Y195" s="54">
        <v>46163</v>
      </c>
      <c r="Z195" s="28">
        <v>4</v>
      </c>
      <c r="AA195" s="16" t="s">
        <v>1699</v>
      </c>
      <c r="AB195" s="8" t="s">
        <v>294</v>
      </c>
      <c r="AC195" s="8" t="s">
        <v>294</v>
      </c>
      <c r="AD195" s="41" t="s">
        <v>137</v>
      </c>
      <c r="AE195" s="41" t="s">
        <v>153</v>
      </c>
      <c r="AF195" s="41" t="s">
        <v>153</v>
      </c>
      <c r="AG195" s="8" t="s">
        <v>292</v>
      </c>
      <c r="AH195" s="51">
        <v>37148</v>
      </c>
      <c r="AI195" s="28">
        <v>25</v>
      </c>
      <c r="AJ195" s="51" t="s">
        <v>1852</v>
      </c>
    </row>
    <row r="196" spans="1:36" ht="12.65" customHeight="1" x14ac:dyDescent="0.35">
      <c r="A196" s="8" t="s">
        <v>139</v>
      </c>
      <c r="B196" s="8" t="s">
        <v>136</v>
      </c>
      <c r="C196" s="8" t="s">
        <v>135</v>
      </c>
      <c r="D196" s="35" t="s">
        <v>981</v>
      </c>
      <c r="E196" s="14" t="s">
        <v>982</v>
      </c>
      <c r="F196" s="14" t="s">
        <v>57</v>
      </c>
      <c r="G196" s="14" t="s">
        <v>1</v>
      </c>
      <c r="H196" s="14" t="s">
        <v>9</v>
      </c>
      <c r="I196" s="34" t="s">
        <v>376</v>
      </c>
      <c r="J196" s="8" t="s">
        <v>96</v>
      </c>
      <c r="K196" s="69" t="s">
        <v>377</v>
      </c>
      <c r="L196" s="8" t="s">
        <v>75</v>
      </c>
      <c r="M196" s="8" t="s">
        <v>75</v>
      </c>
      <c r="N196" s="8" t="s">
        <v>306</v>
      </c>
      <c r="O196" s="8" t="s">
        <v>36</v>
      </c>
      <c r="P196" s="8" t="s">
        <v>282</v>
      </c>
      <c r="Q196" s="8" t="s">
        <v>543</v>
      </c>
      <c r="R196" s="8" t="s">
        <v>222</v>
      </c>
      <c r="S196" s="8" t="s">
        <v>237</v>
      </c>
      <c r="T196" s="8" t="s">
        <v>199</v>
      </c>
      <c r="U196" s="8" t="s">
        <v>189</v>
      </c>
      <c r="V196" s="8">
        <v>1</v>
      </c>
      <c r="W196" s="18">
        <v>1</v>
      </c>
      <c r="X196" s="51">
        <v>45659</v>
      </c>
      <c r="Y196" s="51">
        <v>45432</v>
      </c>
      <c r="Z196" s="28">
        <v>28</v>
      </c>
      <c r="AA196" s="16" t="s">
        <v>1701</v>
      </c>
      <c r="AB196" s="8" t="s">
        <v>291</v>
      </c>
      <c r="AC196" s="8" t="s">
        <v>294</v>
      </c>
      <c r="AD196" s="51" t="s">
        <v>134</v>
      </c>
      <c r="AE196" s="19">
        <v>3102662671</v>
      </c>
      <c r="AF196" s="19" t="s">
        <v>276</v>
      </c>
      <c r="AG196" s="8" t="s">
        <v>292</v>
      </c>
      <c r="AH196" s="51">
        <v>37389</v>
      </c>
      <c r="AI196" s="28">
        <v>24</v>
      </c>
      <c r="AJ196" s="19" t="s">
        <v>1852</v>
      </c>
    </row>
    <row r="197" spans="1:36" ht="12.65" customHeight="1" x14ac:dyDescent="0.35">
      <c r="A197" s="8" t="s">
        <v>139</v>
      </c>
      <c r="B197" s="8" t="s">
        <v>136</v>
      </c>
      <c r="C197" s="8" t="s">
        <v>135</v>
      </c>
      <c r="D197" s="34" t="s">
        <v>1190</v>
      </c>
      <c r="E197" s="14" t="s">
        <v>1191</v>
      </c>
      <c r="F197" s="14" t="s">
        <v>57</v>
      </c>
      <c r="G197" s="14" t="s">
        <v>1</v>
      </c>
      <c r="H197" s="14" t="s">
        <v>9</v>
      </c>
      <c r="I197" s="34" t="s">
        <v>297</v>
      </c>
      <c r="J197" s="8" t="s">
        <v>902</v>
      </c>
      <c r="K197" s="69" t="s">
        <v>298</v>
      </c>
      <c r="L197" s="8" t="s">
        <v>299</v>
      </c>
      <c r="M197" s="8" t="s">
        <v>299</v>
      </c>
      <c r="N197" s="8" t="s">
        <v>306</v>
      </c>
      <c r="O197" s="8" t="s">
        <v>13</v>
      </c>
      <c r="P197" s="8" t="s">
        <v>285</v>
      </c>
      <c r="Q197" s="8" t="s">
        <v>285</v>
      </c>
      <c r="R197" s="8" t="s">
        <v>225</v>
      </c>
      <c r="S197" s="8" t="s">
        <v>237</v>
      </c>
      <c r="T197" s="8" t="s">
        <v>175</v>
      </c>
      <c r="U197" s="14" t="s">
        <v>194</v>
      </c>
      <c r="V197" s="8">
        <v>1</v>
      </c>
      <c r="W197" s="18">
        <v>1</v>
      </c>
      <c r="X197" s="51">
        <v>45784</v>
      </c>
      <c r="Y197" s="51">
        <v>45784</v>
      </c>
      <c r="Z197" s="28">
        <v>17</v>
      </c>
      <c r="AA197" s="16" t="s">
        <v>1700</v>
      </c>
      <c r="AB197" s="8" t="s">
        <v>291</v>
      </c>
      <c r="AC197" s="8" t="s">
        <v>291</v>
      </c>
      <c r="AD197" s="19" t="s">
        <v>137</v>
      </c>
      <c r="AE197" s="19">
        <v>3102694928</v>
      </c>
      <c r="AF197" s="19" t="s">
        <v>276</v>
      </c>
      <c r="AG197" s="8" t="s">
        <v>292</v>
      </c>
      <c r="AH197" s="51">
        <v>31538</v>
      </c>
      <c r="AI197" s="28">
        <v>40</v>
      </c>
      <c r="AJ197" s="51" t="s">
        <v>1853</v>
      </c>
    </row>
    <row r="198" spans="1:36" ht="12.65" customHeight="1" x14ac:dyDescent="0.35">
      <c r="A198" s="8" t="s">
        <v>139</v>
      </c>
      <c r="B198" s="8" t="s">
        <v>136</v>
      </c>
      <c r="C198" s="8" t="s">
        <v>135</v>
      </c>
      <c r="D198" s="33" t="s">
        <v>1192</v>
      </c>
      <c r="E198" s="14" t="s">
        <v>1193</v>
      </c>
      <c r="F198" s="14" t="s">
        <v>57</v>
      </c>
      <c r="G198" s="14" t="s">
        <v>1</v>
      </c>
      <c r="H198" s="14" t="s">
        <v>9</v>
      </c>
      <c r="I198" s="34" t="s">
        <v>329</v>
      </c>
      <c r="J198" s="8" t="s">
        <v>95</v>
      </c>
      <c r="K198" s="69" t="s">
        <v>330</v>
      </c>
      <c r="L198" s="8" t="s">
        <v>75</v>
      </c>
      <c r="M198" s="8" t="s">
        <v>75</v>
      </c>
      <c r="N198" s="8" t="s">
        <v>306</v>
      </c>
      <c r="O198" s="8" t="s">
        <v>36</v>
      </c>
      <c r="P198" s="8" t="s">
        <v>282</v>
      </c>
      <c r="Q198" s="8" t="s">
        <v>543</v>
      </c>
      <c r="R198" s="8" t="s">
        <v>222</v>
      </c>
      <c r="S198" s="8" t="s">
        <v>237</v>
      </c>
      <c r="T198" s="8" t="s">
        <v>199</v>
      </c>
      <c r="U198" s="8" t="s">
        <v>189</v>
      </c>
      <c r="V198" s="8">
        <v>1</v>
      </c>
      <c r="W198" s="18">
        <v>1</v>
      </c>
      <c r="X198" s="51">
        <v>45722</v>
      </c>
      <c r="Y198" s="51">
        <v>45722</v>
      </c>
      <c r="Z198" s="28">
        <v>19</v>
      </c>
      <c r="AA198" s="16" t="s">
        <v>1700</v>
      </c>
      <c r="AB198" s="8" t="s">
        <v>291</v>
      </c>
      <c r="AC198" s="8" t="s">
        <v>291</v>
      </c>
      <c r="AD198" s="19" t="s">
        <v>137</v>
      </c>
      <c r="AE198" s="19">
        <v>3102684967</v>
      </c>
      <c r="AF198" s="19" t="s">
        <v>276</v>
      </c>
      <c r="AG198" s="8" t="s">
        <v>292</v>
      </c>
      <c r="AH198" s="51">
        <v>35843</v>
      </c>
      <c r="AI198" s="28">
        <v>28</v>
      </c>
      <c r="AJ198" s="51" t="s">
        <v>1853</v>
      </c>
    </row>
    <row r="199" spans="1:36" ht="12.65" customHeight="1" x14ac:dyDescent="0.35">
      <c r="A199" s="8" t="s">
        <v>139</v>
      </c>
      <c r="B199" s="8" t="s">
        <v>136</v>
      </c>
      <c r="C199" s="8" t="s">
        <v>135</v>
      </c>
      <c r="D199" s="35" t="s">
        <v>1188</v>
      </c>
      <c r="E199" s="14" t="s">
        <v>1189</v>
      </c>
      <c r="F199" s="14" t="s">
        <v>57</v>
      </c>
      <c r="G199" s="14" t="s">
        <v>1</v>
      </c>
      <c r="H199" s="14" t="s">
        <v>9</v>
      </c>
      <c r="I199" s="34" t="s">
        <v>603</v>
      </c>
      <c r="J199" s="8" t="s">
        <v>1123</v>
      </c>
      <c r="K199" s="69" t="s">
        <v>604</v>
      </c>
      <c r="L199" s="8" t="s">
        <v>410</v>
      </c>
      <c r="M199" s="8" t="s">
        <v>410</v>
      </c>
      <c r="N199" s="8" t="s">
        <v>306</v>
      </c>
      <c r="O199" s="8" t="s">
        <v>36</v>
      </c>
      <c r="P199" s="8" t="s">
        <v>282</v>
      </c>
      <c r="Q199" s="8" t="s">
        <v>543</v>
      </c>
      <c r="R199" s="8" t="s">
        <v>222</v>
      </c>
      <c r="S199" s="8" t="s">
        <v>237</v>
      </c>
      <c r="T199" s="8" t="s">
        <v>199</v>
      </c>
      <c r="U199" s="8" t="s">
        <v>54</v>
      </c>
      <c r="V199" s="8">
        <v>1</v>
      </c>
      <c r="W199" s="18">
        <v>1</v>
      </c>
      <c r="X199" s="51">
        <v>45659</v>
      </c>
      <c r="Y199" s="51">
        <v>45609</v>
      </c>
      <c r="Z199" s="28">
        <v>23</v>
      </c>
      <c r="AA199" s="16" t="s">
        <v>1700</v>
      </c>
      <c r="AB199" s="8" t="s">
        <v>294</v>
      </c>
      <c r="AC199" s="8" t="s">
        <v>395</v>
      </c>
      <c r="AD199" s="51" t="s">
        <v>137</v>
      </c>
      <c r="AE199" s="19">
        <v>3102662813</v>
      </c>
      <c r="AF199" s="19" t="s">
        <v>276</v>
      </c>
      <c r="AG199" s="8" t="s">
        <v>292</v>
      </c>
      <c r="AH199" s="51">
        <v>36136</v>
      </c>
      <c r="AI199" s="28">
        <v>27</v>
      </c>
      <c r="AJ199" s="19" t="s">
        <v>1853</v>
      </c>
    </row>
    <row r="200" spans="1:36" ht="12.65" customHeight="1" x14ac:dyDescent="0.35">
      <c r="A200" s="8" t="s">
        <v>139</v>
      </c>
      <c r="B200" s="8" t="s">
        <v>136</v>
      </c>
      <c r="C200" s="8" t="s">
        <v>135</v>
      </c>
      <c r="D200" s="34" t="s">
        <v>1196</v>
      </c>
      <c r="E200" s="14" t="s">
        <v>1197</v>
      </c>
      <c r="F200" s="14" t="s">
        <v>57</v>
      </c>
      <c r="G200" s="14" t="s">
        <v>1</v>
      </c>
      <c r="H200" s="14" t="s">
        <v>9</v>
      </c>
      <c r="I200" s="34" t="s">
        <v>780</v>
      </c>
      <c r="J200" s="8" t="s">
        <v>91</v>
      </c>
      <c r="K200" s="69" t="s">
        <v>1198</v>
      </c>
      <c r="L200" s="8" t="s">
        <v>75</v>
      </c>
      <c r="M200" s="8" t="s">
        <v>76</v>
      </c>
      <c r="N200" s="8" t="s">
        <v>306</v>
      </c>
      <c r="O200" s="8" t="s">
        <v>155</v>
      </c>
      <c r="P200" s="8" t="s">
        <v>287</v>
      </c>
      <c r="Q200" s="8" t="s">
        <v>326</v>
      </c>
      <c r="R200" s="8" t="s">
        <v>234</v>
      </c>
      <c r="S200" s="8" t="s">
        <v>241</v>
      </c>
      <c r="T200" s="8" t="s">
        <v>169</v>
      </c>
      <c r="U200" s="8" t="s">
        <v>189</v>
      </c>
      <c r="V200" s="8">
        <v>1</v>
      </c>
      <c r="W200" s="18">
        <v>1</v>
      </c>
      <c r="X200" s="51">
        <v>46043</v>
      </c>
      <c r="Y200" s="51">
        <v>46043</v>
      </c>
      <c r="Z200" s="28">
        <v>8</v>
      </c>
      <c r="AA200" s="16" t="s">
        <v>1710</v>
      </c>
      <c r="AB200" s="8" t="s">
        <v>395</v>
      </c>
      <c r="AC200" s="8" t="s">
        <v>294</v>
      </c>
      <c r="AD200" s="8" t="s">
        <v>137</v>
      </c>
      <c r="AE200" s="8">
        <v>3102632329</v>
      </c>
      <c r="AF200" s="8" t="s">
        <v>276</v>
      </c>
      <c r="AG200" s="8" t="s">
        <v>292</v>
      </c>
      <c r="AH200" s="51">
        <v>31200</v>
      </c>
      <c r="AI200" s="28">
        <v>41</v>
      </c>
      <c r="AJ200" s="51" t="s">
        <v>1852</v>
      </c>
    </row>
    <row r="201" spans="1:36" ht="12.65" customHeight="1" x14ac:dyDescent="0.35">
      <c r="A201" s="8" t="s">
        <v>139</v>
      </c>
      <c r="B201" s="8" t="s">
        <v>136</v>
      </c>
      <c r="C201" s="8" t="s">
        <v>135</v>
      </c>
      <c r="D201" s="33" t="s">
        <v>1863</v>
      </c>
      <c r="E201" s="14" t="s">
        <v>1862</v>
      </c>
      <c r="F201" s="14" t="s">
        <v>57</v>
      </c>
      <c r="G201" s="14" t="s">
        <v>1</v>
      </c>
      <c r="H201" s="14" t="s">
        <v>10</v>
      </c>
      <c r="I201" s="34" t="s">
        <v>570</v>
      </c>
      <c r="J201" s="8" t="s">
        <v>117</v>
      </c>
      <c r="K201" s="69" t="s">
        <v>571</v>
      </c>
      <c r="L201" s="8" t="s">
        <v>75</v>
      </c>
      <c r="M201" s="8" t="s">
        <v>107</v>
      </c>
      <c r="N201" s="8" t="s">
        <v>306</v>
      </c>
      <c r="O201" s="8" t="s">
        <v>11</v>
      </c>
      <c r="P201" s="8" t="s">
        <v>274</v>
      </c>
      <c r="Q201" s="8" t="s">
        <v>275</v>
      </c>
      <c r="R201" s="8" t="s">
        <v>1628</v>
      </c>
      <c r="S201" s="8" t="s">
        <v>247</v>
      </c>
      <c r="T201" s="8" t="s">
        <v>202</v>
      </c>
      <c r="U201" s="8" t="s">
        <v>189</v>
      </c>
      <c r="V201" s="8">
        <v>1</v>
      </c>
      <c r="W201" s="18">
        <v>0.5</v>
      </c>
      <c r="X201" s="51">
        <v>46262</v>
      </c>
      <c r="Y201" s="51">
        <v>46262</v>
      </c>
      <c r="Z201" s="28">
        <v>1</v>
      </c>
      <c r="AA201" s="16" t="s">
        <v>1698</v>
      </c>
      <c r="AB201" s="8" t="s">
        <v>293</v>
      </c>
      <c r="AC201" s="8" t="s">
        <v>293</v>
      </c>
      <c r="AD201" s="8" t="s">
        <v>137</v>
      </c>
      <c r="AE201" s="8" t="s">
        <v>153</v>
      </c>
      <c r="AF201" s="8" t="s">
        <v>153</v>
      </c>
      <c r="AG201" s="8" t="s">
        <v>292</v>
      </c>
      <c r="AH201" s="51">
        <v>38327</v>
      </c>
      <c r="AI201" s="28">
        <v>21</v>
      </c>
      <c r="AJ201" s="51" t="s">
        <v>1853</v>
      </c>
    </row>
    <row r="202" spans="1:36" ht="12.65" customHeight="1" x14ac:dyDescent="0.35">
      <c r="A202" s="8" t="s">
        <v>139</v>
      </c>
      <c r="B202" s="8" t="s">
        <v>136</v>
      </c>
      <c r="C202" s="8" t="s">
        <v>135</v>
      </c>
      <c r="D202" s="33" t="s">
        <v>1863</v>
      </c>
      <c r="E202" s="14" t="s">
        <v>1862</v>
      </c>
      <c r="F202" s="14" t="s">
        <v>57</v>
      </c>
      <c r="G202" s="14" t="s">
        <v>1</v>
      </c>
      <c r="H202" s="14" t="s">
        <v>10</v>
      </c>
      <c r="I202" s="34" t="s">
        <v>821</v>
      </c>
      <c r="J202" s="8" t="s">
        <v>106</v>
      </c>
      <c r="K202" s="69" t="s">
        <v>822</v>
      </c>
      <c r="L202" s="8" t="s">
        <v>75</v>
      </c>
      <c r="M202" s="8" t="s">
        <v>75</v>
      </c>
      <c r="N202" s="8" t="s">
        <v>306</v>
      </c>
      <c r="O202" s="8" t="s">
        <v>11</v>
      </c>
      <c r="P202" s="8" t="s">
        <v>274</v>
      </c>
      <c r="Q202" s="8" t="s">
        <v>275</v>
      </c>
      <c r="R202" s="8" t="s">
        <v>1628</v>
      </c>
      <c r="S202" s="8" t="s">
        <v>247</v>
      </c>
      <c r="T202" s="8" t="s">
        <v>202</v>
      </c>
      <c r="U202" s="8" t="s">
        <v>189</v>
      </c>
      <c r="V202" s="8">
        <v>0</v>
      </c>
      <c r="W202" s="18">
        <v>0.5</v>
      </c>
      <c r="X202" s="51">
        <v>46262</v>
      </c>
      <c r="Y202" s="51">
        <v>46262</v>
      </c>
      <c r="Z202" s="28">
        <v>1</v>
      </c>
      <c r="AA202" s="16" t="s">
        <v>1698</v>
      </c>
      <c r="AB202" s="8" t="s">
        <v>291</v>
      </c>
      <c r="AC202" s="8" t="s">
        <v>291</v>
      </c>
      <c r="AD202" s="8" t="s">
        <v>137</v>
      </c>
      <c r="AE202" s="8" t="s">
        <v>153</v>
      </c>
      <c r="AF202" s="8" t="s">
        <v>153</v>
      </c>
      <c r="AG202" s="8" t="s">
        <v>292</v>
      </c>
      <c r="AH202" s="51">
        <v>38327</v>
      </c>
      <c r="AI202" s="28">
        <v>21</v>
      </c>
      <c r="AJ202" s="51" t="s">
        <v>1853</v>
      </c>
    </row>
    <row r="203" spans="1:36" ht="12.65" customHeight="1" x14ac:dyDescent="0.35">
      <c r="A203" s="8" t="s">
        <v>139</v>
      </c>
      <c r="B203" s="8" t="s">
        <v>136</v>
      </c>
      <c r="C203" s="8" t="s">
        <v>135</v>
      </c>
      <c r="D203" s="33" t="s">
        <v>1825</v>
      </c>
      <c r="E203" s="14" t="s">
        <v>1824</v>
      </c>
      <c r="F203" s="14" t="s">
        <v>57</v>
      </c>
      <c r="G203" s="14" t="s">
        <v>1</v>
      </c>
      <c r="H203" s="14" t="s">
        <v>9</v>
      </c>
      <c r="I203" s="34" t="s">
        <v>570</v>
      </c>
      <c r="J203" s="8" t="s">
        <v>117</v>
      </c>
      <c r="K203" s="69" t="s">
        <v>571</v>
      </c>
      <c r="L203" s="8" t="s">
        <v>75</v>
      </c>
      <c r="M203" s="8" t="s">
        <v>107</v>
      </c>
      <c r="N203" s="8" t="s">
        <v>306</v>
      </c>
      <c r="O203" s="8" t="s">
        <v>11</v>
      </c>
      <c r="P203" s="8" t="s">
        <v>274</v>
      </c>
      <c r="Q203" s="8" t="s">
        <v>275</v>
      </c>
      <c r="R203" s="8" t="s">
        <v>1628</v>
      </c>
      <c r="S203" s="8" t="s">
        <v>247</v>
      </c>
      <c r="T203" s="8" t="s">
        <v>202</v>
      </c>
      <c r="U203" s="8" t="s">
        <v>189</v>
      </c>
      <c r="V203" s="8">
        <v>1</v>
      </c>
      <c r="W203" s="18">
        <v>1</v>
      </c>
      <c r="X203" s="51">
        <v>46237</v>
      </c>
      <c r="Y203" s="51">
        <v>46237</v>
      </c>
      <c r="Z203" s="28">
        <v>2</v>
      </c>
      <c r="AA203" s="16" t="s">
        <v>1698</v>
      </c>
      <c r="AB203" s="8" t="s">
        <v>293</v>
      </c>
      <c r="AC203" s="8" t="s">
        <v>293</v>
      </c>
      <c r="AD203" s="51" t="s">
        <v>137</v>
      </c>
      <c r="AE203" s="19" t="s">
        <v>153</v>
      </c>
      <c r="AF203" s="51" t="s">
        <v>153</v>
      </c>
      <c r="AG203" s="8" t="s">
        <v>292</v>
      </c>
      <c r="AH203" s="51">
        <v>27353</v>
      </c>
      <c r="AI203" s="28">
        <v>51</v>
      </c>
      <c r="AJ203" s="51" t="s">
        <v>1852</v>
      </c>
    </row>
    <row r="204" spans="1:36" ht="12.65" customHeight="1" x14ac:dyDescent="0.35">
      <c r="A204" s="8" t="s">
        <v>139</v>
      </c>
      <c r="B204" s="8" t="s">
        <v>136</v>
      </c>
      <c r="C204" s="8" t="s">
        <v>135</v>
      </c>
      <c r="D204" s="33" t="s">
        <v>1201</v>
      </c>
      <c r="E204" s="14" t="s">
        <v>1202</v>
      </c>
      <c r="F204" s="14" t="s">
        <v>57</v>
      </c>
      <c r="G204" s="14" t="s">
        <v>1</v>
      </c>
      <c r="H204" s="14" t="s">
        <v>9</v>
      </c>
      <c r="I204" s="34" t="s">
        <v>630</v>
      </c>
      <c r="J204" s="8" t="s">
        <v>631</v>
      </c>
      <c r="K204" s="69" t="s">
        <v>632</v>
      </c>
      <c r="L204" s="8" t="s">
        <v>299</v>
      </c>
      <c r="M204" s="8" t="s">
        <v>299</v>
      </c>
      <c r="N204" s="8" t="s">
        <v>306</v>
      </c>
      <c r="O204" s="8" t="s">
        <v>148</v>
      </c>
      <c r="P204" s="8" t="s">
        <v>279</v>
      </c>
      <c r="Q204" s="8" t="s">
        <v>279</v>
      </c>
      <c r="R204" s="8" t="s">
        <v>225</v>
      </c>
      <c r="S204" s="8" t="s">
        <v>241</v>
      </c>
      <c r="T204" s="8" t="s">
        <v>166</v>
      </c>
      <c r="U204" s="14" t="s">
        <v>194</v>
      </c>
      <c r="V204" s="8">
        <v>1</v>
      </c>
      <c r="W204" s="18">
        <v>1</v>
      </c>
      <c r="X204" s="51">
        <v>45707</v>
      </c>
      <c r="Y204" s="51">
        <v>45707</v>
      </c>
      <c r="Z204" s="28">
        <v>19</v>
      </c>
      <c r="AA204" s="16" t="s">
        <v>1700</v>
      </c>
      <c r="AB204" s="8" t="s">
        <v>291</v>
      </c>
      <c r="AC204" s="8" t="s">
        <v>291</v>
      </c>
      <c r="AD204" s="8" t="s">
        <v>137</v>
      </c>
      <c r="AE204" s="8">
        <v>3102632654</v>
      </c>
      <c r="AF204" s="8" t="s">
        <v>276</v>
      </c>
      <c r="AG204" s="8" t="s">
        <v>292</v>
      </c>
      <c r="AH204" s="51">
        <v>31972</v>
      </c>
      <c r="AI204" s="28">
        <v>39</v>
      </c>
      <c r="AJ204" s="51" t="s">
        <v>1853</v>
      </c>
    </row>
    <row r="205" spans="1:36" ht="12.65" customHeight="1" x14ac:dyDescent="0.35">
      <c r="A205" s="8" t="s">
        <v>139</v>
      </c>
      <c r="B205" s="8" t="s">
        <v>136</v>
      </c>
      <c r="C205" s="8" t="s">
        <v>418</v>
      </c>
      <c r="D205" s="34" t="s">
        <v>1203</v>
      </c>
      <c r="E205" s="14" t="s">
        <v>1204</v>
      </c>
      <c r="F205" s="14" t="s">
        <v>57</v>
      </c>
      <c r="G205" s="14" t="s">
        <v>1</v>
      </c>
      <c r="H205" s="14" t="s">
        <v>9</v>
      </c>
      <c r="I205" s="34" t="s">
        <v>528</v>
      </c>
      <c r="J205" s="8" t="s">
        <v>529</v>
      </c>
      <c r="K205" s="69" t="s">
        <v>530</v>
      </c>
      <c r="L205" s="8" t="s">
        <v>299</v>
      </c>
      <c r="M205" s="8" t="s">
        <v>299</v>
      </c>
      <c r="N205" s="8" t="s">
        <v>306</v>
      </c>
      <c r="O205" s="8" t="s">
        <v>508</v>
      </c>
      <c r="P205" s="8" t="s">
        <v>509</v>
      </c>
      <c r="Q205" s="8" t="s">
        <v>543</v>
      </c>
      <c r="R205" s="8" t="s">
        <v>222</v>
      </c>
      <c r="S205" s="8" t="s">
        <v>237</v>
      </c>
      <c r="T205" s="8" t="s">
        <v>244</v>
      </c>
      <c r="U205" s="14" t="s">
        <v>194</v>
      </c>
      <c r="V205" s="8">
        <v>1</v>
      </c>
      <c r="W205" s="18">
        <v>1</v>
      </c>
      <c r="X205" s="51">
        <v>46157</v>
      </c>
      <c r="Y205" s="51">
        <v>46157</v>
      </c>
      <c r="Z205" s="28">
        <v>5</v>
      </c>
      <c r="AA205" s="16" t="s">
        <v>1699</v>
      </c>
      <c r="AB205" s="8" t="s">
        <v>294</v>
      </c>
      <c r="AC205" s="8" t="s">
        <v>294</v>
      </c>
      <c r="AD205" s="8" t="s">
        <v>137</v>
      </c>
      <c r="AE205" s="8" t="s">
        <v>153</v>
      </c>
      <c r="AF205" s="8" t="s">
        <v>153</v>
      </c>
      <c r="AG205" s="8" t="s">
        <v>292</v>
      </c>
      <c r="AH205" s="51">
        <v>29975</v>
      </c>
      <c r="AI205" s="28">
        <v>44</v>
      </c>
      <c r="AJ205" s="51" t="s">
        <v>1853</v>
      </c>
    </row>
    <row r="206" spans="1:36" ht="12.65" customHeight="1" x14ac:dyDescent="0.35">
      <c r="A206" s="8" t="s">
        <v>139</v>
      </c>
      <c r="B206" s="8" t="s">
        <v>136</v>
      </c>
      <c r="C206" s="8" t="s">
        <v>135</v>
      </c>
      <c r="D206" s="33" t="s">
        <v>1205</v>
      </c>
      <c r="E206" s="14" t="s">
        <v>1206</v>
      </c>
      <c r="F206" s="14" t="s">
        <v>57</v>
      </c>
      <c r="G206" s="14" t="s">
        <v>1</v>
      </c>
      <c r="H206" s="14" t="s">
        <v>9</v>
      </c>
      <c r="I206" s="34" t="s">
        <v>338</v>
      </c>
      <c r="J206" s="8" t="s">
        <v>99</v>
      </c>
      <c r="K206" s="69" t="s">
        <v>339</v>
      </c>
      <c r="L206" s="8" t="s">
        <v>75</v>
      </c>
      <c r="M206" s="8" t="s">
        <v>75</v>
      </c>
      <c r="N206" s="8" t="s">
        <v>306</v>
      </c>
      <c r="O206" s="8" t="s">
        <v>151</v>
      </c>
      <c r="P206" s="8" t="s">
        <v>289</v>
      </c>
      <c r="Q206" s="8" t="s">
        <v>331</v>
      </c>
      <c r="R206" s="8" t="s">
        <v>222</v>
      </c>
      <c r="S206" s="8" t="s">
        <v>237</v>
      </c>
      <c r="T206" s="8" t="s">
        <v>56</v>
      </c>
      <c r="U206" s="8" t="s">
        <v>189</v>
      </c>
      <c r="V206" s="8">
        <v>1</v>
      </c>
      <c r="W206" s="18">
        <v>1</v>
      </c>
      <c r="X206" s="53">
        <v>45985</v>
      </c>
      <c r="Y206" s="53">
        <v>45985</v>
      </c>
      <c r="Z206" s="28">
        <v>10</v>
      </c>
      <c r="AA206" s="16" t="s">
        <v>1711</v>
      </c>
      <c r="AB206" s="8" t="s">
        <v>291</v>
      </c>
      <c r="AC206" s="8" t="s">
        <v>291</v>
      </c>
      <c r="AD206" s="14" t="s">
        <v>137</v>
      </c>
      <c r="AE206" s="8">
        <v>3102679169</v>
      </c>
      <c r="AF206" s="8" t="s">
        <v>276</v>
      </c>
      <c r="AG206" s="8" t="s">
        <v>292</v>
      </c>
      <c r="AH206" s="51">
        <v>34982</v>
      </c>
      <c r="AI206" s="28">
        <v>31</v>
      </c>
      <c r="AJ206" s="51" t="s">
        <v>1853</v>
      </c>
    </row>
    <row r="207" spans="1:36" ht="12.65" customHeight="1" x14ac:dyDescent="0.35">
      <c r="A207" s="8" t="s">
        <v>139</v>
      </c>
      <c r="B207" s="8" t="s">
        <v>1243</v>
      </c>
      <c r="C207" s="8" t="s">
        <v>135</v>
      </c>
      <c r="D207" s="34" t="s">
        <v>1207</v>
      </c>
      <c r="E207" s="14" t="s">
        <v>1208</v>
      </c>
      <c r="F207" s="14" t="s">
        <v>57</v>
      </c>
      <c r="G207" s="14" t="s">
        <v>1</v>
      </c>
      <c r="H207" s="14" t="s">
        <v>9</v>
      </c>
      <c r="I207" s="34" t="s">
        <v>338</v>
      </c>
      <c r="J207" s="8" t="s">
        <v>99</v>
      </c>
      <c r="K207" s="69" t="s">
        <v>339</v>
      </c>
      <c r="L207" s="8" t="s">
        <v>75</v>
      </c>
      <c r="M207" s="8" t="s">
        <v>75</v>
      </c>
      <c r="N207" s="8" t="s">
        <v>306</v>
      </c>
      <c r="O207" s="8" t="s">
        <v>151</v>
      </c>
      <c r="P207" s="8" t="s">
        <v>289</v>
      </c>
      <c r="Q207" s="8" t="s">
        <v>331</v>
      </c>
      <c r="R207" s="8" t="s">
        <v>222</v>
      </c>
      <c r="S207" s="8" t="s">
        <v>237</v>
      </c>
      <c r="T207" s="8" t="s">
        <v>56</v>
      </c>
      <c r="U207" s="8" t="s">
        <v>189</v>
      </c>
      <c r="V207" s="8">
        <v>1</v>
      </c>
      <c r="W207" s="18">
        <v>1</v>
      </c>
      <c r="X207" s="51">
        <v>45659</v>
      </c>
      <c r="Y207" s="51">
        <v>44868</v>
      </c>
      <c r="Z207" s="28">
        <v>47</v>
      </c>
      <c r="AA207" s="16" t="s">
        <v>1701</v>
      </c>
      <c r="AB207" s="8" t="s">
        <v>291</v>
      </c>
      <c r="AC207" s="8" t="s">
        <v>291</v>
      </c>
      <c r="AD207" s="8" t="s">
        <v>134</v>
      </c>
      <c r="AE207" s="8">
        <v>3102634529</v>
      </c>
      <c r="AF207" s="8" t="s">
        <v>276</v>
      </c>
      <c r="AG207" s="8" t="s">
        <v>292</v>
      </c>
      <c r="AH207" s="51">
        <v>31316</v>
      </c>
      <c r="AI207" s="28">
        <v>41</v>
      </c>
      <c r="AJ207" s="51" t="s">
        <v>1853</v>
      </c>
    </row>
    <row r="208" spans="1:36" ht="12.65" customHeight="1" x14ac:dyDescent="0.35">
      <c r="A208" s="8" t="s">
        <v>139</v>
      </c>
      <c r="B208" s="8" t="s">
        <v>136</v>
      </c>
      <c r="C208" s="8" t="s">
        <v>135</v>
      </c>
      <c r="D208" s="33" t="s">
        <v>1211</v>
      </c>
      <c r="E208" s="14" t="s">
        <v>1212</v>
      </c>
      <c r="F208" s="14" t="s">
        <v>57</v>
      </c>
      <c r="G208" s="14" t="s">
        <v>1</v>
      </c>
      <c r="H208" s="14" t="s">
        <v>9</v>
      </c>
      <c r="I208" s="34" t="s">
        <v>368</v>
      </c>
      <c r="J208" s="8" t="s">
        <v>102</v>
      </c>
      <c r="K208" s="69" t="s">
        <v>369</v>
      </c>
      <c r="L208" s="8" t="s">
        <v>75</v>
      </c>
      <c r="M208" s="8" t="s">
        <v>75</v>
      </c>
      <c r="N208" s="8" t="s">
        <v>306</v>
      </c>
      <c r="O208" s="8" t="s">
        <v>29</v>
      </c>
      <c r="P208" s="8" t="s">
        <v>277</v>
      </c>
      <c r="Q208" s="8" t="s">
        <v>278</v>
      </c>
      <c r="R208" s="8" t="s">
        <v>231</v>
      </c>
      <c r="S208" s="8" t="s">
        <v>247</v>
      </c>
      <c r="T208" s="8" t="s">
        <v>211</v>
      </c>
      <c r="U208" s="8" t="s">
        <v>189</v>
      </c>
      <c r="V208" s="8">
        <v>1</v>
      </c>
      <c r="W208" s="18">
        <v>1</v>
      </c>
      <c r="X208" s="51">
        <v>45775</v>
      </c>
      <c r="Y208" s="51">
        <v>45775</v>
      </c>
      <c r="Z208" s="28">
        <v>17</v>
      </c>
      <c r="AA208" s="16" t="s">
        <v>1700</v>
      </c>
      <c r="AB208" s="8" t="s">
        <v>291</v>
      </c>
      <c r="AC208" s="8" t="s">
        <v>291</v>
      </c>
      <c r="AD208" s="8" t="s">
        <v>137</v>
      </c>
      <c r="AE208" s="8">
        <v>3102607875</v>
      </c>
      <c r="AF208" s="8" t="s">
        <v>276</v>
      </c>
      <c r="AG208" s="8" t="s">
        <v>292</v>
      </c>
      <c r="AH208" s="51">
        <v>33797</v>
      </c>
      <c r="AI208" s="28">
        <v>34</v>
      </c>
      <c r="AJ208" s="51" t="s">
        <v>1853</v>
      </c>
    </row>
    <row r="209" spans="1:36" ht="12.65" customHeight="1" x14ac:dyDescent="0.35">
      <c r="A209" s="8" t="s">
        <v>139</v>
      </c>
      <c r="B209" s="8" t="s">
        <v>136</v>
      </c>
      <c r="C209" s="8" t="s">
        <v>135</v>
      </c>
      <c r="D209" s="35" t="s">
        <v>1213</v>
      </c>
      <c r="E209" s="14" t="s">
        <v>1214</v>
      </c>
      <c r="F209" s="14" t="s">
        <v>57</v>
      </c>
      <c r="G209" s="14" t="s">
        <v>1</v>
      </c>
      <c r="H209" s="14" t="s">
        <v>9</v>
      </c>
      <c r="I209" s="34" t="s">
        <v>756</v>
      </c>
      <c r="J209" s="8" t="s">
        <v>1215</v>
      </c>
      <c r="K209" s="69" t="s">
        <v>757</v>
      </c>
      <c r="L209" s="8" t="s">
        <v>871</v>
      </c>
      <c r="M209" s="8" t="s">
        <v>872</v>
      </c>
      <c r="N209" s="8" t="s">
        <v>393</v>
      </c>
      <c r="O209" s="8" t="s">
        <v>21</v>
      </c>
      <c r="P209" s="8" t="s">
        <v>274</v>
      </c>
      <c r="Q209" s="8" t="s">
        <v>275</v>
      </c>
      <c r="R209" s="8" t="s">
        <v>231</v>
      </c>
      <c r="S209" s="8" t="s">
        <v>247</v>
      </c>
      <c r="T209" s="14" t="s">
        <v>1666</v>
      </c>
      <c r="U209" s="8" t="s">
        <v>54</v>
      </c>
      <c r="V209" s="8">
        <v>1</v>
      </c>
      <c r="W209" s="18">
        <v>1</v>
      </c>
      <c r="X209" s="51">
        <v>45952</v>
      </c>
      <c r="Y209" s="51">
        <v>45952</v>
      </c>
      <c r="Z209" s="28">
        <v>11</v>
      </c>
      <c r="AA209" s="16" t="s">
        <v>1711</v>
      </c>
      <c r="AB209" s="8" t="s">
        <v>307</v>
      </c>
      <c r="AC209" s="8" t="s">
        <v>307</v>
      </c>
      <c r="AD209" s="19" t="s">
        <v>137</v>
      </c>
      <c r="AE209" s="8" t="s">
        <v>153</v>
      </c>
      <c r="AF209" s="8" t="s">
        <v>153</v>
      </c>
      <c r="AG209" s="8" t="s">
        <v>295</v>
      </c>
      <c r="AH209" s="51">
        <v>35352</v>
      </c>
      <c r="AI209" s="28">
        <v>30</v>
      </c>
      <c r="AJ209" s="51" t="s">
        <v>1853</v>
      </c>
    </row>
    <row r="210" spans="1:36" ht="12.65" customHeight="1" x14ac:dyDescent="0.35">
      <c r="A210" s="8" t="s">
        <v>139</v>
      </c>
      <c r="B210" s="8" t="s">
        <v>136</v>
      </c>
      <c r="C210" s="8" t="s">
        <v>135</v>
      </c>
      <c r="D210" s="34" t="s">
        <v>1216</v>
      </c>
      <c r="E210" s="14" t="s">
        <v>1217</v>
      </c>
      <c r="F210" s="14" t="s">
        <v>57</v>
      </c>
      <c r="G210" s="14" t="s">
        <v>1</v>
      </c>
      <c r="H210" s="14" t="s">
        <v>9</v>
      </c>
      <c r="I210" s="34" t="s">
        <v>727</v>
      </c>
      <c r="J210" s="8" t="s">
        <v>32</v>
      </c>
      <c r="K210" s="69" t="s">
        <v>728</v>
      </c>
      <c r="L210" s="8" t="s">
        <v>299</v>
      </c>
      <c r="M210" s="8" t="s">
        <v>299</v>
      </c>
      <c r="N210" s="8" t="s">
        <v>306</v>
      </c>
      <c r="O210" s="8" t="s">
        <v>11</v>
      </c>
      <c r="P210" s="8" t="s">
        <v>274</v>
      </c>
      <c r="Q210" s="8" t="s">
        <v>275</v>
      </c>
      <c r="R210" s="8" t="s">
        <v>231</v>
      </c>
      <c r="S210" s="8" t="s">
        <v>247</v>
      </c>
      <c r="T210" s="8" t="s">
        <v>208</v>
      </c>
      <c r="U210" s="8" t="s">
        <v>194</v>
      </c>
      <c r="V210" s="8">
        <v>1</v>
      </c>
      <c r="W210" s="18">
        <v>1</v>
      </c>
      <c r="X210" s="16">
        <v>45659</v>
      </c>
      <c r="Y210" s="16">
        <v>44707</v>
      </c>
      <c r="Z210" s="28">
        <v>52</v>
      </c>
      <c r="AA210" s="16" t="s">
        <v>1701</v>
      </c>
      <c r="AB210" s="8" t="s">
        <v>291</v>
      </c>
      <c r="AC210" s="8" t="s">
        <v>291</v>
      </c>
      <c r="AD210" s="8" t="s">
        <v>134</v>
      </c>
      <c r="AE210" s="8">
        <v>3102665780</v>
      </c>
      <c r="AF210" s="8" t="s">
        <v>276</v>
      </c>
      <c r="AG210" s="8" t="s">
        <v>292</v>
      </c>
      <c r="AH210" s="51">
        <v>34354</v>
      </c>
      <c r="AI210" s="28">
        <v>32</v>
      </c>
      <c r="AJ210" s="51" t="s">
        <v>1852</v>
      </c>
    </row>
    <row r="211" spans="1:36" ht="12.65" customHeight="1" x14ac:dyDescent="0.35">
      <c r="A211" s="8" t="s">
        <v>139</v>
      </c>
      <c r="B211" s="8" t="s">
        <v>1243</v>
      </c>
      <c r="C211" s="8" t="s">
        <v>135</v>
      </c>
      <c r="D211" s="35" t="s">
        <v>1218</v>
      </c>
      <c r="E211" s="14" t="s">
        <v>1219</v>
      </c>
      <c r="F211" s="14" t="s">
        <v>57</v>
      </c>
      <c r="G211" s="14" t="s">
        <v>1</v>
      </c>
      <c r="H211" s="14" t="s">
        <v>9</v>
      </c>
      <c r="I211" s="34" t="s">
        <v>349</v>
      </c>
      <c r="J211" s="8" t="s">
        <v>116</v>
      </c>
      <c r="K211" s="69" t="s">
        <v>350</v>
      </c>
      <c r="L211" s="8" t="s">
        <v>75</v>
      </c>
      <c r="M211" s="8" t="s">
        <v>107</v>
      </c>
      <c r="N211" s="8" t="s">
        <v>306</v>
      </c>
      <c r="O211" s="8" t="s">
        <v>351</v>
      </c>
      <c r="P211" s="8" t="s">
        <v>274</v>
      </c>
      <c r="Q211" s="8" t="s">
        <v>275</v>
      </c>
      <c r="R211" s="8" t="s">
        <v>1628</v>
      </c>
      <c r="S211" s="8" t="s">
        <v>247</v>
      </c>
      <c r="T211" s="8" t="s">
        <v>202</v>
      </c>
      <c r="U211" s="8" t="s">
        <v>189</v>
      </c>
      <c r="V211" s="8">
        <v>1</v>
      </c>
      <c r="W211" s="18">
        <v>1</v>
      </c>
      <c r="X211" s="51">
        <v>45659</v>
      </c>
      <c r="Y211" s="51">
        <v>44147</v>
      </c>
      <c r="Z211" s="28">
        <v>71</v>
      </c>
      <c r="AA211" s="16" t="s">
        <v>1701</v>
      </c>
      <c r="AB211" s="8" t="s">
        <v>293</v>
      </c>
      <c r="AC211" s="8" t="s">
        <v>291</v>
      </c>
      <c r="AD211" s="8" t="s">
        <v>134</v>
      </c>
      <c r="AE211" s="8">
        <v>3102626810</v>
      </c>
      <c r="AF211" s="8" t="s">
        <v>276</v>
      </c>
      <c r="AG211" s="8" t="s">
        <v>292</v>
      </c>
      <c r="AH211" s="51">
        <v>30814</v>
      </c>
      <c r="AI211" s="28">
        <v>42</v>
      </c>
      <c r="AJ211" s="51" t="s">
        <v>1853</v>
      </c>
    </row>
    <row r="212" spans="1:36" ht="12.65" customHeight="1" x14ac:dyDescent="0.35">
      <c r="A212" s="8" t="s">
        <v>139</v>
      </c>
      <c r="B212" s="8" t="s">
        <v>136</v>
      </c>
      <c r="C212" s="8" t="s">
        <v>135</v>
      </c>
      <c r="D212" s="34" t="s">
        <v>1220</v>
      </c>
      <c r="E212" s="14" t="s">
        <v>1221</v>
      </c>
      <c r="F212" s="14" t="s">
        <v>57</v>
      </c>
      <c r="G212" s="14" t="s">
        <v>1</v>
      </c>
      <c r="H212" s="14" t="s">
        <v>9</v>
      </c>
      <c r="I212" s="34" t="s">
        <v>522</v>
      </c>
      <c r="J212" s="8" t="s">
        <v>1128</v>
      </c>
      <c r="K212" s="69" t="s">
        <v>523</v>
      </c>
      <c r="L212" s="8" t="s">
        <v>410</v>
      </c>
      <c r="M212" s="8" t="s">
        <v>410</v>
      </c>
      <c r="N212" s="8" t="s">
        <v>306</v>
      </c>
      <c r="O212" s="8" t="s">
        <v>13</v>
      </c>
      <c r="P212" s="8" t="s">
        <v>285</v>
      </c>
      <c r="Q212" s="8" t="s">
        <v>285</v>
      </c>
      <c r="R212" s="8" t="s">
        <v>225</v>
      </c>
      <c r="S212" s="8" t="s">
        <v>237</v>
      </c>
      <c r="T212" s="8" t="s">
        <v>216</v>
      </c>
      <c r="U212" s="8" t="s">
        <v>54</v>
      </c>
      <c r="V212" s="8">
        <v>1</v>
      </c>
      <c r="W212" s="18">
        <v>1</v>
      </c>
      <c r="X212" s="51">
        <v>45986</v>
      </c>
      <c r="Y212" s="51">
        <v>45986</v>
      </c>
      <c r="Z212" s="28">
        <v>10</v>
      </c>
      <c r="AA212" s="16" t="s">
        <v>1711</v>
      </c>
      <c r="AB212" s="8" t="s">
        <v>291</v>
      </c>
      <c r="AC212" s="8" t="s">
        <v>291</v>
      </c>
      <c r="AD212" s="8" t="s">
        <v>137</v>
      </c>
      <c r="AE212" s="8">
        <v>3102639196</v>
      </c>
      <c r="AF212" s="8" t="s">
        <v>276</v>
      </c>
      <c r="AG212" s="8" t="s">
        <v>292</v>
      </c>
      <c r="AH212" s="51">
        <v>35679</v>
      </c>
      <c r="AI212" s="28">
        <v>29</v>
      </c>
      <c r="AJ212" s="51" t="s">
        <v>1853</v>
      </c>
    </row>
    <row r="213" spans="1:36" ht="12.65" customHeight="1" x14ac:dyDescent="0.35">
      <c r="A213" s="8" t="s">
        <v>139</v>
      </c>
      <c r="B213" s="8" t="s">
        <v>136</v>
      </c>
      <c r="C213" s="8" t="s">
        <v>418</v>
      </c>
      <c r="D213" s="35" t="s">
        <v>1803</v>
      </c>
      <c r="E213" s="8" t="s">
        <v>1804</v>
      </c>
      <c r="F213" s="14" t="s">
        <v>57</v>
      </c>
      <c r="G213" s="14" t="s">
        <v>1</v>
      </c>
      <c r="H213" s="14" t="s">
        <v>9</v>
      </c>
      <c r="I213" s="34" t="s">
        <v>789</v>
      </c>
      <c r="J213" s="8" t="s">
        <v>790</v>
      </c>
      <c r="K213" s="69" t="s">
        <v>791</v>
      </c>
      <c r="L213" s="8" t="s">
        <v>299</v>
      </c>
      <c r="M213" s="8" t="s">
        <v>299</v>
      </c>
      <c r="N213" s="8" t="s">
        <v>306</v>
      </c>
      <c r="O213" s="8" t="s">
        <v>15</v>
      </c>
      <c r="P213" s="8" t="s">
        <v>288</v>
      </c>
      <c r="Q213" s="8" t="s">
        <v>326</v>
      </c>
      <c r="R213" s="8" t="s">
        <v>234</v>
      </c>
      <c r="S213" s="8" t="s">
        <v>241</v>
      </c>
      <c r="T213" s="8" t="s">
        <v>169</v>
      </c>
      <c r="U213" s="8" t="s">
        <v>194</v>
      </c>
      <c r="V213" s="8">
        <v>1</v>
      </c>
      <c r="W213" s="18">
        <v>1</v>
      </c>
      <c r="X213" s="51">
        <v>46224</v>
      </c>
      <c r="Y213" s="51">
        <v>46224</v>
      </c>
      <c r="Z213" s="28">
        <v>2</v>
      </c>
      <c r="AA213" s="16" t="s">
        <v>1698</v>
      </c>
      <c r="AB213" s="8" t="s">
        <v>294</v>
      </c>
      <c r="AC213" s="8" t="s">
        <v>294</v>
      </c>
      <c r="AD213" s="19" t="s">
        <v>137</v>
      </c>
      <c r="AE213" s="19" t="s">
        <v>153</v>
      </c>
      <c r="AF213" s="19" t="s">
        <v>153</v>
      </c>
      <c r="AG213" s="8" t="s">
        <v>292</v>
      </c>
      <c r="AH213" s="51">
        <v>30232</v>
      </c>
      <c r="AI213" s="28">
        <v>44</v>
      </c>
      <c r="AJ213" s="51" t="s">
        <v>1853</v>
      </c>
    </row>
    <row r="214" spans="1:36" ht="12.65" customHeight="1" x14ac:dyDescent="0.35">
      <c r="A214" s="8" t="s">
        <v>139</v>
      </c>
      <c r="B214" s="8" t="s">
        <v>136</v>
      </c>
      <c r="C214" s="8" t="s">
        <v>135</v>
      </c>
      <c r="D214" s="34" t="s">
        <v>1222</v>
      </c>
      <c r="E214" s="14" t="s">
        <v>1223</v>
      </c>
      <c r="F214" s="14" t="s">
        <v>57</v>
      </c>
      <c r="G214" s="14" t="s">
        <v>1</v>
      </c>
      <c r="H214" s="14" t="s">
        <v>9</v>
      </c>
      <c r="I214" s="34" t="s">
        <v>360</v>
      </c>
      <c r="J214" s="8" t="s">
        <v>115</v>
      </c>
      <c r="K214" s="69" t="s">
        <v>361</v>
      </c>
      <c r="L214" s="8" t="s">
        <v>75</v>
      </c>
      <c r="M214" s="8" t="s">
        <v>107</v>
      </c>
      <c r="N214" s="8" t="s">
        <v>306</v>
      </c>
      <c r="O214" s="8" t="s">
        <v>362</v>
      </c>
      <c r="P214" s="8" t="s">
        <v>363</v>
      </c>
      <c r="Q214" s="8" t="s">
        <v>331</v>
      </c>
      <c r="R214" s="8" t="s">
        <v>222</v>
      </c>
      <c r="S214" s="8" t="s">
        <v>237</v>
      </c>
      <c r="T214" s="8" t="s">
        <v>56</v>
      </c>
      <c r="U214" s="8" t="s">
        <v>189</v>
      </c>
      <c r="V214" s="8">
        <v>1</v>
      </c>
      <c r="W214" s="18">
        <v>1</v>
      </c>
      <c r="X214" s="51">
        <v>45797</v>
      </c>
      <c r="Y214" s="51">
        <v>45797</v>
      </c>
      <c r="Z214" s="28">
        <v>16</v>
      </c>
      <c r="AA214" s="16" t="s">
        <v>1700</v>
      </c>
      <c r="AB214" s="8" t="s">
        <v>293</v>
      </c>
      <c r="AC214" s="8" t="s">
        <v>291</v>
      </c>
      <c r="AD214" s="8" t="s">
        <v>137</v>
      </c>
      <c r="AE214" s="8">
        <v>3102652460</v>
      </c>
      <c r="AF214" s="8" t="s">
        <v>276</v>
      </c>
      <c r="AG214" s="8" t="s">
        <v>292</v>
      </c>
      <c r="AH214" s="51">
        <v>33710</v>
      </c>
      <c r="AI214" s="28">
        <v>34</v>
      </c>
      <c r="AJ214" s="51" t="s">
        <v>1853</v>
      </c>
    </row>
    <row r="215" spans="1:36" ht="12.65" customHeight="1" x14ac:dyDescent="0.35">
      <c r="A215" s="8" t="s">
        <v>139</v>
      </c>
      <c r="B215" s="8" t="s">
        <v>136</v>
      </c>
      <c r="C215" s="8" t="s">
        <v>135</v>
      </c>
      <c r="D215" s="33" t="s">
        <v>1347</v>
      </c>
      <c r="E215" s="14" t="s">
        <v>1348</v>
      </c>
      <c r="F215" s="14" t="s">
        <v>57</v>
      </c>
      <c r="G215" s="14" t="s">
        <v>1</v>
      </c>
      <c r="H215" s="14" t="s">
        <v>9</v>
      </c>
      <c r="I215" s="34" t="s">
        <v>700</v>
      </c>
      <c r="J215" s="8" t="s">
        <v>1224</v>
      </c>
      <c r="K215" s="69" t="s">
        <v>701</v>
      </c>
      <c r="L215" s="8" t="s">
        <v>410</v>
      </c>
      <c r="M215" s="8" t="s">
        <v>410</v>
      </c>
      <c r="N215" s="8" t="s">
        <v>306</v>
      </c>
      <c r="O215" s="8" t="s">
        <v>15</v>
      </c>
      <c r="P215" s="8" t="s">
        <v>288</v>
      </c>
      <c r="Q215" s="8" t="s">
        <v>326</v>
      </c>
      <c r="R215" s="8" t="s">
        <v>234</v>
      </c>
      <c r="S215" s="8" t="s">
        <v>241</v>
      </c>
      <c r="T215" s="8" t="s">
        <v>169</v>
      </c>
      <c r="U215" s="14" t="s">
        <v>54</v>
      </c>
      <c r="V215" s="8">
        <v>1</v>
      </c>
      <c r="W215" s="18">
        <v>1</v>
      </c>
      <c r="X215" s="53">
        <v>45659</v>
      </c>
      <c r="Y215" s="53">
        <v>45470</v>
      </c>
      <c r="Z215" s="28">
        <v>27</v>
      </c>
      <c r="AA215" s="16" t="s">
        <v>1701</v>
      </c>
      <c r="AB215" s="8" t="s">
        <v>294</v>
      </c>
      <c r="AC215" s="8" t="s">
        <v>395</v>
      </c>
      <c r="AD215" s="14" t="s">
        <v>134</v>
      </c>
      <c r="AE215" s="14">
        <v>3102610976</v>
      </c>
      <c r="AF215" s="14" t="s">
        <v>276</v>
      </c>
      <c r="AG215" s="8" t="s">
        <v>292</v>
      </c>
      <c r="AH215" s="51">
        <v>31579</v>
      </c>
      <c r="AI215" s="28">
        <v>40</v>
      </c>
      <c r="AJ215" s="51" t="s">
        <v>1853</v>
      </c>
    </row>
    <row r="216" spans="1:36" ht="12.65" customHeight="1" x14ac:dyDescent="0.35">
      <c r="A216" s="8" t="s">
        <v>139</v>
      </c>
      <c r="B216" s="8" t="s">
        <v>136</v>
      </c>
      <c r="C216" s="8" t="s">
        <v>135</v>
      </c>
      <c r="D216" s="34" t="s">
        <v>1225</v>
      </c>
      <c r="E216" s="14" t="s">
        <v>1226</v>
      </c>
      <c r="F216" s="14" t="s">
        <v>57</v>
      </c>
      <c r="G216" s="14" t="s">
        <v>1</v>
      </c>
      <c r="H216" s="14" t="s">
        <v>9</v>
      </c>
      <c r="I216" s="34" t="s">
        <v>667</v>
      </c>
      <c r="J216" s="8" t="s">
        <v>668</v>
      </c>
      <c r="K216" s="69" t="s">
        <v>669</v>
      </c>
      <c r="L216" s="8" t="s">
        <v>391</v>
      </c>
      <c r="M216" s="8" t="s">
        <v>399</v>
      </c>
      <c r="N216" s="8" t="s">
        <v>393</v>
      </c>
      <c r="O216" s="8" t="s">
        <v>13</v>
      </c>
      <c r="P216" s="8" t="s">
        <v>285</v>
      </c>
      <c r="Q216" s="8" t="s">
        <v>285</v>
      </c>
      <c r="R216" s="8" t="s">
        <v>225</v>
      </c>
      <c r="S216" s="8" t="s">
        <v>237</v>
      </c>
      <c r="T216" s="8" t="s">
        <v>216</v>
      </c>
      <c r="U216" s="8" t="s">
        <v>183</v>
      </c>
      <c r="V216" s="8">
        <v>1</v>
      </c>
      <c r="W216" s="18">
        <v>1</v>
      </c>
      <c r="X216" s="51">
        <v>45659</v>
      </c>
      <c r="Y216" s="51">
        <v>45404</v>
      </c>
      <c r="Z216" s="28">
        <v>29</v>
      </c>
      <c r="AA216" s="16" t="s">
        <v>1701</v>
      </c>
      <c r="AB216" s="8" t="s">
        <v>395</v>
      </c>
      <c r="AC216" s="8" t="s">
        <v>395</v>
      </c>
      <c r="AD216" s="19" t="s">
        <v>134</v>
      </c>
      <c r="AE216" s="19">
        <v>3102706197</v>
      </c>
      <c r="AF216" s="19" t="s">
        <v>276</v>
      </c>
      <c r="AG216" s="8" t="s">
        <v>295</v>
      </c>
      <c r="AH216" s="51">
        <v>37496</v>
      </c>
      <c r="AI216" s="28">
        <v>24</v>
      </c>
      <c r="AJ216" s="51" t="s">
        <v>1853</v>
      </c>
    </row>
    <row r="217" spans="1:36" ht="12.65" customHeight="1" x14ac:dyDescent="0.35">
      <c r="A217" s="8" t="s">
        <v>139</v>
      </c>
      <c r="B217" s="8" t="s">
        <v>136</v>
      </c>
      <c r="C217" s="8" t="s">
        <v>135</v>
      </c>
      <c r="D217" s="33" t="s">
        <v>1227</v>
      </c>
      <c r="E217" s="14" t="s">
        <v>1228</v>
      </c>
      <c r="F217" s="14" t="s">
        <v>57</v>
      </c>
      <c r="G217" s="14" t="s">
        <v>1</v>
      </c>
      <c r="H217" s="14" t="s">
        <v>9</v>
      </c>
      <c r="I217" s="34" t="s">
        <v>474</v>
      </c>
      <c r="J217" s="8" t="s">
        <v>897</v>
      </c>
      <c r="K217" s="69" t="s">
        <v>475</v>
      </c>
      <c r="L217" s="8" t="s">
        <v>299</v>
      </c>
      <c r="M217" s="8" t="s">
        <v>299</v>
      </c>
      <c r="N217" s="8" t="s">
        <v>306</v>
      </c>
      <c r="O217" s="8" t="s">
        <v>11</v>
      </c>
      <c r="P217" s="8" t="s">
        <v>274</v>
      </c>
      <c r="Q217" s="8" t="s">
        <v>275</v>
      </c>
      <c r="R217" s="8" t="s">
        <v>231</v>
      </c>
      <c r="S217" s="8" t="s">
        <v>247</v>
      </c>
      <c r="T217" s="8" t="s">
        <v>208</v>
      </c>
      <c r="U217" s="8" t="s">
        <v>194</v>
      </c>
      <c r="V217" s="8">
        <v>1</v>
      </c>
      <c r="W217" s="18">
        <v>1</v>
      </c>
      <c r="X217" s="22">
        <v>45826</v>
      </c>
      <c r="Y217" s="22">
        <v>45826</v>
      </c>
      <c r="Z217" s="28">
        <v>15</v>
      </c>
      <c r="AA217" s="16" t="s">
        <v>1700</v>
      </c>
      <c r="AB217" s="8" t="s">
        <v>291</v>
      </c>
      <c r="AC217" s="8" t="s">
        <v>291</v>
      </c>
      <c r="AD217" s="14" t="s">
        <v>137</v>
      </c>
      <c r="AE217" s="14" t="s">
        <v>153</v>
      </c>
      <c r="AF217" s="14" t="s">
        <v>153</v>
      </c>
      <c r="AG217" s="8" t="s">
        <v>292</v>
      </c>
      <c r="AH217" s="51">
        <v>36166</v>
      </c>
      <c r="AI217" s="28">
        <v>27</v>
      </c>
      <c r="AJ217" s="51" t="s">
        <v>1853</v>
      </c>
    </row>
    <row r="218" spans="1:36" ht="12.65" customHeight="1" x14ac:dyDescent="0.35">
      <c r="A218" s="8" t="s">
        <v>139</v>
      </c>
      <c r="B218" s="8" t="s">
        <v>136</v>
      </c>
      <c r="C218" s="8" t="s">
        <v>135</v>
      </c>
      <c r="D218" s="34" t="s">
        <v>1229</v>
      </c>
      <c r="E218" s="14" t="s">
        <v>1230</v>
      </c>
      <c r="F218" s="14" t="s">
        <v>57</v>
      </c>
      <c r="G218" s="14" t="s">
        <v>1</v>
      </c>
      <c r="H218" s="14" t="s">
        <v>9</v>
      </c>
      <c r="I218" s="34" t="s">
        <v>623</v>
      </c>
      <c r="J218" s="8" t="s">
        <v>1231</v>
      </c>
      <c r="K218" s="69" t="s">
        <v>624</v>
      </c>
      <c r="L218" s="8" t="s">
        <v>299</v>
      </c>
      <c r="M218" s="8" t="s">
        <v>299</v>
      </c>
      <c r="N218" s="8" t="s">
        <v>306</v>
      </c>
      <c r="O218" s="8" t="s">
        <v>146</v>
      </c>
      <c r="P218" s="8" t="s">
        <v>283</v>
      </c>
      <c r="Q218" s="8" t="s">
        <v>326</v>
      </c>
      <c r="R218" s="8" t="s">
        <v>234</v>
      </c>
      <c r="S218" s="8" t="s">
        <v>241</v>
      </c>
      <c r="T218" s="8" t="s">
        <v>169</v>
      </c>
      <c r="U218" s="8" t="s">
        <v>194</v>
      </c>
      <c r="V218" s="8">
        <v>1</v>
      </c>
      <c r="W218" s="18">
        <v>1</v>
      </c>
      <c r="X218" s="51">
        <v>45659</v>
      </c>
      <c r="Y218" s="51">
        <v>45337</v>
      </c>
      <c r="Z218" s="28">
        <v>32</v>
      </c>
      <c r="AA218" s="16" t="s">
        <v>1701</v>
      </c>
      <c r="AB218" s="8" t="s">
        <v>291</v>
      </c>
      <c r="AC218" s="8" t="s">
        <v>291</v>
      </c>
      <c r="AD218" s="8" t="s">
        <v>134</v>
      </c>
      <c r="AE218" s="8">
        <v>3102681570</v>
      </c>
      <c r="AF218" s="8" t="s">
        <v>276</v>
      </c>
      <c r="AG218" s="8" t="s">
        <v>292</v>
      </c>
      <c r="AH218" s="51">
        <v>32617</v>
      </c>
      <c r="AI218" s="28">
        <v>37</v>
      </c>
      <c r="AJ218" s="51" t="s">
        <v>1853</v>
      </c>
    </row>
    <row r="219" spans="1:36" ht="12.65" customHeight="1" x14ac:dyDescent="0.35">
      <c r="A219" s="8" t="s">
        <v>139</v>
      </c>
      <c r="B219" s="8" t="s">
        <v>136</v>
      </c>
      <c r="C219" s="8" t="s">
        <v>135</v>
      </c>
      <c r="D219" s="33" t="s">
        <v>1368</v>
      </c>
      <c r="E219" s="14" t="s">
        <v>1369</v>
      </c>
      <c r="F219" s="14" t="s">
        <v>57</v>
      </c>
      <c r="G219" s="14" t="s">
        <v>1</v>
      </c>
      <c r="H219" s="14" t="s">
        <v>9</v>
      </c>
      <c r="I219" s="34" t="s">
        <v>366</v>
      </c>
      <c r="J219" s="8" t="s">
        <v>105</v>
      </c>
      <c r="K219" s="69" t="s">
        <v>367</v>
      </c>
      <c r="L219" s="8" t="s">
        <v>75</v>
      </c>
      <c r="M219" s="8" t="s">
        <v>75</v>
      </c>
      <c r="N219" s="8" t="s">
        <v>306</v>
      </c>
      <c r="O219" s="8" t="s">
        <v>11</v>
      </c>
      <c r="P219" s="8" t="s">
        <v>274</v>
      </c>
      <c r="Q219" s="8" t="s">
        <v>275</v>
      </c>
      <c r="R219" s="8" t="s">
        <v>1628</v>
      </c>
      <c r="S219" s="8" t="s">
        <v>247</v>
      </c>
      <c r="T219" s="8" t="s">
        <v>202</v>
      </c>
      <c r="U219" s="8" t="s">
        <v>189</v>
      </c>
      <c r="V219" s="8">
        <v>1</v>
      </c>
      <c r="W219" s="18">
        <v>1</v>
      </c>
      <c r="X219" s="51">
        <v>46121</v>
      </c>
      <c r="Y219" s="51">
        <v>46121</v>
      </c>
      <c r="Z219" s="28">
        <v>6</v>
      </c>
      <c r="AA219" s="16" t="s">
        <v>1710</v>
      </c>
      <c r="AB219" s="8" t="s">
        <v>291</v>
      </c>
      <c r="AC219" s="8" t="s">
        <v>291</v>
      </c>
      <c r="AD219" s="19" t="s">
        <v>137</v>
      </c>
      <c r="AE219" s="19" t="s">
        <v>153</v>
      </c>
      <c r="AF219" s="19" t="s">
        <v>153</v>
      </c>
      <c r="AG219" s="8" t="s">
        <v>292</v>
      </c>
      <c r="AH219" s="51">
        <v>35914</v>
      </c>
      <c r="AI219" s="28">
        <v>28</v>
      </c>
      <c r="AJ219" s="51" t="s">
        <v>1853</v>
      </c>
    </row>
    <row r="220" spans="1:36" ht="12.65" customHeight="1" x14ac:dyDescent="0.35">
      <c r="A220" s="8" t="s">
        <v>139</v>
      </c>
      <c r="B220" s="8" t="s">
        <v>136</v>
      </c>
      <c r="C220" s="8" t="s">
        <v>135</v>
      </c>
      <c r="D220" s="34" t="s">
        <v>1232</v>
      </c>
      <c r="E220" s="14" t="s">
        <v>1233</v>
      </c>
      <c r="F220" s="14" t="s">
        <v>57</v>
      </c>
      <c r="G220" s="14" t="s">
        <v>1</v>
      </c>
      <c r="H220" s="14" t="s">
        <v>9</v>
      </c>
      <c r="I220" s="34" t="s">
        <v>1234</v>
      </c>
      <c r="J220" s="8" t="s">
        <v>1235</v>
      </c>
      <c r="K220" s="69" t="s">
        <v>1236</v>
      </c>
      <c r="L220" s="8" t="s">
        <v>299</v>
      </c>
      <c r="M220" s="8" t="s">
        <v>299</v>
      </c>
      <c r="N220" s="8" t="s">
        <v>306</v>
      </c>
      <c r="O220" s="8" t="s">
        <v>27</v>
      </c>
      <c r="P220" s="8" t="s">
        <v>282</v>
      </c>
      <c r="Q220" s="8" t="s">
        <v>543</v>
      </c>
      <c r="R220" s="8" t="s">
        <v>222</v>
      </c>
      <c r="S220" s="8" t="s">
        <v>237</v>
      </c>
      <c r="T220" s="8" t="s">
        <v>244</v>
      </c>
      <c r="U220" s="8" t="s">
        <v>194</v>
      </c>
      <c r="V220" s="8">
        <v>1</v>
      </c>
      <c r="W220" s="18">
        <v>1</v>
      </c>
      <c r="X220" s="51">
        <v>45659</v>
      </c>
      <c r="Y220" s="51">
        <v>43901</v>
      </c>
      <c r="Z220" s="28">
        <v>79</v>
      </c>
      <c r="AA220" s="16" t="s">
        <v>1701</v>
      </c>
      <c r="AB220" s="8" t="s">
        <v>291</v>
      </c>
      <c r="AC220" s="8" t="s">
        <v>293</v>
      </c>
      <c r="AD220" s="8" t="s">
        <v>134</v>
      </c>
      <c r="AE220" s="8">
        <v>3115907431</v>
      </c>
      <c r="AF220" s="8" t="s">
        <v>276</v>
      </c>
      <c r="AG220" s="8" t="s">
        <v>292</v>
      </c>
      <c r="AH220" s="51">
        <v>28370</v>
      </c>
      <c r="AI220" s="28">
        <v>49</v>
      </c>
      <c r="AJ220" s="51" t="s">
        <v>1853</v>
      </c>
    </row>
    <row r="221" spans="1:36" ht="12.65" customHeight="1" x14ac:dyDescent="0.35">
      <c r="A221" s="8" t="s">
        <v>139</v>
      </c>
      <c r="B221" s="8" t="s">
        <v>136</v>
      </c>
      <c r="C221" s="8" t="s">
        <v>135</v>
      </c>
      <c r="D221" s="34" t="s">
        <v>1237</v>
      </c>
      <c r="E221" s="14" t="s">
        <v>1238</v>
      </c>
      <c r="F221" s="14" t="s">
        <v>57</v>
      </c>
      <c r="G221" s="14" t="s">
        <v>1</v>
      </c>
      <c r="H221" s="14" t="s">
        <v>9</v>
      </c>
      <c r="I221" s="34" t="s">
        <v>623</v>
      </c>
      <c r="J221" s="8" t="s">
        <v>1231</v>
      </c>
      <c r="K221" s="69" t="s">
        <v>624</v>
      </c>
      <c r="L221" s="8" t="s">
        <v>299</v>
      </c>
      <c r="M221" s="8" t="s">
        <v>299</v>
      </c>
      <c r="N221" s="8" t="s">
        <v>306</v>
      </c>
      <c r="O221" s="8" t="s">
        <v>146</v>
      </c>
      <c r="P221" s="8" t="s">
        <v>283</v>
      </c>
      <c r="Q221" s="8" t="s">
        <v>326</v>
      </c>
      <c r="R221" s="8" t="s">
        <v>234</v>
      </c>
      <c r="S221" s="8" t="s">
        <v>241</v>
      </c>
      <c r="T221" s="8" t="s">
        <v>169</v>
      </c>
      <c r="U221" s="8" t="s">
        <v>194</v>
      </c>
      <c r="V221" s="8">
        <v>1</v>
      </c>
      <c r="W221" s="18">
        <v>1</v>
      </c>
      <c r="X221" s="51">
        <v>45987</v>
      </c>
      <c r="Y221" s="51">
        <v>45987</v>
      </c>
      <c r="Z221" s="28">
        <v>10</v>
      </c>
      <c r="AA221" s="16" t="s">
        <v>1711</v>
      </c>
      <c r="AB221" s="8" t="s">
        <v>291</v>
      </c>
      <c r="AC221" s="8" t="s">
        <v>291</v>
      </c>
      <c r="AD221" s="8" t="s">
        <v>137</v>
      </c>
      <c r="AE221" s="8" t="s">
        <v>153</v>
      </c>
      <c r="AF221" s="8" t="s">
        <v>153</v>
      </c>
      <c r="AG221" s="8" t="s">
        <v>292</v>
      </c>
      <c r="AH221" s="51">
        <v>35554</v>
      </c>
      <c r="AI221" s="28">
        <v>29</v>
      </c>
      <c r="AJ221" s="51" t="s">
        <v>1853</v>
      </c>
    </row>
    <row r="222" spans="1:36" ht="12.65" customHeight="1" x14ac:dyDescent="0.35">
      <c r="A222" s="8" t="s">
        <v>139</v>
      </c>
      <c r="B222" s="8" t="s">
        <v>136</v>
      </c>
      <c r="C222" s="8" t="s">
        <v>135</v>
      </c>
      <c r="D222" s="34" t="s">
        <v>1693</v>
      </c>
      <c r="E222" s="14" t="s">
        <v>1692</v>
      </c>
      <c r="F222" s="14" t="s">
        <v>57</v>
      </c>
      <c r="G222" s="14" t="s">
        <v>1</v>
      </c>
      <c r="H222" s="14" t="s">
        <v>9</v>
      </c>
      <c r="I222" s="8" t="s">
        <v>845</v>
      </c>
      <c r="J222" s="8" t="s">
        <v>846</v>
      </c>
      <c r="K222" s="69" t="s">
        <v>847</v>
      </c>
      <c r="L222" s="8" t="s">
        <v>871</v>
      </c>
      <c r="M222" s="8" t="s">
        <v>872</v>
      </c>
      <c r="N222" s="8" t="s">
        <v>393</v>
      </c>
      <c r="O222" s="8" t="s">
        <v>11</v>
      </c>
      <c r="P222" s="8" t="s">
        <v>274</v>
      </c>
      <c r="Q222" s="8" t="s">
        <v>275</v>
      </c>
      <c r="R222" s="8" t="s">
        <v>231</v>
      </c>
      <c r="S222" s="8" t="s">
        <v>247</v>
      </c>
      <c r="T222" s="14" t="s">
        <v>1666</v>
      </c>
      <c r="U222" s="8" t="s">
        <v>54</v>
      </c>
      <c r="V222" s="8">
        <v>1</v>
      </c>
      <c r="W222" s="18">
        <v>0.5</v>
      </c>
      <c r="X222" s="51">
        <v>46243</v>
      </c>
      <c r="Y222" s="51">
        <v>46248</v>
      </c>
      <c r="Z222" s="28">
        <v>2</v>
      </c>
      <c r="AA222" s="16" t="s">
        <v>1698</v>
      </c>
      <c r="AB222" s="8" t="s">
        <v>307</v>
      </c>
      <c r="AC222" s="8" t="s">
        <v>307</v>
      </c>
      <c r="AD222" s="8" t="s">
        <v>137</v>
      </c>
      <c r="AE222" s="8" t="s">
        <v>153</v>
      </c>
      <c r="AF222" s="8" t="s">
        <v>153</v>
      </c>
      <c r="AG222" s="8" t="s">
        <v>295</v>
      </c>
      <c r="AH222" s="51">
        <v>34176</v>
      </c>
      <c r="AI222" s="28">
        <v>33</v>
      </c>
      <c r="AJ222" s="51" t="s">
        <v>1853</v>
      </c>
    </row>
    <row r="223" spans="1:36" ht="12.65" customHeight="1" x14ac:dyDescent="0.35">
      <c r="A223" s="8" t="s">
        <v>139</v>
      </c>
      <c r="B223" s="8" t="s">
        <v>136</v>
      </c>
      <c r="C223" s="8" t="s">
        <v>135</v>
      </c>
      <c r="D223" s="34" t="s">
        <v>1693</v>
      </c>
      <c r="E223" s="14" t="s">
        <v>1692</v>
      </c>
      <c r="F223" s="14" t="s">
        <v>57</v>
      </c>
      <c r="G223" s="14" t="s">
        <v>1</v>
      </c>
      <c r="H223" s="14" t="s">
        <v>9</v>
      </c>
      <c r="I223" s="34" t="s">
        <v>840</v>
      </c>
      <c r="J223" s="8" t="s">
        <v>841</v>
      </c>
      <c r="K223" s="69" t="s">
        <v>842</v>
      </c>
      <c r="L223" s="8" t="s">
        <v>871</v>
      </c>
      <c r="M223" s="8" t="s">
        <v>872</v>
      </c>
      <c r="N223" s="8" t="s">
        <v>393</v>
      </c>
      <c r="O223" s="8" t="s">
        <v>11</v>
      </c>
      <c r="P223" s="8" t="s">
        <v>274</v>
      </c>
      <c r="Q223" s="8" t="s">
        <v>275</v>
      </c>
      <c r="R223" s="8" t="s">
        <v>231</v>
      </c>
      <c r="S223" s="8" t="s">
        <v>247</v>
      </c>
      <c r="T223" s="14" t="s">
        <v>1666</v>
      </c>
      <c r="U223" s="14" t="s">
        <v>54</v>
      </c>
      <c r="V223" s="8">
        <v>0</v>
      </c>
      <c r="W223" s="18">
        <v>0.5</v>
      </c>
      <c r="X223" s="51">
        <v>46243</v>
      </c>
      <c r="Y223" s="51">
        <v>46248</v>
      </c>
      <c r="Z223" s="28">
        <v>2</v>
      </c>
      <c r="AA223" s="16" t="s">
        <v>1698</v>
      </c>
      <c r="AB223" s="8" t="s">
        <v>294</v>
      </c>
      <c r="AC223" s="8" t="s">
        <v>294</v>
      </c>
      <c r="AD223" s="8" t="s">
        <v>137</v>
      </c>
      <c r="AE223" s="8" t="s">
        <v>153</v>
      </c>
      <c r="AF223" s="8" t="s">
        <v>153</v>
      </c>
      <c r="AG223" s="8" t="s">
        <v>295</v>
      </c>
      <c r="AH223" s="51">
        <v>34176</v>
      </c>
      <c r="AI223" s="28">
        <v>33</v>
      </c>
      <c r="AJ223" s="51" t="s">
        <v>1853</v>
      </c>
    </row>
    <row r="224" spans="1:36" ht="12.65" customHeight="1" x14ac:dyDescent="0.35">
      <c r="A224" s="8" t="s">
        <v>139</v>
      </c>
      <c r="B224" s="8" t="s">
        <v>1243</v>
      </c>
      <c r="C224" s="8" t="s">
        <v>135</v>
      </c>
      <c r="D224" s="33" t="s">
        <v>1819</v>
      </c>
      <c r="E224" s="14" t="s">
        <v>1822</v>
      </c>
      <c r="F224" s="14" t="s">
        <v>57</v>
      </c>
      <c r="G224" s="14" t="s">
        <v>1</v>
      </c>
      <c r="H224" s="14" t="s">
        <v>9</v>
      </c>
      <c r="I224" s="34" t="s">
        <v>526</v>
      </c>
      <c r="J224" s="8" t="s">
        <v>35</v>
      </c>
      <c r="K224" s="69" t="s">
        <v>527</v>
      </c>
      <c r="L224" s="8" t="s">
        <v>382</v>
      </c>
      <c r="M224" s="8" t="s">
        <v>382</v>
      </c>
      <c r="N224" s="8" t="s">
        <v>306</v>
      </c>
      <c r="O224" s="8" t="s">
        <v>11</v>
      </c>
      <c r="P224" s="8" t="s">
        <v>274</v>
      </c>
      <c r="Q224" s="8" t="s">
        <v>275</v>
      </c>
      <c r="R224" s="8" t="s">
        <v>1628</v>
      </c>
      <c r="S224" s="8" t="s">
        <v>247</v>
      </c>
      <c r="T224" s="8" t="s">
        <v>163</v>
      </c>
      <c r="U224" s="8" t="s">
        <v>192</v>
      </c>
      <c r="V224" s="8">
        <v>1</v>
      </c>
      <c r="W224" s="18">
        <v>1</v>
      </c>
      <c r="X224" s="51">
        <v>46235</v>
      </c>
      <c r="Y224" s="51">
        <v>46235</v>
      </c>
      <c r="Z224" s="28">
        <v>2</v>
      </c>
      <c r="AA224" s="16" t="s">
        <v>1698</v>
      </c>
      <c r="AB224" s="8" t="s">
        <v>291</v>
      </c>
      <c r="AC224" s="8" t="s">
        <v>293</v>
      </c>
      <c r="AD224" s="19" t="s">
        <v>137</v>
      </c>
      <c r="AE224" s="19" t="s">
        <v>153</v>
      </c>
      <c r="AF224" s="19" t="s">
        <v>153</v>
      </c>
      <c r="AG224" s="8" t="s">
        <v>292</v>
      </c>
      <c r="AH224" s="51">
        <v>35115</v>
      </c>
      <c r="AI224" s="28">
        <v>30</v>
      </c>
      <c r="AJ224" s="19" t="s">
        <v>1853</v>
      </c>
    </row>
    <row r="225" spans="1:36" ht="12.65" customHeight="1" x14ac:dyDescent="0.35">
      <c r="A225" s="8" t="s">
        <v>139</v>
      </c>
      <c r="B225" s="8" t="s">
        <v>136</v>
      </c>
      <c r="C225" s="8" t="s">
        <v>135</v>
      </c>
      <c r="D225" s="34" t="s">
        <v>1248</v>
      </c>
      <c r="E225" s="14" t="s">
        <v>1249</v>
      </c>
      <c r="F225" s="14" t="s">
        <v>57</v>
      </c>
      <c r="G225" s="14" t="s">
        <v>1</v>
      </c>
      <c r="H225" s="14" t="s">
        <v>9</v>
      </c>
      <c r="I225" s="34" t="s">
        <v>517</v>
      </c>
      <c r="J225" s="8" t="s">
        <v>518</v>
      </c>
      <c r="K225" s="69" t="s">
        <v>519</v>
      </c>
      <c r="L225" s="8" t="s">
        <v>442</v>
      </c>
      <c r="M225" s="8" t="s">
        <v>443</v>
      </c>
      <c r="N225" s="8" t="s">
        <v>393</v>
      </c>
      <c r="O225" s="8" t="s">
        <v>27</v>
      </c>
      <c r="P225" s="8" t="s">
        <v>282</v>
      </c>
      <c r="Q225" s="8" t="s">
        <v>543</v>
      </c>
      <c r="R225" s="8" t="s">
        <v>222</v>
      </c>
      <c r="S225" s="8" t="s">
        <v>237</v>
      </c>
      <c r="T225" s="8" t="s">
        <v>244</v>
      </c>
      <c r="U225" s="8" t="s">
        <v>183</v>
      </c>
      <c r="V225" s="8">
        <v>1</v>
      </c>
      <c r="W225" s="18">
        <v>0.25</v>
      </c>
      <c r="X225" s="51">
        <v>45804</v>
      </c>
      <c r="Y225" s="51">
        <v>45804</v>
      </c>
      <c r="Z225" s="28">
        <v>16</v>
      </c>
      <c r="AA225" s="16" t="s">
        <v>1700</v>
      </c>
      <c r="AB225" s="8" t="s">
        <v>395</v>
      </c>
      <c r="AC225" s="8" t="s">
        <v>395</v>
      </c>
      <c r="AD225" s="8" t="s">
        <v>137</v>
      </c>
      <c r="AE225" s="8" t="s">
        <v>153</v>
      </c>
      <c r="AF225" s="8" t="s">
        <v>153</v>
      </c>
      <c r="AG225" s="8" t="s">
        <v>295</v>
      </c>
      <c r="AH225" s="51">
        <v>31405</v>
      </c>
      <c r="AI225" s="28">
        <v>40</v>
      </c>
      <c r="AJ225" s="51" t="s">
        <v>1853</v>
      </c>
    </row>
    <row r="226" spans="1:36" ht="12.65" customHeight="1" x14ac:dyDescent="0.35">
      <c r="A226" s="8" t="s">
        <v>139</v>
      </c>
      <c r="B226" s="8" t="s">
        <v>136</v>
      </c>
      <c r="C226" s="8" t="s">
        <v>135</v>
      </c>
      <c r="D226" s="34" t="s">
        <v>1248</v>
      </c>
      <c r="E226" s="14" t="s">
        <v>1249</v>
      </c>
      <c r="F226" s="14" t="s">
        <v>57</v>
      </c>
      <c r="G226" s="14" t="s">
        <v>1</v>
      </c>
      <c r="H226" s="14" t="s">
        <v>9</v>
      </c>
      <c r="I226" s="34" t="s">
        <v>819</v>
      </c>
      <c r="J226" s="8" t="s">
        <v>28</v>
      </c>
      <c r="K226" s="69" t="s">
        <v>820</v>
      </c>
      <c r="L226" s="8" t="s">
        <v>299</v>
      </c>
      <c r="M226" s="8" t="s">
        <v>299</v>
      </c>
      <c r="N226" s="8" t="s">
        <v>306</v>
      </c>
      <c r="O226" s="8" t="s">
        <v>27</v>
      </c>
      <c r="P226" s="8" t="s">
        <v>282</v>
      </c>
      <c r="Q226" s="8" t="s">
        <v>543</v>
      </c>
      <c r="R226" s="8" t="s">
        <v>222</v>
      </c>
      <c r="S226" s="8" t="s">
        <v>237</v>
      </c>
      <c r="T226" s="8" t="s">
        <v>244</v>
      </c>
      <c r="U226" s="8" t="s">
        <v>194</v>
      </c>
      <c r="V226" s="8">
        <v>0</v>
      </c>
      <c r="W226" s="18">
        <v>0.75</v>
      </c>
      <c r="X226" s="51">
        <v>45804</v>
      </c>
      <c r="Y226" s="51">
        <v>45804</v>
      </c>
      <c r="Z226" s="28">
        <v>16</v>
      </c>
      <c r="AA226" s="16" t="s">
        <v>1700</v>
      </c>
      <c r="AB226" s="8" t="s">
        <v>294</v>
      </c>
      <c r="AC226" s="8" t="s">
        <v>294</v>
      </c>
      <c r="AD226" s="8" t="s">
        <v>137</v>
      </c>
      <c r="AE226" s="8" t="s">
        <v>153</v>
      </c>
      <c r="AF226" s="8" t="s">
        <v>153</v>
      </c>
      <c r="AG226" s="8" t="s">
        <v>292</v>
      </c>
      <c r="AH226" s="51">
        <v>31405</v>
      </c>
      <c r="AI226" s="28">
        <v>40</v>
      </c>
      <c r="AJ226" s="51" t="s">
        <v>1853</v>
      </c>
    </row>
    <row r="227" spans="1:36" ht="12.65" customHeight="1" x14ac:dyDescent="0.35">
      <c r="A227" s="8" t="s">
        <v>139</v>
      </c>
      <c r="B227" s="8" t="s">
        <v>136</v>
      </c>
      <c r="C227" s="8" t="s">
        <v>135</v>
      </c>
      <c r="D227" s="35" t="s">
        <v>1381</v>
      </c>
      <c r="E227" s="14" t="s">
        <v>1382</v>
      </c>
      <c r="F227" s="14" t="s">
        <v>57</v>
      </c>
      <c r="G227" s="14" t="s">
        <v>1</v>
      </c>
      <c r="H227" s="14" t="s">
        <v>9</v>
      </c>
      <c r="I227" s="34" t="s">
        <v>396</v>
      </c>
      <c r="J227" s="8" t="s">
        <v>397</v>
      </c>
      <c r="K227" s="69" t="s">
        <v>398</v>
      </c>
      <c r="L227" s="8" t="s">
        <v>391</v>
      </c>
      <c r="M227" s="8" t="s">
        <v>399</v>
      </c>
      <c r="N227" s="8" t="s">
        <v>393</v>
      </c>
      <c r="O227" s="8" t="s">
        <v>400</v>
      </c>
      <c r="P227" s="8" t="s">
        <v>285</v>
      </c>
      <c r="Q227" s="8" t="s">
        <v>285</v>
      </c>
      <c r="R227" s="8" t="s">
        <v>225</v>
      </c>
      <c r="S227" s="8" t="s">
        <v>237</v>
      </c>
      <c r="T227" s="8" t="s">
        <v>216</v>
      </c>
      <c r="U227" s="8" t="s">
        <v>183</v>
      </c>
      <c r="V227" s="8">
        <v>1</v>
      </c>
      <c r="W227" s="18">
        <v>0.5</v>
      </c>
      <c r="X227" s="54">
        <v>45659</v>
      </c>
      <c r="Y227" s="54">
        <v>45659</v>
      </c>
      <c r="Z227" s="28">
        <v>21</v>
      </c>
      <c r="AA227" s="16" t="s">
        <v>1700</v>
      </c>
      <c r="AB227" s="8" t="s">
        <v>395</v>
      </c>
      <c r="AC227" s="8" t="s">
        <v>395</v>
      </c>
      <c r="AD227" s="41" t="s">
        <v>137</v>
      </c>
      <c r="AE227" s="41">
        <v>3102694564</v>
      </c>
      <c r="AF227" s="41" t="s">
        <v>276</v>
      </c>
      <c r="AG227" s="8" t="s">
        <v>295</v>
      </c>
      <c r="AH227" s="54">
        <v>31494</v>
      </c>
      <c r="AI227" s="40">
        <v>40</v>
      </c>
      <c r="AJ227" s="73" t="s">
        <v>1852</v>
      </c>
    </row>
    <row r="228" spans="1:36" ht="12.65" customHeight="1" x14ac:dyDescent="0.35">
      <c r="A228" s="8" t="s">
        <v>139</v>
      </c>
      <c r="B228" s="8" t="s">
        <v>136</v>
      </c>
      <c r="C228" s="8" t="s">
        <v>135</v>
      </c>
      <c r="D228" s="35" t="s">
        <v>1381</v>
      </c>
      <c r="E228" s="14" t="s">
        <v>1382</v>
      </c>
      <c r="F228" s="14" t="s">
        <v>57</v>
      </c>
      <c r="G228" s="14" t="s">
        <v>1</v>
      </c>
      <c r="H228" s="14" t="s">
        <v>9</v>
      </c>
      <c r="I228" s="34" t="s">
        <v>401</v>
      </c>
      <c r="J228" s="8" t="s">
        <v>402</v>
      </c>
      <c r="K228" s="69" t="s">
        <v>403</v>
      </c>
      <c r="L228" s="8" t="s">
        <v>391</v>
      </c>
      <c r="M228" s="8" t="s">
        <v>399</v>
      </c>
      <c r="N228" s="8" t="s">
        <v>393</v>
      </c>
      <c r="O228" s="8" t="s">
        <v>13</v>
      </c>
      <c r="P228" s="8" t="s">
        <v>285</v>
      </c>
      <c r="Q228" s="8" t="s">
        <v>285</v>
      </c>
      <c r="R228" s="8" t="s">
        <v>225</v>
      </c>
      <c r="S228" s="8" t="s">
        <v>237</v>
      </c>
      <c r="T228" s="8" t="s">
        <v>216</v>
      </c>
      <c r="U228" s="8" t="s">
        <v>183</v>
      </c>
      <c r="V228" s="8">
        <v>0</v>
      </c>
      <c r="W228" s="18">
        <v>0.5</v>
      </c>
      <c r="X228" s="54">
        <v>45659</v>
      </c>
      <c r="Y228" s="54">
        <v>45659</v>
      </c>
      <c r="Z228" s="28">
        <v>21</v>
      </c>
      <c r="AA228" s="16" t="s">
        <v>1700</v>
      </c>
      <c r="AB228" s="8" t="s">
        <v>395</v>
      </c>
      <c r="AC228" s="8" t="s">
        <v>395</v>
      </c>
      <c r="AD228" s="41" t="s">
        <v>137</v>
      </c>
      <c r="AE228" s="41">
        <v>3102694564</v>
      </c>
      <c r="AF228" s="41" t="s">
        <v>276</v>
      </c>
      <c r="AG228" s="8" t="s">
        <v>295</v>
      </c>
      <c r="AH228" s="54">
        <v>31494</v>
      </c>
      <c r="AI228" s="40">
        <v>40</v>
      </c>
      <c r="AJ228" s="73" t="s">
        <v>1852</v>
      </c>
    </row>
    <row r="229" spans="1:36" ht="12.65" customHeight="1" x14ac:dyDescent="0.35">
      <c r="A229" s="8" t="s">
        <v>139</v>
      </c>
      <c r="B229" s="8" t="s">
        <v>136</v>
      </c>
      <c r="C229" s="8" t="s">
        <v>135</v>
      </c>
      <c r="D229" s="34" t="s">
        <v>1257</v>
      </c>
      <c r="E229" s="14" t="s">
        <v>1258</v>
      </c>
      <c r="F229" s="14" t="s">
        <v>57</v>
      </c>
      <c r="G229" s="14" t="s">
        <v>1</v>
      </c>
      <c r="H229" s="14" t="s">
        <v>9</v>
      </c>
      <c r="I229" s="34" t="s">
        <v>1262</v>
      </c>
      <c r="J229" s="8" t="s">
        <v>1263</v>
      </c>
      <c r="K229" s="69" t="s">
        <v>1264</v>
      </c>
      <c r="L229" s="8" t="s">
        <v>871</v>
      </c>
      <c r="M229" s="8" t="s">
        <v>872</v>
      </c>
      <c r="N229" s="8" t="s">
        <v>393</v>
      </c>
      <c r="O229" s="8" t="s">
        <v>11</v>
      </c>
      <c r="P229" s="8" t="s">
        <v>274</v>
      </c>
      <c r="Q229" s="8" t="s">
        <v>275</v>
      </c>
      <c r="R229" s="8" t="s">
        <v>231</v>
      </c>
      <c r="S229" s="8" t="s">
        <v>247</v>
      </c>
      <c r="T229" s="14" t="s">
        <v>1666</v>
      </c>
      <c r="U229" s="14" t="s">
        <v>54</v>
      </c>
      <c r="V229" s="8">
        <v>1</v>
      </c>
      <c r="W229" s="18">
        <v>1</v>
      </c>
      <c r="X229" s="53">
        <v>45659</v>
      </c>
      <c r="Y229" s="53">
        <v>45530</v>
      </c>
      <c r="Z229" s="28">
        <v>25</v>
      </c>
      <c r="AA229" s="16" t="s">
        <v>1701</v>
      </c>
      <c r="AB229" s="8" t="s">
        <v>307</v>
      </c>
      <c r="AC229" s="8" t="s">
        <v>307</v>
      </c>
      <c r="AD229" s="19" t="s">
        <v>134</v>
      </c>
      <c r="AE229" s="19">
        <v>3102635907</v>
      </c>
      <c r="AF229" s="19" t="s">
        <v>276</v>
      </c>
      <c r="AG229" s="8" t="s">
        <v>295</v>
      </c>
      <c r="AH229" s="51">
        <v>32728</v>
      </c>
      <c r="AI229" s="28">
        <v>37</v>
      </c>
      <c r="AJ229" s="51" t="s">
        <v>1852</v>
      </c>
    </row>
    <row r="230" spans="1:36" ht="12.65" customHeight="1" x14ac:dyDescent="0.35">
      <c r="A230" s="8" t="s">
        <v>139</v>
      </c>
      <c r="B230" s="8" t="s">
        <v>136</v>
      </c>
      <c r="C230" s="8" t="s">
        <v>135</v>
      </c>
      <c r="D230" s="33" t="s">
        <v>1809</v>
      </c>
      <c r="E230" s="14" t="s">
        <v>1806</v>
      </c>
      <c r="F230" s="14" t="s">
        <v>57</v>
      </c>
      <c r="G230" s="14" t="s">
        <v>1</v>
      </c>
      <c r="H230" s="14" t="s">
        <v>9</v>
      </c>
      <c r="I230" s="34" t="s">
        <v>449</v>
      </c>
      <c r="J230" s="8" t="s">
        <v>97</v>
      </c>
      <c r="K230" s="69" t="s">
        <v>450</v>
      </c>
      <c r="L230" s="8" t="s">
        <v>75</v>
      </c>
      <c r="M230" s="8" t="s">
        <v>75</v>
      </c>
      <c r="N230" s="8" t="s">
        <v>306</v>
      </c>
      <c r="O230" s="8" t="s">
        <v>11</v>
      </c>
      <c r="P230" s="8" t="s">
        <v>274</v>
      </c>
      <c r="Q230" s="8" t="s">
        <v>275</v>
      </c>
      <c r="R230" s="8" t="s">
        <v>1628</v>
      </c>
      <c r="S230" s="8" t="s">
        <v>247</v>
      </c>
      <c r="T230" s="8" t="s">
        <v>172</v>
      </c>
      <c r="U230" s="8" t="s">
        <v>189</v>
      </c>
      <c r="V230" s="8">
        <v>1</v>
      </c>
      <c r="W230" s="18">
        <v>1</v>
      </c>
      <c r="X230" s="51">
        <v>46225</v>
      </c>
      <c r="Y230" s="51">
        <v>46225</v>
      </c>
      <c r="Z230" s="28">
        <v>2</v>
      </c>
      <c r="AA230" s="16" t="s">
        <v>1698</v>
      </c>
      <c r="AB230" s="8" t="s">
        <v>294</v>
      </c>
      <c r="AC230" s="8" t="s">
        <v>294</v>
      </c>
      <c r="AD230" s="19" t="s">
        <v>137</v>
      </c>
      <c r="AE230" s="19" t="s">
        <v>153</v>
      </c>
      <c r="AF230" s="19" t="s">
        <v>153</v>
      </c>
      <c r="AG230" s="8" t="s">
        <v>292</v>
      </c>
      <c r="AH230" s="51">
        <v>30983</v>
      </c>
      <c r="AI230" s="28">
        <v>41</v>
      </c>
      <c r="AJ230" s="51" t="s">
        <v>1853</v>
      </c>
    </row>
    <row r="231" spans="1:36" ht="12.65" customHeight="1" x14ac:dyDescent="0.35">
      <c r="A231" s="8" t="s">
        <v>139</v>
      </c>
      <c r="B231" s="8" t="s">
        <v>136</v>
      </c>
      <c r="C231" s="8" t="s">
        <v>135</v>
      </c>
      <c r="D231" s="34" t="s">
        <v>1244</v>
      </c>
      <c r="E231" s="14" t="s">
        <v>1245</v>
      </c>
      <c r="F231" s="14" t="s">
        <v>57</v>
      </c>
      <c r="G231" s="14" t="s">
        <v>1</v>
      </c>
      <c r="H231" s="14" t="s">
        <v>9</v>
      </c>
      <c r="I231" s="34" t="s">
        <v>767</v>
      </c>
      <c r="J231" s="8" t="s">
        <v>1351</v>
      </c>
      <c r="K231" s="69" t="s">
        <v>768</v>
      </c>
      <c r="L231" s="8" t="s">
        <v>871</v>
      </c>
      <c r="M231" s="8" t="s">
        <v>872</v>
      </c>
      <c r="N231" s="8" t="s">
        <v>393</v>
      </c>
      <c r="O231" s="8" t="s">
        <v>11</v>
      </c>
      <c r="P231" s="8" t="s">
        <v>274</v>
      </c>
      <c r="Q231" s="8" t="s">
        <v>275</v>
      </c>
      <c r="R231" s="8" t="s">
        <v>231</v>
      </c>
      <c r="S231" s="8" t="s">
        <v>247</v>
      </c>
      <c r="T231" s="14" t="s">
        <v>1666</v>
      </c>
      <c r="U231" s="14" t="s">
        <v>54</v>
      </c>
      <c r="V231" s="8">
        <v>1</v>
      </c>
      <c r="W231" s="18">
        <v>0.3</v>
      </c>
      <c r="X231" s="51">
        <v>46168</v>
      </c>
      <c r="Y231" s="51">
        <v>46168</v>
      </c>
      <c r="Z231" s="28">
        <v>4</v>
      </c>
      <c r="AA231" s="16" t="s">
        <v>1699</v>
      </c>
      <c r="AB231" s="8" t="s">
        <v>307</v>
      </c>
      <c r="AC231" s="8" t="s">
        <v>307</v>
      </c>
      <c r="AD231" s="8" t="s">
        <v>137</v>
      </c>
      <c r="AE231" s="8" t="s">
        <v>153</v>
      </c>
      <c r="AF231" s="8" t="s">
        <v>153</v>
      </c>
      <c r="AG231" s="8" t="s">
        <v>295</v>
      </c>
      <c r="AH231" s="51">
        <v>35472</v>
      </c>
      <c r="AI231" s="28">
        <v>29</v>
      </c>
      <c r="AJ231" s="51" t="s">
        <v>1852</v>
      </c>
    </row>
    <row r="232" spans="1:36" ht="12.65" customHeight="1" x14ac:dyDescent="0.35">
      <c r="A232" s="8" t="s">
        <v>139</v>
      </c>
      <c r="B232" s="8" t="s">
        <v>136</v>
      </c>
      <c r="C232" s="8" t="s">
        <v>135</v>
      </c>
      <c r="D232" s="34" t="s">
        <v>1244</v>
      </c>
      <c r="E232" s="14" t="s">
        <v>1245</v>
      </c>
      <c r="F232" s="14" t="s">
        <v>57</v>
      </c>
      <c r="G232" s="14" t="s">
        <v>1</v>
      </c>
      <c r="H232" s="14" t="s">
        <v>9</v>
      </c>
      <c r="I232" s="34" t="s">
        <v>792</v>
      </c>
      <c r="J232" s="8" t="s">
        <v>793</v>
      </c>
      <c r="K232" s="69" t="s">
        <v>794</v>
      </c>
      <c r="L232" s="8" t="s">
        <v>871</v>
      </c>
      <c r="M232" s="8" t="s">
        <v>872</v>
      </c>
      <c r="N232" s="8" t="s">
        <v>393</v>
      </c>
      <c r="O232" s="8" t="s">
        <v>11</v>
      </c>
      <c r="P232" s="8" t="s">
        <v>274</v>
      </c>
      <c r="Q232" s="8" t="s">
        <v>275</v>
      </c>
      <c r="R232" s="8" t="s">
        <v>231</v>
      </c>
      <c r="S232" s="8" t="s">
        <v>247</v>
      </c>
      <c r="T232" s="14" t="s">
        <v>1666</v>
      </c>
      <c r="U232" s="8" t="s">
        <v>54</v>
      </c>
      <c r="V232" s="8">
        <v>0</v>
      </c>
      <c r="W232" s="18">
        <v>0.5</v>
      </c>
      <c r="X232" s="51">
        <v>46168</v>
      </c>
      <c r="Y232" s="51">
        <v>46168</v>
      </c>
      <c r="Z232" s="28">
        <v>4</v>
      </c>
      <c r="AA232" s="16" t="s">
        <v>1699</v>
      </c>
      <c r="AB232" s="8" t="s">
        <v>307</v>
      </c>
      <c r="AC232" s="8" t="s">
        <v>307</v>
      </c>
      <c r="AD232" s="8" t="s">
        <v>137</v>
      </c>
      <c r="AE232" s="8" t="s">
        <v>153</v>
      </c>
      <c r="AF232" s="8" t="s">
        <v>153</v>
      </c>
      <c r="AG232" s="8" t="s">
        <v>295</v>
      </c>
      <c r="AH232" s="51">
        <v>35472</v>
      </c>
      <c r="AI232" s="28">
        <v>29</v>
      </c>
      <c r="AJ232" s="51" t="s">
        <v>1852</v>
      </c>
    </row>
    <row r="233" spans="1:36" ht="12.65" customHeight="1" x14ac:dyDescent="0.35">
      <c r="A233" s="8" t="s">
        <v>139</v>
      </c>
      <c r="B233" s="8" t="s">
        <v>136</v>
      </c>
      <c r="C233" s="8" t="s">
        <v>135</v>
      </c>
      <c r="D233" s="30" t="s">
        <v>1303</v>
      </c>
      <c r="E233" s="3" t="s">
        <v>1304</v>
      </c>
      <c r="F233" s="3" t="s">
        <v>57</v>
      </c>
      <c r="G233" s="14" t="s">
        <v>1</v>
      </c>
      <c r="H233" s="14" t="s">
        <v>9</v>
      </c>
      <c r="I233" s="34" t="s">
        <v>356</v>
      </c>
      <c r="J233" s="8" t="s">
        <v>109</v>
      </c>
      <c r="K233" s="69" t="s">
        <v>357</v>
      </c>
      <c r="L233" s="8" t="s">
        <v>75</v>
      </c>
      <c r="M233" s="8" t="s">
        <v>107</v>
      </c>
      <c r="N233" s="8" t="s">
        <v>306</v>
      </c>
      <c r="O233" s="8" t="s">
        <v>11</v>
      </c>
      <c r="P233" s="8" t="s">
        <v>274</v>
      </c>
      <c r="Q233" s="8" t="s">
        <v>275</v>
      </c>
      <c r="R233" s="8" t="s">
        <v>1628</v>
      </c>
      <c r="S233" s="8" t="s">
        <v>247</v>
      </c>
      <c r="T233" s="8" t="s">
        <v>172</v>
      </c>
      <c r="U233" s="8" t="s">
        <v>189</v>
      </c>
      <c r="V233" s="8">
        <v>1</v>
      </c>
      <c r="W233" s="18">
        <v>1</v>
      </c>
      <c r="X233" s="46">
        <v>45786</v>
      </c>
      <c r="Y233" s="46">
        <v>45786</v>
      </c>
      <c r="Z233" s="28">
        <v>17</v>
      </c>
      <c r="AA233" s="16" t="s">
        <v>1700</v>
      </c>
      <c r="AB233" s="8" t="s">
        <v>395</v>
      </c>
      <c r="AC233" s="8" t="s">
        <v>294</v>
      </c>
      <c r="AD233" s="3" t="s">
        <v>137</v>
      </c>
      <c r="AE233" s="3">
        <v>3102607930</v>
      </c>
      <c r="AF233" s="3" t="s">
        <v>276</v>
      </c>
      <c r="AG233" s="8" t="s">
        <v>292</v>
      </c>
      <c r="AH233" s="51">
        <v>34649</v>
      </c>
      <c r="AI233" s="28">
        <v>31</v>
      </c>
      <c r="AJ233" s="51" t="s">
        <v>1852</v>
      </c>
    </row>
    <row r="234" spans="1:36" ht="12.65" customHeight="1" x14ac:dyDescent="0.35">
      <c r="A234" s="8" t="s">
        <v>139</v>
      </c>
      <c r="B234" s="8" t="s">
        <v>136</v>
      </c>
      <c r="C234" s="8" t="s">
        <v>135</v>
      </c>
      <c r="D234" s="33" t="s">
        <v>1265</v>
      </c>
      <c r="E234" s="14" t="s">
        <v>1266</v>
      </c>
      <c r="F234" s="14" t="s">
        <v>59</v>
      </c>
      <c r="G234" s="14" t="s">
        <v>1</v>
      </c>
      <c r="H234" s="14" t="s">
        <v>9</v>
      </c>
      <c r="I234" s="34" t="s">
        <v>344</v>
      </c>
      <c r="J234" s="8" t="s">
        <v>114</v>
      </c>
      <c r="K234" s="69" t="s">
        <v>345</v>
      </c>
      <c r="L234" s="8" t="s">
        <v>75</v>
      </c>
      <c r="M234" s="8" t="s">
        <v>107</v>
      </c>
      <c r="N234" s="8" t="s">
        <v>306</v>
      </c>
      <c r="O234" s="8" t="s">
        <v>44</v>
      </c>
      <c r="P234" s="8" t="s">
        <v>346</v>
      </c>
      <c r="Q234" s="8" t="s">
        <v>275</v>
      </c>
      <c r="R234" s="8" t="s">
        <v>1628</v>
      </c>
      <c r="S234" s="8" t="s">
        <v>247</v>
      </c>
      <c r="T234" s="8" t="s">
        <v>211</v>
      </c>
      <c r="U234" s="8" t="s">
        <v>189</v>
      </c>
      <c r="V234" s="8">
        <v>1</v>
      </c>
      <c r="W234" s="18">
        <v>1</v>
      </c>
      <c r="X234" s="51">
        <v>45659</v>
      </c>
      <c r="Y234" s="51">
        <v>44385</v>
      </c>
      <c r="Z234" s="28">
        <v>63</v>
      </c>
      <c r="AA234" s="16" t="s">
        <v>1701</v>
      </c>
      <c r="AB234" s="8" t="s">
        <v>293</v>
      </c>
      <c r="AC234" s="8" t="s">
        <v>291</v>
      </c>
      <c r="AD234" s="8" t="s">
        <v>134</v>
      </c>
      <c r="AE234" s="8">
        <v>3102632947</v>
      </c>
      <c r="AF234" s="8" t="s">
        <v>276</v>
      </c>
      <c r="AG234" s="8" t="s">
        <v>292</v>
      </c>
      <c r="AH234" s="51">
        <v>36981</v>
      </c>
      <c r="AI234" s="28">
        <v>25</v>
      </c>
      <c r="AJ234" s="51" t="s">
        <v>1853</v>
      </c>
    </row>
    <row r="235" spans="1:36" ht="12.65" customHeight="1" x14ac:dyDescent="0.35">
      <c r="A235" s="8" t="s">
        <v>139</v>
      </c>
      <c r="B235" s="8" t="s">
        <v>136</v>
      </c>
      <c r="C235" s="8" t="s">
        <v>135</v>
      </c>
      <c r="D235" s="34" t="s">
        <v>1267</v>
      </c>
      <c r="E235" s="14" t="s">
        <v>1268</v>
      </c>
      <c r="F235" s="14" t="s">
        <v>57</v>
      </c>
      <c r="G235" s="14" t="s">
        <v>1</v>
      </c>
      <c r="H235" s="14" t="s">
        <v>9</v>
      </c>
      <c r="I235" s="34" t="s">
        <v>741</v>
      </c>
      <c r="J235" s="8" t="s">
        <v>742</v>
      </c>
      <c r="K235" s="69" t="s">
        <v>743</v>
      </c>
      <c r="L235" s="8" t="s">
        <v>299</v>
      </c>
      <c r="M235" s="8" t="s">
        <v>299</v>
      </c>
      <c r="N235" s="8" t="s">
        <v>306</v>
      </c>
      <c r="O235" s="8" t="s">
        <v>36</v>
      </c>
      <c r="P235" s="8" t="s">
        <v>282</v>
      </c>
      <c r="Q235" s="8" t="s">
        <v>543</v>
      </c>
      <c r="R235" s="8" t="s">
        <v>222</v>
      </c>
      <c r="S235" s="8" t="s">
        <v>237</v>
      </c>
      <c r="T235" s="8" t="s">
        <v>244</v>
      </c>
      <c r="U235" s="8" t="s">
        <v>194</v>
      </c>
      <c r="V235" s="8">
        <v>1</v>
      </c>
      <c r="W235" s="18">
        <v>1</v>
      </c>
      <c r="X235" s="51">
        <v>45659</v>
      </c>
      <c r="Y235" s="51">
        <v>45488</v>
      </c>
      <c r="Z235" s="28">
        <v>27</v>
      </c>
      <c r="AA235" s="16" t="s">
        <v>1701</v>
      </c>
      <c r="AB235" s="8" t="s">
        <v>294</v>
      </c>
      <c r="AC235" s="8" t="s">
        <v>294</v>
      </c>
      <c r="AD235" s="8" t="s">
        <v>134</v>
      </c>
      <c r="AE235" s="8">
        <v>3102626171</v>
      </c>
      <c r="AF235" s="8" t="s">
        <v>276</v>
      </c>
      <c r="AG235" s="8" t="s">
        <v>292</v>
      </c>
      <c r="AH235" s="51">
        <v>34557</v>
      </c>
      <c r="AI235" s="28">
        <v>32</v>
      </c>
      <c r="AJ235" s="51" t="s">
        <v>1852</v>
      </c>
    </row>
    <row r="236" spans="1:36" ht="12.65" customHeight="1" x14ac:dyDescent="0.35">
      <c r="A236" s="8" t="s">
        <v>139</v>
      </c>
      <c r="B236" s="8" t="s">
        <v>136</v>
      </c>
      <c r="C236" s="8" t="s">
        <v>135</v>
      </c>
      <c r="D236" s="34" t="s">
        <v>869</v>
      </c>
      <c r="E236" s="14" t="s">
        <v>870</v>
      </c>
      <c r="F236" s="14" t="s">
        <v>57</v>
      </c>
      <c r="G236" s="14" t="s">
        <v>1</v>
      </c>
      <c r="H236" s="14" t="s">
        <v>9</v>
      </c>
      <c r="I236" s="34" t="s">
        <v>772</v>
      </c>
      <c r="J236" s="8" t="s">
        <v>773</v>
      </c>
      <c r="K236" s="69" t="s">
        <v>774</v>
      </c>
      <c r="L236" s="8" t="s">
        <v>871</v>
      </c>
      <c r="M236" s="8" t="s">
        <v>872</v>
      </c>
      <c r="N236" s="8" t="s">
        <v>393</v>
      </c>
      <c r="O236" s="8" t="s">
        <v>11</v>
      </c>
      <c r="P236" s="8" t="s">
        <v>274</v>
      </c>
      <c r="Q236" s="8" t="s">
        <v>275</v>
      </c>
      <c r="R236" s="8" t="s">
        <v>231</v>
      </c>
      <c r="S236" s="8" t="s">
        <v>247</v>
      </c>
      <c r="T236" s="14" t="s">
        <v>1666</v>
      </c>
      <c r="U236" s="8" t="s">
        <v>54</v>
      </c>
      <c r="V236" s="8">
        <v>1</v>
      </c>
      <c r="W236" s="18">
        <v>0.8</v>
      </c>
      <c r="X236" s="51">
        <v>46037</v>
      </c>
      <c r="Y236" s="51">
        <v>46037</v>
      </c>
      <c r="Z236" s="28">
        <v>9</v>
      </c>
      <c r="AA236" s="16" t="s">
        <v>1711</v>
      </c>
      <c r="AB236" s="8" t="s">
        <v>307</v>
      </c>
      <c r="AC236" s="8" t="s">
        <v>307</v>
      </c>
      <c r="AD236" s="41" t="s">
        <v>137</v>
      </c>
      <c r="AE236" s="20" t="s">
        <v>153</v>
      </c>
      <c r="AF236" s="20" t="s">
        <v>153</v>
      </c>
      <c r="AG236" s="8" t="s">
        <v>295</v>
      </c>
      <c r="AH236" s="53">
        <v>36462</v>
      </c>
      <c r="AI236" s="28">
        <v>26</v>
      </c>
      <c r="AJ236" s="74" t="s">
        <v>1852</v>
      </c>
    </row>
    <row r="237" spans="1:36" ht="12.65" customHeight="1" x14ac:dyDescent="0.35">
      <c r="A237" s="8" t="s">
        <v>139</v>
      </c>
      <c r="B237" s="8" t="s">
        <v>136</v>
      </c>
      <c r="C237" s="8" t="s">
        <v>135</v>
      </c>
      <c r="D237" s="34" t="s">
        <v>869</v>
      </c>
      <c r="E237" s="14" t="s">
        <v>870</v>
      </c>
      <c r="F237" s="14" t="s">
        <v>57</v>
      </c>
      <c r="G237" s="14" t="s">
        <v>1</v>
      </c>
      <c r="H237" s="14" t="s">
        <v>9</v>
      </c>
      <c r="I237" s="34" t="s">
        <v>747</v>
      </c>
      <c r="J237" s="8" t="s">
        <v>748</v>
      </c>
      <c r="K237" s="69" t="s">
        <v>1837</v>
      </c>
      <c r="L237" s="8" t="s">
        <v>871</v>
      </c>
      <c r="M237" s="8" t="s">
        <v>872</v>
      </c>
      <c r="N237" s="8" t="s">
        <v>393</v>
      </c>
      <c r="O237" s="8" t="s">
        <v>11</v>
      </c>
      <c r="P237" s="8" t="s">
        <v>274</v>
      </c>
      <c r="Q237" s="8" t="s">
        <v>275</v>
      </c>
      <c r="R237" s="8" t="s">
        <v>231</v>
      </c>
      <c r="S237" s="8" t="s">
        <v>247</v>
      </c>
      <c r="T237" s="14" t="s">
        <v>1666</v>
      </c>
      <c r="U237" s="8" t="s">
        <v>54</v>
      </c>
      <c r="V237" s="8">
        <v>0</v>
      </c>
      <c r="W237" s="18">
        <v>0.2</v>
      </c>
      <c r="X237" s="51">
        <v>46037</v>
      </c>
      <c r="Y237" s="51">
        <v>46037</v>
      </c>
      <c r="Z237" s="28">
        <v>9</v>
      </c>
      <c r="AA237" s="16" t="s">
        <v>1711</v>
      </c>
      <c r="AB237" s="8" t="s">
        <v>307</v>
      </c>
      <c r="AC237" s="8" t="s">
        <v>307</v>
      </c>
      <c r="AD237" s="41" t="s">
        <v>137</v>
      </c>
      <c r="AE237" s="20" t="s">
        <v>153</v>
      </c>
      <c r="AF237" s="20" t="s">
        <v>153</v>
      </c>
      <c r="AG237" s="8" t="s">
        <v>295</v>
      </c>
      <c r="AH237" s="53">
        <v>36462</v>
      </c>
      <c r="AI237" s="28">
        <v>26</v>
      </c>
      <c r="AJ237" s="74" t="s">
        <v>1852</v>
      </c>
    </row>
    <row r="238" spans="1:36" ht="12.65" customHeight="1" x14ac:dyDescent="0.35">
      <c r="A238" s="8" t="s">
        <v>139</v>
      </c>
      <c r="B238" s="8" t="s">
        <v>136</v>
      </c>
      <c r="C238" s="8" t="s">
        <v>135</v>
      </c>
      <c r="D238" s="34" t="s">
        <v>1271</v>
      </c>
      <c r="E238" s="14" t="s">
        <v>1272</v>
      </c>
      <c r="F238" s="14" t="s">
        <v>57</v>
      </c>
      <c r="G238" s="14" t="s">
        <v>1</v>
      </c>
      <c r="H238" s="14" t="s">
        <v>9</v>
      </c>
      <c r="I238" s="34" t="s">
        <v>1273</v>
      </c>
      <c r="J238" s="8" t="s">
        <v>1274</v>
      </c>
      <c r="K238" s="69" t="s">
        <v>1275</v>
      </c>
      <c r="L238" s="8" t="s">
        <v>410</v>
      </c>
      <c r="M238" s="8" t="s">
        <v>410</v>
      </c>
      <c r="N238" s="8" t="s">
        <v>306</v>
      </c>
      <c r="O238" s="8" t="s">
        <v>797</v>
      </c>
      <c r="P238" s="8" t="s">
        <v>279</v>
      </c>
      <c r="Q238" s="8" t="s">
        <v>279</v>
      </c>
      <c r="R238" s="8" t="s">
        <v>234</v>
      </c>
      <c r="S238" s="8" t="s">
        <v>241</v>
      </c>
      <c r="T238" s="8" t="s">
        <v>166</v>
      </c>
      <c r="U238" s="8" t="s">
        <v>54</v>
      </c>
      <c r="V238" s="8">
        <v>1</v>
      </c>
      <c r="W238" s="18">
        <v>1</v>
      </c>
      <c r="X238" s="51">
        <v>46037</v>
      </c>
      <c r="Y238" s="51">
        <v>46037</v>
      </c>
      <c r="Z238" s="28">
        <v>9</v>
      </c>
      <c r="AA238" s="16" t="s">
        <v>1711</v>
      </c>
      <c r="AB238" s="8" t="s">
        <v>291</v>
      </c>
      <c r="AC238" s="8" t="s">
        <v>395</v>
      </c>
      <c r="AD238" s="8" t="s">
        <v>137</v>
      </c>
      <c r="AE238" s="8" t="s">
        <v>153</v>
      </c>
      <c r="AF238" s="8" t="s">
        <v>153</v>
      </c>
      <c r="AG238" s="8" t="s">
        <v>295</v>
      </c>
      <c r="AH238" s="51">
        <v>35703</v>
      </c>
      <c r="AI238" s="28">
        <v>29</v>
      </c>
      <c r="AJ238" s="51" t="s">
        <v>1853</v>
      </c>
    </row>
    <row r="239" spans="1:36" ht="12.65" customHeight="1" x14ac:dyDescent="0.35">
      <c r="A239" s="8" t="s">
        <v>139</v>
      </c>
      <c r="B239" s="8" t="s">
        <v>136</v>
      </c>
      <c r="C239" s="8" t="s">
        <v>135</v>
      </c>
      <c r="D239" s="35" t="s">
        <v>1276</v>
      </c>
      <c r="E239" s="14" t="s">
        <v>1277</v>
      </c>
      <c r="F239" s="14" t="s">
        <v>57</v>
      </c>
      <c r="G239" s="14" t="s">
        <v>1</v>
      </c>
      <c r="H239" s="14" t="s">
        <v>9</v>
      </c>
      <c r="I239" s="34" t="s">
        <v>735</v>
      </c>
      <c r="J239" s="8" t="s">
        <v>92</v>
      </c>
      <c r="K239" s="69" t="s">
        <v>736</v>
      </c>
      <c r="L239" s="8" t="s">
        <v>75</v>
      </c>
      <c r="M239" s="8" t="s">
        <v>76</v>
      </c>
      <c r="N239" s="8" t="s">
        <v>306</v>
      </c>
      <c r="O239" s="8" t="s">
        <v>17</v>
      </c>
      <c r="P239" s="8" t="s">
        <v>290</v>
      </c>
      <c r="Q239" s="8" t="s">
        <v>279</v>
      </c>
      <c r="R239" s="8" t="s">
        <v>234</v>
      </c>
      <c r="S239" s="8" t="s">
        <v>241</v>
      </c>
      <c r="T239" s="8" t="s">
        <v>166</v>
      </c>
      <c r="U239" s="8" t="s">
        <v>189</v>
      </c>
      <c r="V239" s="8">
        <v>1</v>
      </c>
      <c r="W239" s="18">
        <v>1</v>
      </c>
      <c r="X239" s="54">
        <v>45659</v>
      </c>
      <c r="Y239" s="54">
        <v>45142</v>
      </c>
      <c r="Z239" s="28">
        <v>38</v>
      </c>
      <c r="AA239" s="16" t="s">
        <v>1701</v>
      </c>
      <c r="AB239" s="8" t="s">
        <v>395</v>
      </c>
      <c r="AC239" s="8" t="s">
        <v>294</v>
      </c>
      <c r="AD239" s="41" t="s">
        <v>134</v>
      </c>
      <c r="AE239" s="41">
        <v>3102623031</v>
      </c>
      <c r="AF239" s="41" t="s">
        <v>276</v>
      </c>
      <c r="AG239" s="8" t="s">
        <v>292</v>
      </c>
      <c r="AH239" s="51">
        <v>35685</v>
      </c>
      <c r="AI239" s="28">
        <v>29</v>
      </c>
      <c r="AJ239" s="51" t="s">
        <v>1852</v>
      </c>
    </row>
    <row r="240" spans="1:36" ht="12.65" customHeight="1" x14ac:dyDescent="0.35">
      <c r="A240" s="8" t="s">
        <v>139</v>
      </c>
      <c r="B240" s="8" t="s">
        <v>136</v>
      </c>
      <c r="C240" s="8" t="s">
        <v>135</v>
      </c>
      <c r="D240" s="35" t="s">
        <v>1278</v>
      </c>
      <c r="E240" s="14" t="s">
        <v>1279</v>
      </c>
      <c r="F240" s="14" t="s">
        <v>57</v>
      </c>
      <c r="G240" s="14" t="s">
        <v>1</v>
      </c>
      <c r="H240" s="14" t="s">
        <v>9</v>
      </c>
      <c r="I240" s="34" t="s">
        <v>1280</v>
      </c>
      <c r="J240" s="8" t="s">
        <v>1281</v>
      </c>
      <c r="K240" s="69" t="s">
        <v>1282</v>
      </c>
      <c r="L240" s="8" t="s">
        <v>548</v>
      </c>
      <c r="M240" s="8" t="s">
        <v>548</v>
      </c>
      <c r="N240" s="8" t="s">
        <v>306</v>
      </c>
      <c r="O240" s="8" t="s">
        <v>858</v>
      </c>
      <c r="P240" s="8" t="s">
        <v>287</v>
      </c>
      <c r="Q240" s="8" t="s">
        <v>326</v>
      </c>
      <c r="R240" s="8" t="s">
        <v>234</v>
      </c>
      <c r="S240" s="8" t="s">
        <v>241</v>
      </c>
      <c r="T240" s="8" t="s">
        <v>160</v>
      </c>
      <c r="U240" s="8" t="s">
        <v>186</v>
      </c>
      <c r="V240" s="8">
        <v>1</v>
      </c>
      <c r="W240" s="18">
        <v>1</v>
      </c>
      <c r="X240" s="54">
        <v>45684</v>
      </c>
      <c r="Y240" s="54">
        <v>45684</v>
      </c>
      <c r="Z240" s="28">
        <v>20</v>
      </c>
      <c r="AA240" s="16" t="s">
        <v>1700</v>
      </c>
      <c r="AB240" s="8" t="s">
        <v>307</v>
      </c>
      <c r="AC240" s="8" t="s">
        <v>307</v>
      </c>
      <c r="AD240" s="20" t="s">
        <v>137</v>
      </c>
      <c r="AE240" s="20">
        <v>3102647293</v>
      </c>
      <c r="AF240" s="20" t="s">
        <v>276</v>
      </c>
      <c r="AG240" s="8" t="s">
        <v>295</v>
      </c>
      <c r="AH240" s="51">
        <v>37844</v>
      </c>
      <c r="AI240" s="28">
        <v>23</v>
      </c>
      <c r="AJ240" s="51" t="s">
        <v>1853</v>
      </c>
    </row>
    <row r="241" spans="1:36" ht="12.65" customHeight="1" x14ac:dyDescent="0.35">
      <c r="A241" s="8" t="s">
        <v>139</v>
      </c>
      <c r="B241" s="8" t="s">
        <v>136</v>
      </c>
      <c r="C241" s="8" t="s">
        <v>135</v>
      </c>
      <c r="D241" s="33" t="s">
        <v>1445</v>
      </c>
      <c r="E241" s="14" t="s">
        <v>1446</v>
      </c>
      <c r="F241" s="14" t="s">
        <v>57</v>
      </c>
      <c r="G241" s="14" t="s">
        <v>1</v>
      </c>
      <c r="H241" s="14" t="s">
        <v>9</v>
      </c>
      <c r="I241" s="34" t="s">
        <v>376</v>
      </c>
      <c r="J241" s="8" t="s">
        <v>96</v>
      </c>
      <c r="K241" s="69" t="s">
        <v>377</v>
      </c>
      <c r="L241" s="8" t="s">
        <v>75</v>
      </c>
      <c r="M241" s="8" t="s">
        <v>75</v>
      </c>
      <c r="N241" s="8" t="s">
        <v>306</v>
      </c>
      <c r="O241" s="8" t="s">
        <v>36</v>
      </c>
      <c r="P241" s="8" t="s">
        <v>282</v>
      </c>
      <c r="Q241" s="8" t="s">
        <v>543</v>
      </c>
      <c r="R241" s="8" t="s">
        <v>222</v>
      </c>
      <c r="S241" s="8" t="s">
        <v>237</v>
      </c>
      <c r="T241" s="8" t="s">
        <v>199</v>
      </c>
      <c r="U241" s="8" t="s">
        <v>189</v>
      </c>
      <c r="V241" s="8">
        <v>1</v>
      </c>
      <c r="W241" s="18">
        <v>1</v>
      </c>
      <c r="X241" s="51">
        <v>46150</v>
      </c>
      <c r="Y241" s="51">
        <v>46150</v>
      </c>
      <c r="Z241" s="28">
        <v>5</v>
      </c>
      <c r="AA241" s="16" t="s">
        <v>1699</v>
      </c>
      <c r="AB241" s="8" t="s">
        <v>291</v>
      </c>
      <c r="AC241" s="8" t="s">
        <v>294</v>
      </c>
      <c r="AD241" s="51" t="s">
        <v>137</v>
      </c>
      <c r="AE241" s="19" t="s">
        <v>153</v>
      </c>
      <c r="AF241" s="19" t="s">
        <v>153</v>
      </c>
      <c r="AG241" s="8" t="s">
        <v>292</v>
      </c>
      <c r="AH241" s="51">
        <v>32296</v>
      </c>
      <c r="AI241" s="28">
        <v>38</v>
      </c>
      <c r="AJ241" s="19" t="s">
        <v>1853</v>
      </c>
    </row>
    <row r="242" spans="1:36" ht="12.65" customHeight="1" x14ac:dyDescent="0.35">
      <c r="A242" s="8" t="s">
        <v>139</v>
      </c>
      <c r="B242" s="8" t="s">
        <v>136</v>
      </c>
      <c r="C242" s="8" t="s">
        <v>135</v>
      </c>
      <c r="D242" s="33" t="s">
        <v>1285</v>
      </c>
      <c r="E242" s="14" t="s">
        <v>1286</v>
      </c>
      <c r="F242" s="14" t="s">
        <v>57</v>
      </c>
      <c r="G242" s="14" t="s">
        <v>1</v>
      </c>
      <c r="H242" s="14" t="s">
        <v>9</v>
      </c>
      <c r="I242" s="34" t="s">
        <v>324</v>
      </c>
      <c r="J242" s="8" t="s">
        <v>94</v>
      </c>
      <c r="K242" s="69" t="s">
        <v>325</v>
      </c>
      <c r="L242" s="8" t="s">
        <v>75</v>
      </c>
      <c r="M242" s="8" t="s">
        <v>75</v>
      </c>
      <c r="N242" s="8" t="s">
        <v>306</v>
      </c>
      <c r="O242" s="8" t="s">
        <v>146</v>
      </c>
      <c r="P242" s="8" t="s">
        <v>283</v>
      </c>
      <c r="Q242" s="8" t="s">
        <v>326</v>
      </c>
      <c r="R242" s="8" t="s">
        <v>234</v>
      </c>
      <c r="S242" s="8" t="s">
        <v>241</v>
      </c>
      <c r="T242" s="8" t="s">
        <v>169</v>
      </c>
      <c r="U242" s="8" t="s">
        <v>189</v>
      </c>
      <c r="V242" s="8">
        <v>1</v>
      </c>
      <c r="W242" s="18">
        <v>1</v>
      </c>
      <c r="X242" s="51">
        <v>46100</v>
      </c>
      <c r="Y242" s="51">
        <v>46100</v>
      </c>
      <c r="Z242" s="28">
        <v>6</v>
      </c>
      <c r="AA242" s="16" t="s">
        <v>1710</v>
      </c>
      <c r="AB242" s="8" t="s">
        <v>291</v>
      </c>
      <c r="AC242" s="8" t="s">
        <v>291</v>
      </c>
      <c r="AD242" s="8" t="s">
        <v>137</v>
      </c>
      <c r="AE242" s="8" t="s">
        <v>153</v>
      </c>
      <c r="AF242" s="8" t="s">
        <v>153</v>
      </c>
      <c r="AG242" s="8" t="s">
        <v>292</v>
      </c>
      <c r="AH242" s="51">
        <v>35368</v>
      </c>
      <c r="AI242" s="28">
        <v>29</v>
      </c>
      <c r="AJ242" s="51" t="s">
        <v>1853</v>
      </c>
    </row>
    <row r="243" spans="1:36" ht="12.65" customHeight="1" x14ac:dyDescent="0.35">
      <c r="A243" s="8" t="s">
        <v>139</v>
      </c>
      <c r="B243" s="8" t="s">
        <v>136</v>
      </c>
      <c r="C243" s="8" t="s">
        <v>135</v>
      </c>
      <c r="D243" s="34" t="s">
        <v>1780</v>
      </c>
      <c r="E243" s="14" t="s">
        <v>1779</v>
      </c>
      <c r="F243" s="14" t="s">
        <v>57</v>
      </c>
      <c r="G243" s="14" t="s">
        <v>1</v>
      </c>
      <c r="H243" s="14" t="s">
        <v>9</v>
      </c>
      <c r="I243" s="8" t="s">
        <v>714</v>
      </c>
      <c r="J243" s="8" t="s">
        <v>118</v>
      </c>
      <c r="K243" s="69" t="s">
        <v>715</v>
      </c>
      <c r="L243" s="8" t="s">
        <v>75</v>
      </c>
      <c r="M243" s="8" t="s">
        <v>107</v>
      </c>
      <c r="N243" s="8" t="s">
        <v>306</v>
      </c>
      <c r="O243" s="8" t="s">
        <v>21</v>
      </c>
      <c r="P243" s="8" t="s">
        <v>274</v>
      </c>
      <c r="Q243" s="8" t="s">
        <v>275</v>
      </c>
      <c r="R243" s="8" t="s">
        <v>1628</v>
      </c>
      <c r="S243" s="8" t="s">
        <v>247</v>
      </c>
      <c r="T243" s="8" t="s">
        <v>172</v>
      </c>
      <c r="U243" s="8" t="s">
        <v>189</v>
      </c>
      <c r="V243" s="8">
        <v>1</v>
      </c>
      <c r="W243" s="18">
        <v>1</v>
      </c>
      <c r="X243" s="51">
        <v>46192</v>
      </c>
      <c r="Y243" s="51">
        <v>46192</v>
      </c>
      <c r="Z243" s="28">
        <v>3</v>
      </c>
      <c r="AA243" s="16" t="s">
        <v>1699</v>
      </c>
      <c r="AB243" s="8" t="s">
        <v>395</v>
      </c>
      <c r="AC243" s="8" t="s">
        <v>294</v>
      </c>
      <c r="AD243" s="8" t="s">
        <v>137</v>
      </c>
      <c r="AE243" s="8" t="s">
        <v>153</v>
      </c>
      <c r="AF243" s="8" t="s">
        <v>153</v>
      </c>
      <c r="AG243" s="8" t="s">
        <v>292</v>
      </c>
      <c r="AH243" s="51">
        <v>35168</v>
      </c>
      <c r="AI243" s="28">
        <v>30</v>
      </c>
      <c r="AJ243" s="51" t="s">
        <v>1852</v>
      </c>
    </row>
    <row r="244" spans="1:36" ht="12.65" customHeight="1" x14ac:dyDescent="0.35">
      <c r="A244" s="8" t="s">
        <v>139</v>
      </c>
      <c r="B244" s="8" t="s">
        <v>136</v>
      </c>
      <c r="C244" s="8" t="s">
        <v>135</v>
      </c>
      <c r="D244" s="34" t="s">
        <v>1287</v>
      </c>
      <c r="E244" s="14" t="s">
        <v>1288</v>
      </c>
      <c r="F244" s="14" t="s">
        <v>57</v>
      </c>
      <c r="G244" s="14" t="s">
        <v>1</v>
      </c>
      <c r="H244" s="14" t="s">
        <v>9</v>
      </c>
      <c r="I244" s="34" t="s">
        <v>628</v>
      </c>
      <c r="J244" s="8" t="s">
        <v>1126</v>
      </c>
      <c r="K244" s="69" t="s">
        <v>629</v>
      </c>
      <c r="L244" s="8" t="s">
        <v>299</v>
      </c>
      <c r="M244" s="8" t="s">
        <v>299</v>
      </c>
      <c r="N244" s="8" t="s">
        <v>306</v>
      </c>
      <c r="O244" s="8" t="s">
        <v>13</v>
      </c>
      <c r="P244" s="8" t="s">
        <v>285</v>
      </c>
      <c r="Q244" s="8" t="s">
        <v>285</v>
      </c>
      <c r="R244" s="8" t="s">
        <v>225</v>
      </c>
      <c r="S244" s="8" t="s">
        <v>237</v>
      </c>
      <c r="T244" s="8" t="s">
        <v>175</v>
      </c>
      <c r="U244" s="14" t="s">
        <v>194</v>
      </c>
      <c r="V244" s="8">
        <v>1</v>
      </c>
      <c r="W244" s="18">
        <v>1</v>
      </c>
      <c r="X244" s="51">
        <v>45674</v>
      </c>
      <c r="Y244" s="51">
        <v>45674</v>
      </c>
      <c r="Z244" s="28">
        <v>20</v>
      </c>
      <c r="AA244" s="16" t="s">
        <v>1700</v>
      </c>
      <c r="AB244" s="8" t="s">
        <v>291</v>
      </c>
      <c r="AC244" s="8" t="s">
        <v>291</v>
      </c>
      <c r="AD244" s="19" t="s">
        <v>137</v>
      </c>
      <c r="AE244" s="19">
        <v>3102656195</v>
      </c>
      <c r="AF244" s="19" t="s">
        <v>276</v>
      </c>
      <c r="AG244" s="8" t="s">
        <v>292</v>
      </c>
      <c r="AH244" s="51">
        <v>33508</v>
      </c>
      <c r="AI244" s="28">
        <v>35</v>
      </c>
      <c r="AJ244" s="51" t="s">
        <v>1852</v>
      </c>
    </row>
    <row r="245" spans="1:36" ht="12.65" customHeight="1" x14ac:dyDescent="0.35">
      <c r="A245" s="8" t="s">
        <v>139</v>
      </c>
      <c r="B245" s="8" t="s">
        <v>136</v>
      </c>
      <c r="C245" s="8" t="s">
        <v>135</v>
      </c>
      <c r="D245" s="34" t="s">
        <v>1815</v>
      </c>
      <c r="E245" s="14" t="s">
        <v>1816</v>
      </c>
      <c r="F245" s="14" t="s">
        <v>57</v>
      </c>
      <c r="G245" s="14" t="s">
        <v>1</v>
      </c>
      <c r="H245" s="14" t="s">
        <v>9</v>
      </c>
      <c r="I245" s="34" t="s">
        <v>411</v>
      </c>
      <c r="J245" s="8" t="s">
        <v>412</v>
      </c>
      <c r="K245" s="69" t="s">
        <v>413</v>
      </c>
      <c r="L245" s="8" t="s">
        <v>299</v>
      </c>
      <c r="M245" s="8" t="s">
        <v>299</v>
      </c>
      <c r="N245" s="8" t="s">
        <v>306</v>
      </c>
      <c r="O245" s="8" t="s">
        <v>155</v>
      </c>
      <c r="P245" s="8" t="s">
        <v>287</v>
      </c>
      <c r="Q245" s="8" t="s">
        <v>326</v>
      </c>
      <c r="R245" s="8" t="s">
        <v>234</v>
      </c>
      <c r="S245" s="8" t="s">
        <v>241</v>
      </c>
      <c r="T245" s="8" t="s">
        <v>169</v>
      </c>
      <c r="U245" s="8" t="s">
        <v>194</v>
      </c>
      <c r="V245" s="8">
        <v>1</v>
      </c>
      <c r="W245" s="18">
        <v>1</v>
      </c>
      <c r="X245" s="16">
        <v>46228</v>
      </c>
      <c r="Y245" s="16">
        <v>46228</v>
      </c>
      <c r="Z245" s="28">
        <v>2</v>
      </c>
      <c r="AA245" s="16" t="s">
        <v>1698</v>
      </c>
      <c r="AB245" s="8" t="s">
        <v>294</v>
      </c>
      <c r="AC245" s="8" t="s">
        <v>294</v>
      </c>
      <c r="AD245" s="8" t="s">
        <v>137</v>
      </c>
      <c r="AE245" s="8" t="s">
        <v>153</v>
      </c>
      <c r="AF245" s="8" t="s">
        <v>153</v>
      </c>
      <c r="AG245" s="8" t="s">
        <v>292</v>
      </c>
      <c r="AH245" s="51">
        <v>30395</v>
      </c>
      <c r="AI245" s="28">
        <v>43</v>
      </c>
      <c r="AJ245" s="51" t="s">
        <v>1853</v>
      </c>
    </row>
    <row r="246" spans="1:36" ht="12.65" customHeight="1" x14ac:dyDescent="0.35">
      <c r="A246" s="8" t="s">
        <v>139</v>
      </c>
      <c r="B246" s="8" t="s">
        <v>136</v>
      </c>
      <c r="C246" s="8" t="s">
        <v>135</v>
      </c>
      <c r="D246" s="33" t="s">
        <v>1884</v>
      </c>
      <c r="E246" s="14" t="s">
        <v>1883</v>
      </c>
      <c r="F246" s="14" t="s">
        <v>57</v>
      </c>
      <c r="G246" s="14" t="s">
        <v>1</v>
      </c>
      <c r="H246" s="14" t="s">
        <v>9</v>
      </c>
      <c r="I246" s="34" t="s">
        <v>810</v>
      </c>
      <c r="J246" s="8" t="s">
        <v>1289</v>
      </c>
      <c r="K246" s="69" t="s">
        <v>811</v>
      </c>
      <c r="L246" s="8" t="s">
        <v>410</v>
      </c>
      <c r="M246" s="8" t="s">
        <v>410</v>
      </c>
      <c r="N246" s="8" t="s">
        <v>306</v>
      </c>
      <c r="O246" s="8" t="s">
        <v>416</v>
      </c>
      <c r="P246" s="8" t="s">
        <v>417</v>
      </c>
      <c r="Q246" s="8" t="s">
        <v>326</v>
      </c>
      <c r="R246" s="8" t="s">
        <v>234</v>
      </c>
      <c r="S246" s="8" t="s">
        <v>241</v>
      </c>
      <c r="T246" s="8" t="s">
        <v>169</v>
      </c>
      <c r="U246" s="8" t="s">
        <v>54</v>
      </c>
      <c r="V246" s="8">
        <v>1</v>
      </c>
      <c r="W246" s="18">
        <v>1</v>
      </c>
      <c r="X246" s="51">
        <v>46294</v>
      </c>
      <c r="Y246" s="51">
        <v>46294</v>
      </c>
      <c r="Z246" s="28">
        <v>0</v>
      </c>
      <c r="AA246" s="16" t="s">
        <v>1698</v>
      </c>
      <c r="AB246" s="8" t="s">
        <v>291</v>
      </c>
      <c r="AC246" s="8" t="s">
        <v>293</v>
      </c>
      <c r="AD246" s="8" t="s">
        <v>137</v>
      </c>
      <c r="AE246" s="8" t="s">
        <v>153</v>
      </c>
      <c r="AF246" s="8" t="s">
        <v>153</v>
      </c>
      <c r="AG246" s="8" t="s">
        <v>295</v>
      </c>
      <c r="AH246" s="51">
        <v>32197</v>
      </c>
      <c r="AI246" s="28">
        <v>38</v>
      </c>
      <c r="AJ246" s="51" t="s">
        <v>1853</v>
      </c>
    </row>
    <row r="247" spans="1:36" ht="12.65" customHeight="1" x14ac:dyDescent="0.35">
      <c r="A247" s="8" t="s">
        <v>139</v>
      </c>
      <c r="B247" s="8" t="s">
        <v>136</v>
      </c>
      <c r="C247" s="8" t="s">
        <v>135</v>
      </c>
      <c r="D247" s="34" t="s">
        <v>1642</v>
      </c>
      <c r="E247" s="14" t="s">
        <v>1643</v>
      </c>
      <c r="F247" s="14" t="s">
        <v>60</v>
      </c>
      <c r="G247" s="14" t="s">
        <v>1</v>
      </c>
      <c r="H247" s="14" t="s">
        <v>9</v>
      </c>
      <c r="I247" s="34" t="s">
        <v>385</v>
      </c>
      <c r="J247" s="8" t="s">
        <v>386</v>
      </c>
      <c r="K247" s="69" t="s">
        <v>387</v>
      </c>
      <c r="L247" s="8" t="s">
        <v>299</v>
      </c>
      <c r="M247" s="8" t="s">
        <v>299</v>
      </c>
      <c r="N247" s="8" t="s">
        <v>306</v>
      </c>
      <c r="O247" s="8" t="s">
        <v>13</v>
      </c>
      <c r="P247" s="8" t="s">
        <v>285</v>
      </c>
      <c r="Q247" s="8" t="s">
        <v>285</v>
      </c>
      <c r="R247" s="8" t="s">
        <v>225</v>
      </c>
      <c r="S247" s="8" t="s">
        <v>237</v>
      </c>
      <c r="T247" s="8" t="s">
        <v>175</v>
      </c>
      <c r="U247" s="8" t="s">
        <v>194</v>
      </c>
      <c r="V247" s="8">
        <v>1</v>
      </c>
      <c r="W247" s="18">
        <v>1</v>
      </c>
      <c r="X247" s="51">
        <v>45659</v>
      </c>
      <c r="Y247" s="51">
        <v>44056</v>
      </c>
      <c r="Z247" s="28">
        <v>74</v>
      </c>
      <c r="AA247" s="16" t="s">
        <v>1701</v>
      </c>
      <c r="AB247" s="8" t="s">
        <v>291</v>
      </c>
      <c r="AC247" s="8" t="s">
        <v>291</v>
      </c>
      <c r="AD247" s="19" t="s">
        <v>134</v>
      </c>
      <c r="AE247" s="19">
        <v>3102661393</v>
      </c>
      <c r="AF247" s="19" t="s">
        <v>276</v>
      </c>
      <c r="AG247" s="8" t="s">
        <v>292</v>
      </c>
      <c r="AH247" s="51">
        <v>34899</v>
      </c>
      <c r="AI247" s="28">
        <v>31</v>
      </c>
      <c r="AJ247" s="51" t="s">
        <v>1853</v>
      </c>
    </row>
    <row r="248" spans="1:36" ht="12.65" customHeight="1" x14ac:dyDescent="0.35">
      <c r="A248" s="8" t="s">
        <v>139</v>
      </c>
      <c r="B248" s="8" t="s">
        <v>136</v>
      </c>
      <c r="C248" s="8" t="s">
        <v>135</v>
      </c>
      <c r="D248" s="33" t="s">
        <v>1292</v>
      </c>
      <c r="E248" s="14" t="s">
        <v>1293</v>
      </c>
      <c r="F248" s="14" t="s">
        <v>57</v>
      </c>
      <c r="G248" s="14" t="s">
        <v>1</v>
      </c>
      <c r="H248" s="14" t="s">
        <v>9</v>
      </c>
      <c r="I248" s="34" t="s">
        <v>723</v>
      </c>
      <c r="J248" s="8" t="s">
        <v>859</v>
      </c>
      <c r="K248" s="69" t="s">
        <v>724</v>
      </c>
      <c r="L248" s="8" t="s">
        <v>548</v>
      </c>
      <c r="M248" s="8" t="s">
        <v>548</v>
      </c>
      <c r="N248" s="8" t="s">
        <v>306</v>
      </c>
      <c r="O248" s="8" t="s">
        <v>146</v>
      </c>
      <c r="P248" s="8" t="s">
        <v>283</v>
      </c>
      <c r="Q248" s="8" t="s">
        <v>326</v>
      </c>
      <c r="R248" s="8" t="s">
        <v>234</v>
      </c>
      <c r="S248" s="8" t="s">
        <v>241</v>
      </c>
      <c r="T248" s="8" t="s">
        <v>160</v>
      </c>
      <c r="U248" s="8" t="s">
        <v>186</v>
      </c>
      <c r="V248" s="8">
        <v>1</v>
      </c>
      <c r="W248" s="18">
        <v>1</v>
      </c>
      <c r="X248" s="53">
        <v>45659</v>
      </c>
      <c r="Y248" s="53">
        <v>44980</v>
      </c>
      <c r="Z248" s="28">
        <v>43</v>
      </c>
      <c r="AA248" s="16" t="s">
        <v>1701</v>
      </c>
      <c r="AB248" s="8" t="s">
        <v>291</v>
      </c>
      <c r="AC248" s="8" t="s">
        <v>291</v>
      </c>
      <c r="AD248" s="14" t="s">
        <v>134</v>
      </c>
      <c r="AE248" s="8">
        <v>3102637408</v>
      </c>
      <c r="AF248" s="8" t="s">
        <v>276</v>
      </c>
      <c r="AG248" s="8" t="s">
        <v>292</v>
      </c>
      <c r="AH248" s="51">
        <v>32186</v>
      </c>
      <c r="AI248" s="28">
        <v>38</v>
      </c>
      <c r="AJ248" s="51" t="s">
        <v>1853</v>
      </c>
    </row>
    <row r="249" spans="1:36" ht="12.65" customHeight="1" x14ac:dyDescent="0.35">
      <c r="A249" s="8" t="s">
        <v>139</v>
      </c>
      <c r="B249" s="8" t="s">
        <v>136</v>
      </c>
      <c r="C249" s="8" t="s">
        <v>135</v>
      </c>
      <c r="D249" s="34" t="s">
        <v>1810</v>
      </c>
      <c r="E249" s="14" t="s">
        <v>1808</v>
      </c>
      <c r="F249" s="14" t="s">
        <v>57</v>
      </c>
      <c r="G249" s="14" t="s">
        <v>1</v>
      </c>
      <c r="H249" s="14" t="s">
        <v>9</v>
      </c>
      <c r="I249" s="34" t="s">
        <v>823</v>
      </c>
      <c r="J249" s="8" t="s">
        <v>824</v>
      </c>
      <c r="K249" s="69" t="s">
        <v>825</v>
      </c>
      <c r="L249" s="8" t="s">
        <v>382</v>
      </c>
      <c r="M249" s="8" t="s">
        <v>382</v>
      </c>
      <c r="N249" s="8" t="s">
        <v>306</v>
      </c>
      <c r="O249" s="8" t="s">
        <v>149</v>
      </c>
      <c r="P249" s="8" t="s">
        <v>286</v>
      </c>
      <c r="Q249" s="8" t="s">
        <v>865</v>
      </c>
      <c r="R249" s="8" t="s">
        <v>1628</v>
      </c>
      <c r="S249" s="8" t="s">
        <v>247</v>
      </c>
      <c r="T249" s="8" t="s">
        <v>157</v>
      </c>
      <c r="U249" s="8" t="s">
        <v>192</v>
      </c>
      <c r="V249" s="8">
        <v>1</v>
      </c>
      <c r="W249" s="18">
        <v>1</v>
      </c>
      <c r="X249" s="51">
        <v>46225</v>
      </c>
      <c r="Y249" s="51">
        <v>46225</v>
      </c>
      <c r="Z249" s="28">
        <v>2</v>
      </c>
      <c r="AA249" s="16" t="s">
        <v>1698</v>
      </c>
      <c r="AB249" s="8" t="s">
        <v>291</v>
      </c>
      <c r="AC249" s="8" t="s">
        <v>293</v>
      </c>
      <c r="AD249" s="14" t="s">
        <v>137</v>
      </c>
      <c r="AE249" s="14" t="s">
        <v>153</v>
      </c>
      <c r="AF249" s="14" t="s">
        <v>153</v>
      </c>
      <c r="AG249" s="8" t="s">
        <v>292</v>
      </c>
      <c r="AH249" s="51">
        <v>39409</v>
      </c>
      <c r="AI249" s="28">
        <v>18</v>
      </c>
      <c r="AJ249" s="51" t="s">
        <v>1852</v>
      </c>
    </row>
    <row r="250" spans="1:36" ht="12.65" customHeight="1" x14ac:dyDescent="0.35">
      <c r="A250" s="8" t="s">
        <v>139</v>
      </c>
      <c r="B250" s="8" t="s">
        <v>136</v>
      </c>
      <c r="C250" s="8" t="s">
        <v>135</v>
      </c>
      <c r="D250" s="33" t="s">
        <v>1041</v>
      </c>
      <c r="E250" s="14" t="s">
        <v>1042</v>
      </c>
      <c r="F250" s="14" t="s">
        <v>57</v>
      </c>
      <c r="G250" s="14" t="s">
        <v>1</v>
      </c>
      <c r="H250" s="14" t="s">
        <v>9</v>
      </c>
      <c r="I250" s="34" t="s">
        <v>762</v>
      </c>
      <c r="J250" s="8" t="s">
        <v>1296</v>
      </c>
      <c r="K250" s="69" t="s">
        <v>763</v>
      </c>
      <c r="L250" s="8" t="s">
        <v>299</v>
      </c>
      <c r="M250" s="8" t="s">
        <v>299</v>
      </c>
      <c r="N250" s="8" t="s">
        <v>306</v>
      </c>
      <c r="O250" s="8" t="s">
        <v>11</v>
      </c>
      <c r="P250" s="8" t="s">
        <v>274</v>
      </c>
      <c r="Q250" s="8" t="s">
        <v>275</v>
      </c>
      <c r="R250" s="8" t="s">
        <v>231</v>
      </c>
      <c r="S250" s="8" t="s">
        <v>247</v>
      </c>
      <c r="T250" s="8" t="s">
        <v>208</v>
      </c>
      <c r="U250" s="8" t="s">
        <v>194</v>
      </c>
      <c r="V250" s="8">
        <v>1</v>
      </c>
      <c r="W250" s="18">
        <v>1</v>
      </c>
      <c r="X250" s="16">
        <v>45680</v>
      </c>
      <c r="Y250" s="16">
        <v>45680</v>
      </c>
      <c r="Z250" s="28">
        <v>20</v>
      </c>
      <c r="AA250" s="16" t="s">
        <v>1700</v>
      </c>
      <c r="AB250" s="8" t="s">
        <v>293</v>
      </c>
      <c r="AC250" s="8" t="s">
        <v>293</v>
      </c>
      <c r="AD250" s="8" t="s">
        <v>137</v>
      </c>
      <c r="AE250" s="8">
        <v>3102690616</v>
      </c>
      <c r="AF250" s="8" t="s">
        <v>276</v>
      </c>
      <c r="AG250" s="8" t="s">
        <v>292</v>
      </c>
      <c r="AH250" s="51">
        <v>35197</v>
      </c>
      <c r="AI250" s="28">
        <v>30</v>
      </c>
      <c r="AJ250" s="51" t="s">
        <v>1852</v>
      </c>
    </row>
    <row r="251" spans="1:36" ht="12.65" customHeight="1" x14ac:dyDescent="0.35">
      <c r="A251" s="8" t="s">
        <v>139</v>
      </c>
      <c r="B251" s="8" t="s">
        <v>136</v>
      </c>
      <c r="C251" s="8" t="s">
        <v>135</v>
      </c>
      <c r="D251" s="33" t="s">
        <v>1297</v>
      </c>
      <c r="E251" s="14" t="s">
        <v>1298</v>
      </c>
      <c r="F251" s="14" t="s">
        <v>57</v>
      </c>
      <c r="G251" s="14" t="s">
        <v>1</v>
      </c>
      <c r="H251" s="14" t="s">
        <v>9</v>
      </c>
      <c r="I251" s="34" t="s">
        <v>616</v>
      </c>
      <c r="J251" s="8" t="s">
        <v>617</v>
      </c>
      <c r="K251" s="69" t="s">
        <v>618</v>
      </c>
      <c r="L251" s="8" t="s">
        <v>299</v>
      </c>
      <c r="M251" s="8" t="s">
        <v>299</v>
      </c>
      <c r="N251" s="8" t="s">
        <v>306</v>
      </c>
      <c r="O251" s="8" t="s">
        <v>11</v>
      </c>
      <c r="P251" s="8" t="s">
        <v>274</v>
      </c>
      <c r="Q251" s="8" t="s">
        <v>275</v>
      </c>
      <c r="R251" s="8" t="s">
        <v>231</v>
      </c>
      <c r="S251" s="8" t="s">
        <v>247</v>
      </c>
      <c r="T251" s="8" t="s">
        <v>208</v>
      </c>
      <c r="U251" s="8" t="s">
        <v>194</v>
      </c>
      <c r="V251" s="8">
        <v>1</v>
      </c>
      <c r="W251" s="18">
        <v>1</v>
      </c>
      <c r="X251" s="51">
        <v>45659</v>
      </c>
      <c r="Y251" s="51">
        <v>44994</v>
      </c>
      <c r="Z251" s="28">
        <v>43</v>
      </c>
      <c r="AA251" s="16" t="s">
        <v>1701</v>
      </c>
      <c r="AB251" s="8" t="s">
        <v>291</v>
      </c>
      <c r="AC251" s="8" t="s">
        <v>291</v>
      </c>
      <c r="AD251" s="8" t="s">
        <v>134</v>
      </c>
      <c r="AE251" s="8">
        <v>3102615306</v>
      </c>
      <c r="AF251" s="8" t="s">
        <v>276</v>
      </c>
      <c r="AG251" s="8" t="s">
        <v>292</v>
      </c>
      <c r="AH251" s="51">
        <v>33506</v>
      </c>
      <c r="AI251" s="28">
        <v>35</v>
      </c>
      <c r="AJ251" s="51" t="s">
        <v>1852</v>
      </c>
    </row>
    <row r="252" spans="1:36" ht="12.65" customHeight="1" x14ac:dyDescent="0.35">
      <c r="A252" s="8" t="s">
        <v>139</v>
      </c>
      <c r="B252" s="8" t="s">
        <v>136</v>
      </c>
      <c r="C252" s="8" t="s">
        <v>135</v>
      </c>
      <c r="D252" s="33" t="s">
        <v>1299</v>
      </c>
      <c r="E252" s="14" t="s">
        <v>52</v>
      </c>
      <c r="F252" s="14" t="s">
        <v>57</v>
      </c>
      <c r="G252" s="14" t="s">
        <v>1</v>
      </c>
      <c r="H252" s="14" t="s">
        <v>9</v>
      </c>
      <c r="I252" s="34" t="s">
        <v>425</v>
      </c>
      <c r="J252" s="8" t="s">
        <v>426</v>
      </c>
      <c r="K252" s="69" t="s">
        <v>427</v>
      </c>
      <c r="L252" s="8" t="s">
        <v>391</v>
      </c>
      <c r="M252" s="8" t="s">
        <v>428</v>
      </c>
      <c r="N252" s="8" t="s">
        <v>393</v>
      </c>
      <c r="O252" s="8" t="s">
        <v>13</v>
      </c>
      <c r="P252" s="8" t="s">
        <v>285</v>
      </c>
      <c r="Q252" s="8" t="s">
        <v>285</v>
      </c>
      <c r="R252" s="8" t="s">
        <v>225</v>
      </c>
      <c r="S252" s="8" t="s">
        <v>237</v>
      </c>
      <c r="T252" s="8" t="s">
        <v>216</v>
      </c>
      <c r="U252" s="8" t="s">
        <v>183</v>
      </c>
      <c r="V252" s="8">
        <v>1</v>
      </c>
      <c r="W252" s="18">
        <v>1</v>
      </c>
      <c r="X252" s="51">
        <v>45659</v>
      </c>
      <c r="Y252" s="51">
        <v>45659</v>
      </c>
      <c r="Z252" s="28">
        <v>21</v>
      </c>
      <c r="AA252" s="16" t="s">
        <v>1700</v>
      </c>
      <c r="AB252" s="8" t="s">
        <v>395</v>
      </c>
      <c r="AC252" s="8" t="s">
        <v>395</v>
      </c>
      <c r="AD252" s="19" t="s">
        <v>134</v>
      </c>
      <c r="AE252" s="19">
        <v>3102642421</v>
      </c>
      <c r="AF252" s="19" t="s">
        <v>276</v>
      </c>
      <c r="AG252" s="8" t="s">
        <v>295</v>
      </c>
      <c r="AH252" s="51">
        <v>33965</v>
      </c>
      <c r="AI252" s="28">
        <v>33</v>
      </c>
      <c r="AJ252" s="51" t="s">
        <v>1853</v>
      </c>
    </row>
    <row r="253" spans="1:36" ht="12.65" customHeight="1" x14ac:dyDescent="0.35">
      <c r="A253" s="8" t="s">
        <v>139</v>
      </c>
      <c r="B253" s="8" t="s">
        <v>136</v>
      </c>
      <c r="C253" s="8" t="s">
        <v>135</v>
      </c>
      <c r="D253" s="34" t="s">
        <v>1648</v>
      </c>
      <c r="E253" s="14" t="s">
        <v>1649</v>
      </c>
      <c r="F253" s="14" t="s">
        <v>60</v>
      </c>
      <c r="G253" s="14" t="s">
        <v>1</v>
      </c>
      <c r="H253" s="14" t="s">
        <v>9</v>
      </c>
      <c r="I253" s="34" t="s">
        <v>354</v>
      </c>
      <c r="J253" s="8" t="s">
        <v>111</v>
      </c>
      <c r="K253" s="69" t="s">
        <v>355</v>
      </c>
      <c r="L253" s="8" t="s">
        <v>75</v>
      </c>
      <c r="M253" s="8" t="s">
        <v>107</v>
      </c>
      <c r="N253" s="8" t="s">
        <v>306</v>
      </c>
      <c r="O253" s="8" t="s">
        <v>11</v>
      </c>
      <c r="P253" s="8" t="s">
        <v>274</v>
      </c>
      <c r="Q253" s="8" t="s">
        <v>275</v>
      </c>
      <c r="R253" s="8" t="s">
        <v>1628</v>
      </c>
      <c r="S253" s="8" t="s">
        <v>247</v>
      </c>
      <c r="T253" s="8" t="s">
        <v>172</v>
      </c>
      <c r="U253" s="8" t="s">
        <v>189</v>
      </c>
      <c r="V253" s="8">
        <v>1</v>
      </c>
      <c r="W253" s="18">
        <v>1</v>
      </c>
      <c r="X253" s="53">
        <v>45784</v>
      </c>
      <c r="Y253" s="53">
        <v>45784</v>
      </c>
      <c r="Z253" s="28">
        <v>17</v>
      </c>
      <c r="AA253" s="16" t="s">
        <v>1700</v>
      </c>
      <c r="AB253" s="8" t="s">
        <v>395</v>
      </c>
      <c r="AC253" s="8" t="s">
        <v>294</v>
      </c>
      <c r="AD253" s="39" t="s">
        <v>137</v>
      </c>
      <c r="AE253" s="39">
        <v>3115960487</v>
      </c>
      <c r="AF253" s="39" t="s">
        <v>276</v>
      </c>
      <c r="AG253" s="8" t="s">
        <v>292</v>
      </c>
      <c r="AH253" s="53">
        <v>35724</v>
      </c>
      <c r="AI253" s="31">
        <v>28</v>
      </c>
      <c r="AJ253" s="74" t="s">
        <v>1853</v>
      </c>
    </row>
    <row r="254" spans="1:36" ht="12.65" customHeight="1" x14ac:dyDescent="0.35">
      <c r="A254" s="8" t="s">
        <v>139</v>
      </c>
      <c r="B254" s="8" t="s">
        <v>136</v>
      </c>
      <c r="C254" s="8" t="s">
        <v>135</v>
      </c>
      <c r="D254" s="35" t="s">
        <v>1307</v>
      </c>
      <c r="E254" s="14" t="s">
        <v>1308</v>
      </c>
      <c r="F254" s="14" t="s">
        <v>57</v>
      </c>
      <c r="G254" s="14" t="s">
        <v>1</v>
      </c>
      <c r="H254" s="14" t="s">
        <v>9</v>
      </c>
      <c r="I254" s="34" t="s">
        <v>499</v>
      </c>
      <c r="J254" s="8" t="s">
        <v>1309</v>
      </c>
      <c r="K254" s="69" t="s">
        <v>500</v>
      </c>
      <c r="L254" s="8" t="s">
        <v>406</v>
      </c>
      <c r="M254" s="8" t="s">
        <v>407</v>
      </c>
      <c r="N254" s="8" t="s">
        <v>306</v>
      </c>
      <c r="O254" s="8" t="s">
        <v>394</v>
      </c>
      <c r="P254" s="8" t="s">
        <v>285</v>
      </c>
      <c r="Q254" s="8" t="s">
        <v>285</v>
      </c>
      <c r="R254" s="8" t="s">
        <v>225</v>
      </c>
      <c r="S254" s="8" t="s">
        <v>237</v>
      </c>
      <c r="T254" s="8" t="s">
        <v>216</v>
      </c>
      <c r="U254" s="8" t="s">
        <v>186</v>
      </c>
      <c r="V254" s="8">
        <v>0</v>
      </c>
      <c r="W254" s="18">
        <v>0.5</v>
      </c>
      <c r="X254" s="51">
        <v>46106</v>
      </c>
      <c r="Y254" s="51">
        <v>46106</v>
      </c>
      <c r="Z254" s="28">
        <v>6</v>
      </c>
      <c r="AA254" s="16" t="s">
        <v>1710</v>
      </c>
      <c r="AB254" s="8" t="s">
        <v>395</v>
      </c>
      <c r="AC254" s="8" t="s">
        <v>395</v>
      </c>
      <c r="AD254" s="8" t="s">
        <v>137</v>
      </c>
      <c r="AE254" s="8" t="s">
        <v>153</v>
      </c>
      <c r="AF254" s="8" t="s">
        <v>153</v>
      </c>
      <c r="AG254" s="8" t="s">
        <v>295</v>
      </c>
      <c r="AH254" s="51">
        <v>33370</v>
      </c>
      <c r="AI254" s="28">
        <v>35</v>
      </c>
      <c r="AJ254" s="51" t="s">
        <v>1853</v>
      </c>
    </row>
    <row r="255" spans="1:36" ht="12.65" customHeight="1" x14ac:dyDescent="0.35">
      <c r="A255" s="8" t="s">
        <v>139</v>
      </c>
      <c r="B255" s="8" t="s">
        <v>136</v>
      </c>
      <c r="C255" s="8" t="s">
        <v>135</v>
      </c>
      <c r="D255" s="34" t="s">
        <v>1307</v>
      </c>
      <c r="E255" s="14" t="s">
        <v>1308</v>
      </c>
      <c r="F255" s="14" t="s">
        <v>57</v>
      </c>
      <c r="G255" s="14" t="s">
        <v>1</v>
      </c>
      <c r="H255" s="14" t="s">
        <v>9</v>
      </c>
      <c r="I255" s="34" t="s">
        <v>676</v>
      </c>
      <c r="J255" s="8" t="s">
        <v>1310</v>
      </c>
      <c r="K255" s="69" t="s">
        <v>677</v>
      </c>
      <c r="L255" s="8" t="s">
        <v>406</v>
      </c>
      <c r="M255" s="8" t="s">
        <v>407</v>
      </c>
      <c r="N255" s="8" t="s">
        <v>306</v>
      </c>
      <c r="O255" s="8" t="s">
        <v>13</v>
      </c>
      <c r="P255" s="8" t="s">
        <v>285</v>
      </c>
      <c r="Q255" s="8" t="s">
        <v>285</v>
      </c>
      <c r="R255" s="8" t="s">
        <v>225</v>
      </c>
      <c r="S255" s="8" t="s">
        <v>237</v>
      </c>
      <c r="T255" s="8" t="s">
        <v>216</v>
      </c>
      <c r="U255" s="8" t="s">
        <v>186</v>
      </c>
      <c r="V255" s="8">
        <v>1</v>
      </c>
      <c r="W255" s="18">
        <v>0.5</v>
      </c>
      <c r="X255" s="51">
        <v>46106</v>
      </c>
      <c r="Y255" s="51">
        <v>46106</v>
      </c>
      <c r="Z255" s="28">
        <v>6</v>
      </c>
      <c r="AA255" s="16" t="s">
        <v>1710</v>
      </c>
      <c r="AB255" s="8" t="s">
        <v>395</v>
      </c>
      <c r="AC255" s="8" t="s">
        <v>395</v>
      </c>
      <c r="AD255" s="8" t="s">
        <v>137</v>
      </c>
      <c r="AE255" s="8" t="s">
        <v>153</v>
      </c>
      <c r="AF255" s="8" t="s">
        <v>153</v>
      </c>
      <c r="AG255" s="8" t="s">
        <v>292</v>
      </c>
      <c r="AH255" s="51">
        <v>33370</v>
      </c>
      <c r="AI255" s="28">
        <v>35</v>
      </c>
      <c r="AJ255" s="51" t="s">
        <v>1853</v>
      </c>
    </row>
    <row r="256" spans="1:36" ht="12.65" customHeight="1" x14ac:dyDescent="0.35">
      <c r="A256" s="8" t="s">
        <v>139</v>
      </c>
      <c r="B256" s="8" t="s">
        <v>136</v>
      </c>
      <c r="C256" s="8" t="s">
        <v>135</v>
      </c>
      <c r="D256" s="34" t="s">
        <v>1311</v>
      </c>
      <c r="E256" s="14" t="s">
        <v>1312</v>
      </c>
      <c r="F256" s="14" t="s">
        <v>57</v>
      </c>
      <c r="G256" s="14" t="s">
        <v>1</v>
      </c>
      <c r="H256" s="14" t="s">
        <v>9</v>
      </c>
      <c r="I256" s="34" t="s">
        <v>1313</v>
      </c>
      <c r="J256" s="8" t="s">
        <v>1314</v>
      </c>
      <c r="K256" s="69" t="s">
        <v>1315</v>
      </c>
      <c r="L256" s="8" t="s">
        <v>299</v>
      </c>
      <c r="M256" s="8" t="s">
        <v>299</v>
      </c>
      <c r="N256" s="8" t="s">
        <v>306</v>
      </c>
      <c r="O256" s="8" t="s">
        <v>964</v>
      </c>
      <c r="P256" s="8" t="s">
        <v>282</v>
      </c>
      <c r="Q256" s="8" t="s">
        <v>543</v>
      </c>
      <c r="R256" s="8" t="s">
        <v>222</v>
      </c>
      <c r="S256" s="8" t="s">
        <v>237</v>
      </c>
      <c r="T256" s="8" t="s">
        <v>244</v>
      </c>
      <c r="U256" s="8" t="s">
        <v>194</v>
      </c>
      <c r="V256" s="8">
        <v>1</v>
      </c>
      <c r="W256" s="18">
        <v>1</v>
      </c>
      <c r="X256" s="51">
        <v>45659</v>
      </c>
      <c r="Y256" s="51">
        <v>44484</v>
      </c>
      <c r="Z256" s="28">
        <v>60</v>
      </c>
      <c r="AA256" s="16" t="s">
        <v>1701</v>
      </c>
      <c r="AB256" s="8" t="s">
        <v>291</v>
      </c>
      <c r="AC256" s="8" t="s">
        <v>293</v>
      </c>
      <c r="AD256" s="8" t="s">
        <v>134</v>
      </c>
      <c r="AE256" s="8">
        <v>3102616913</v>
      </c>
      <c r="AF256" s="8" t="s">
        <v>276</v>
      </c>
      <c r="AG256" s="8" t="s">
        <v>292</v>
      </c>
      <c r="AH256" s="51">
        <v>35001</v>
      </c>
      <c r="AI256" s="28">
        <v>30</v>
      </c>
      <c r="AJ256" s="51" t="s">
        <v>1853</v>
      </c>
    </row>
    <row r="257" spans="1:36" ht="12.65" customHeight="1" x14ac:dyDescent="0.35">
      <c r="A257" s="8" t="s">
        <v>139</v>
      </c>
      <c r="B257" s="8" t="s">
        <v>136</v>
      </c>
      <c r="C257" s="8" t="s">
        <v>135</v>
      </c>
      <c r="D257" s="35" t="s">
        <v>1485</v>
      </c>
      <c r="E257" s="14" t="s">
        <v>1486</v>
      </c>
      <c r="F257" s="43" t="s">
        <v>57</v>
      </c>
      <c r="G257" s="14" t="s">
        <v>1</v>
      </c>
      <c r="H257" s="14" t="s">
        <v>9</v>
      </c>
      <c r="I257" s="8" t="s">
        <v>1318</v>
      </c>
      <c r="J257" s="8" t="s">
        <v>1319</v>
      </c>
      <c r="K257" s="69" t="s">
        <v>1320</v>
      </c>
      <c r="L257" s="8" t="s">
        <v>406</v>
      </c>
      <c r="M257" s="8" t="s">
        <v>456</v>
      </c>
      <c r="N257" s="8" t="s">
        <v>393</v>
      </c>
      <c r="O257" s="8" t="s">
        <v>11</v>
      </c>
      <c r="P257" s="8" t="s">
        <v>274</v>
      </c>
      <c r="Q257" s="8" t="s">
        <v>275</v>
      </c>
      <c r="R257" s="8" t="s">
        <v>231</v>
      </c>
      <c r="S257" s="8" t="s">
        <v>247</v>
      </c>
      <c r="T257" s="8" t="s">
        <v>163</v>
      </c>
      <c r="U257" s="8" t="s">
        <v>192</v>
      </c>
      <c r="V257" s="8">
        <v>1</v>
      </c>
      <c r="W257" s="18">
        <v>0.5</v>
      </c>
      <c r="X257" s="54">
        <v>46165</v>
      </c>
      <c r="Y257" s="54">
        <v>46165</v>
      </c>
      <c r="Z257" s="28">
        <v>4</v>
      </c>
      <c r="AA257" s="16" t="s">
        <v>1699</v>
      </c>
      <c r="AB257" s="8" t="s">
        <v>307</v>
      </c>
      <c r="AC257" s="8" t="s">
        <v>307</v>
      </c>
      <c r="AD257" s="41" t="s">
        <v>137</v>
      </c>
      <c r="AE257" s="41" t="s">
        <v>153</v>
      </c>
      <c r="AF257" s="41" t="s">
        <v>153</v>
      </c>
      <c r="AG257" s="8" t="s">
        <v>295</v>
      </c>
      <c r="AH257" s="51">
        <v>30793</v>
      </c>
      <c r="AI257" s="28">
        <v>42</v>
      </c>
      <c r="AJ257" s="51" t="s">
        <v>1853</v>
      </c>
    </row>
    <row r="258" spans="1:36" ht="12.65" customHeight="1" x14ac:dyDescent="0.35">
      <c r="A258" s="8" t="s">
        <v>139</v>
      </c>
      <c r="B258" s="8" t="s">
        <v>136</v>
      </c>
      <c r="C258" s="8" t="s">
        <v>135</v>
      </c>
      <c r="D258" s="35" t="s">
        <v>1485</v>
      </c>
      <c r="E258" s="14" t="s">
        <v>1486</v>
      </c>
      <c r="F258" s="43" t="s">
        <v>57</v>
      </c>
      <c r="G258" s="14" t="s">
        <v>1</v>
      </c>
      <c r="H258" s="14" t="s">
        <v>9</v>
      </c>
      <c r="I258" s="34" t="s">
        <v>463</v>
      </c>
      <c r="J258" s="8" t="s">
        <v>1321</v>
      </c>
      <c r="K258" s="69" t="s">
        <v>464</v>
      </c>
      <c r="L258" s="8" t="s">
        <v>406</v>
      </c>
      <c r="M258" s="8" t="s">
        <v>456</v>
      </c>
      <c r="N258" s="8" t="s">
        <v>393</v>
      </c>
      <c r="O258" s="8" t="s">
        <v>11</v>
      </c>
      <c r="P258" s="8" t="s">
        <v>274</v>
      </c>
      <c r="Q258" s="8" t="s">
        <v>275</v>
      </c>
      <c r="R258" s="8" t="s">
        <v>231</v>
      </c>
      <c r="S258" s="8" t="s">
        <v>247</v>
      </c>
      <c r="T258" s="8" t="s">
        <v>163</v>
      </c>
      <c r="U258" s="8" t="s">
        <v>192</v>
      </c>
      <c r="V258" s="8">
        <v>0</v>
      </c>
      <c r="W258" s="18">
        <v>0.5</v>
      </c>
      <c r="X258" s="54">
        <v>46165</v>
      </c>
      <c r="Y258" s="54">
        <v>46165</v>
      </c>
      <c r="Z258" s="28">
        <v>4</v>
      </c>
      <c r="AA258" s="16" t="s">
        <v>1699</v>
      </c>
      <c r="AB258" s="8" t="s">
        <v>294</v>
      </c>
      <c r="AC258" s="8" t="s">
        <v>294</v>
      </c>
      <c r="AD258" s="41" t="s">
        <v>137</v>
      </c>
      <c r="AE258" s="41" t="s">
        <v>153</v>
      </c>
      <c r="AF258" s="41" t="s">
        <v>153</v>
      </c>
      <c r="AG258" s="8" t="s">
        <v>295</v>
      </c>
      <c r="AH258" s="51">
        <v>30793</v>
      </c>
      <c r="AI258" s="28">
        <v>42</v>
      </c>
      <c r="AJ258" s="51" t="s">
        <v>1853</v>
      </c>
    </row>
    <row r="259" spans="1:36" ht="12.65" customHeight="1" x14ac:dyDescent="0.35">
      <c r="A259" s="8" t="s">
        <v>139</v>
      </c>
      <c r="B259" s="8" t="s">
        <v>136</v>
      </c>
      <c r="C259" s="8" t="s">
        <v>135</v>
      </c>
      <c r="D259" s="35" t="s">
        <v>1322</v>
      </c>
      <c r="E259" s="14" t="s">
        <v>1323</v>
      </c>
      <c r="F259" s="14" t="s">
        <v>57</v>
      </c>
      <c r="G259" s="14" t="s">
        <v>1</v>
      </c>
      <c r="H259" s="14" t="s">
        <v>9</v>
      </c>
      <c r="I259" s="34" t="s">
        <v>537</v>
      </c>
      <c r="J259" s="8" t="s">
        <v>538</v>
      </c>
      <c r="K259" s="69" t="s">
        <v>539</v>
      </c>
      <c r="L259" s="8" t="s">
        <v>406</v>
      </c>
      <c r="M259" s="8" t="s">
        <v>456</v>
      </c>
      <c r="N259" s="8" t="s">
        <v>393</v>
      </c>
      <c r="O259" s="8" t="s">
        <v>11</v>
      </c>
      <c r="P259" s="8" t="s">
        <v>274</v>
      </c>
      <c r="Q259" s="8" t="s">
        <v>275</v>
      </c>
      <c r="R259" s="8" t="s">
        <v>231</v>
      </c>
      <c r="S259" s="8" t="s">
        <v>247</v>
      </c>
      <c r="T259" s="8" t="s">
        <v>163</v>
      </c>
      <c r="U259" s="8" t="s">
        <v>192</v>
      </c>
      <c r="V259" s="8">
        <v>1</v>
      </c>
      <c r="W259" s="18">
        <v>1</v>
      </c>
      <c r="X259" s="51">
        <v>45677</v>
      </c>
      <c r="Y259" s="51">
        <v>45677</v>
      </c>
      <c r="Z259" s="28">
        <v>20</v>
      </c>
      <c r="AA259" s="16" t="s">
        <v>1700</v>
      </c>
      <c r="AB259" s="8" t="s">
        <v>294</v>
      </c>
      <c r="AC259" s="8" t="s">
        <v>294</v>
      </c>
      <c r="AD259" s="19" t="s">
        <v>137</v>
      </c>
      <c r="AE259" s="19">
        <v>3102612765</v>
      </c>
      <c r="AF259" s="19" t="s">
        <v>276</v>
      </c>
      <c r="AG259" s="8" t="s">
        <v>295</v>
      </c>
      <c r="AH259" s="51">
        <v>33127</v>
      </c>
      <c r="AI259" s="28">
        <v>36</v>
      </c>
      <c r="AJ259" s="51" t="s">
        <v>1853</v>
      </c>
    </row>
    <row r="260" spans="1:36" ht="12.65" customHeight="1" x14ac:dyDescent="0.35">
      <c r="A260" s="8" t="s">
        <v>139</v>
      </c>
      <c r="B260" s="8" t="s">
        <v>136</v>
      </c>
      <c r="C260" s="8" t="s">
        <v>135</v>
      </c>
      <c r="D260" s="35" t="s">
        <v>1324</v>
      </c>
      <c r="E260" s="14" t="s">
        <v>1325</v>
      </c>
      <c r="F260" s="14" t="s">
        <v>60</v>
      </c>
      <c r="G260" s="14" t="s">
        <v>1</v>
      </c>
      <c r="H260" s="14" t="s">
        <v>9</v>
      </c>
      <c r="I260" s="8" t="s">
        <v>1326</v>
      </c>
      <c r="J260" s="8" t="s">
        <v>1327</v>
      </c>
      <c r="K260" s="69" t="s">
        <v>1328</v>
      </c>
      <c r="L260" s="8" t="s">
        <v>871</v>
      </c>
      <c r="M260" s="8" t="s">
        <v>872</v>
      </c>
      <c r="N260" s="8" t="s">
        <v>393</v>
      </c>
      <c r="O260" s="8" t="s">
        <v>11</v>
      </c>
      <c r="P260" s="8" t="s">
        <v>274</v>
      </c>
      <c r="Q260" s="8" t="s">
        <v>275</v>
      </c>
      <c r="R260" s="8" t="s">
        <v>231</v>
      </c>
      <c r="S260" s="8" t="s">
        <v>247</v>
      </c>
      <c r="T260" s="14" t="s">
        <v>1666</v>
      </c>
      <c r="U260" s="8" t="s">
        <v>54</v>
      </c>
      <c r="V260" s="8">
        <v>1</v>
      </c>
      <c r="W260" s="18">
        <v>1</v>
      </c>
      <c r="X260" s="51">
        <v>45659</v>
      </c>
      <c r="Y260" s="51">
        <v>45519</v>
      </c>
      <c r="Z260" s="28">
        <v>26</v>
      </c>
      <c r="AA260" s="16" t="s">
        <v>1701</v>
      </c>
      <c r="AB260" s="8" t="s">
        <v>294</v>
      </c>
      <c r="AC260" s="8" t="s">
        <v>294</v>
      </c>
      <c r="AD260" s="19" t="s">
        <v>134</v>
      </c>
      <c r="AE260" s="19">
        <v>3102692642</v>
      </c>
      <c r="AF260" s="19" t="s">
        <v>276</v>
      </c>
      <c r="AG260" s="8" t="s">
        <v>295</v>
      </c>
      <c r="AH260" s="51">
        <v>34434</v>
      </c>
      <c r="AI260" s="28">
        <v>32</v>
      </c>
      <c r="AJ260" s="51" t="s">
        <v>1853</v>
      </c>
    </row>
    <row r="261" spans="1:36" ht="12.65" customHeight="1" x14ac:dyDescent="0.35">
      <c r="A261" s="8" t="s">
        <v>139</v>
      </c>
      <c r="B261" s="8" t="s">
        <v>136</v>
      </c>
      <c r="C261" s="8" t="s">
        <v>135</v>
      </c>
      <c r="D261" s="33" t="s">
        <v>1329</v>
      </c>
      <c r="E261" s="14" t="s">
        <v>1330</v>
      </c>
      <c r="F261" s="14" t="s">
        <v>57</v>
      </c>
      <c r="G261" s="14" t="s">
        <v>1</v>
      </c>
      <c r="H261" s="14" t="s">
        <v>9</v>
      </c>
      <c r="I261" s="8" t="s">
        <v>1331</v>
      </c>
      <c r="J261" s="8" t="s">
        <v>1332</v>
      </c>
      <c r="K261" s="69" t="s">
        <v>1328</v>
      </c>
      <c r="L261" s="8" t="s">
        <v>871</v>
      </c>
      <c r="M261" s="8" t="s">
        <v>872</v>
      </c>
      <c r="N261" s="8" t="s">
        <v>393</v>
      </c>
      <c r="O261" s="8" t="s">
        <v>11</v>
      </c>
      <c r="P261" s="8" t="s">
        <v>274</v>
      </c>
      <c r="Q261" s="8" t="s">
        <v>275</v>
      </c>
      <c r="R261" s="8" t="s">
        <v>231</v>
      </c>
      <c r="S261" s="8" t="s">
        <v>247</v>
      </c>
      <c r="T261" s="14" t="s">
        <v>1666</v>
      </c>
      <c r="U261" s="8" t="s">
        <v>54</v>
      </c>
      <c r="V261" s="8">
        <v>1</v>
      </c>
      <c r="W261" s="18">
        <v>1</v>
      </c>
      <c r="X261" s="51">
        <v>45659</v>
      </c>
      <c r="Y261" s="51">
        <v>45357</v>
      </c>
      <c r="Z261" s="28">
        <v>31</v>
      </c>
      <c r="AA261" s="16" t="s">
        <v>1701</v>
      </c>
      <c r="AB261" s="8" t="s">
        <v>307</v>
      </c>
      <c r="AC261" s="8" t="s">
        <v>307</v>
      </c>
      <c r="AD261" s="19" t="s">
        <v>134</v>
      </c>
      <c r="AE261" s="19">
        <v>3102697296</v>
      </c>
      <c r="AF261" s="19" t="s">
        <v>276</v>
      </c>
      <c r="AG261" s="8" t="s">
        <v>295</v>
      </c>
      <c r="AH261" s="51">
        <v>29160</v>
      </c>
      <c r="AI261" s="28">
        <v>46</v>
      </c>
      <c r="AJ261" s="51" t="s">
        <v>1852</v>
      </c>
    </row>
    <row r="262" spans="1:36" ht="12.65" customHeight="1" x14ac:dyDescent="0.35">
      <c r="A262" s="8" t="s">
        <v>139</v>
      </c>
      <c r="B262" s="8" t="s">
        <v>136</v>
      </c>
      <c r="C262" s="8" t="s">
        <v>135</v>
      </c>
      <c r="D262" s="34" t="s">
        <v>1425</v>
      </c>
      <c r="E262" s="8" t="s">
        <v>1426</v>
      </c>
      <c r="F262" s="14" t="s">
        <v>57</v>
      </c>
      <c r="G262" s="14" t="s">
        <v>1</v>
      </c>
      <c r="H262" s="14" t="s">
        <v>9</v>
      </c>
      <c r="I262" s="34" t="s">
        <v>297</v>
      </c>
      <c r="J262" s="8" t="s">
        <v>902</v>
      </c>
      <c r="K262" s="69" t="s">
        <v>298</v>
      </c>
      <c r="L262" s="8" t="s">
        <v>299</v>
      </c>
      <c r="M262" s="8" t="s">
        <v>299</v>
      </c>
      <c r="N262" s="8" t="s">
        <v>306</v>
      </c>
      <c r="O262" s="8" t="s">
        <v>13</v>
      </c>
      <c r="P262" s="8" t="s">
        <v>285</v>
      </c>
      <c r="Q262" s="8" t="s">
        <v>285</v>
      </c>
      <c r="R262" s="8" t="s">
        <v>225</v>
      </c>
      <c r="S262" s="8" t="s">
        <v>237</v>
      </c>
      <c r="T262" s="8" t="s">
        <v>175</v>
      </c>
      <c r="U262" s="14" t="s">
        <v>194</v>
      </c>
      <c r="V262" s="8">
        <v>1</v>
      </c>
      <c r="W262" s="18">
        <v>1</v>
      </c>
      <c r="X262" s="51">
        <v>45659</v>
      </c>
      <c r="Y262" s="51">
        <v>44453</v>
      </c>
      <c r="Z262" s="28">
        <v>61</v>
      </c>
      <c r="AA262" s="16" t="s">
        <v>1701</v>
      </c>
      <c r="AB262" s="8" t="s">
        <v>291</v>
      </c>
      <c r="AC262" s="8" t="s">
        <v>291</v>
      </c>
      <c r="AD262" s="19" t="s">
        <v>134</v>
      </c>
      <c r="AE262" s="19">
        <v>3102709781</v>
      </c>
      <c r="AF262" s="19" t="s">
        <v>276</v>
      </c>
      <c r="AG262" s="8" t="s">
        <v>292</v>
      </c>
      <c r="AH262" s="51">
        <v>33685</v>
      </c>
      <c r="AI262" s="28">
        <v>34</v>
      </c>
      <c r="AJ262" s="51" t="s">
        <v>1853</v>
      </c>
    </row>
    <row r="263" spans="1:36" ht="12.65" customHeight="1" x14ac:dyDescent="0.35">
      <c r="A263" s="8" t="s">
        <v>139</v>
      </c>
      <c r="B263" s="8" t="s">
        <v>136</v>
      </c>
      <c r="C263" s="8" t="s">
        <v>135</v>
      </c>
      <c r="D263" s="33" t="s">
        <v>1891</v>
      </c>
      <c r="E263" s="14" t="s">
        <v>1890</v>
      </c>
      <c r="F263" s="14" t="s">
        <v>57</v>
      </c>
      <c r="G263" s="14" t="s">
        <v>1</v>
      </c>
      <c r="H263" s="14" t="s">
        <v>9</v>
      </c>
      <c r="I263" s="34" t="s">
        <v>686</v>
      </c>
      <c r="J263" s="8" t="s">
        <v>81</v>
      </c>
      <c r="K263" s="69" t="s">
        <v>687</v>
      </c>
      <c r="L263" s="8" t="s">
        <v>75</v>
      </c>
      <c r="M263" s="8" t="s">
        <v>76</v>
      </c>
      <c r="N263" s="8" t="s">
        <v>306</v>
      </c>
      <c r="O263" s="8" t="s">
        <v>148</v>
      </c>
      <c r="P263" s="8" t="s">
        <v>279</v>
      </c>
      <c r="Q263" s="8" t="s">
        <v>279</v>
      </c>
      <c r="R263" s="8" t="s">
        <v>225</v>
      </c>
      <c r="S263" s="8" t="s">
        <v>241</v>
      </c>
      <c r="T263" s="8" t="s">
        <v>166</v>
      </c>
      <c r="U263" s="8" t="s">
        <v>189</v>
      </c>
      <c r="V263" s="8">
        <v>1</v>
      </c>
      <c r="W263" s="18">
        <v>1</v>
      </c>
      <c r="X263" s="51">
        <v>46298</v>
      </c>
      <c r="Y263" s="51">
        <v>46298</v>
      </c>
      <c r="Z263" s="28">
        <v>0</v>
      </c>
      <c r="AA263" s="16" t="s">
        <v>1698</v>
      </c>
      <c r="AB263" s="8" t="s">
        <v>395</v>
      </c>
      <c r="AC263" s="8" t="s">
        <v>294</v>
      </c>
      <c r="AD263" s="19" t="s">
        <v>137</v>
      </c>
      <c r="AE263" s="19" t="s">
        <v>153</v>
      </c>
      <c r="AF263" s="19" t="s">
        <v>153</v>
      </c>
      <c r="AG263" s="8" t="s">
        <v>292</v>
      </c>
      <c r="AH263" s="51">
        <v>37726</v>
      </c>
      <c r="AI263" s="28">
        <v>23</v>
      </c>
      <c r="AJ263" s="19" t="s">
        <v>1853</v>
      </c>
    </row>
    <row r="264" spans="1:36" ht="12.65" customHeight="1" x14ac:dyDescent="0.35">
      <c r="A264" s="8" t="s">
        <v>139</v>
      </c>
      <c r="B264" s="8" t="s">
        <v>136</v>
      </c>
      <c r="C264" s="8" t="s">
        <v>135</v>
      </c>
      <c r="D264" s="34" t="s">
        <v>1337</v>
      </c>
      <c r="E264" s="14" t="s">
        <v>1338</v>
      </c>
      <c r="F264" s="14" t="s">
        <v>57</v>
      </c>
      <c r="G264" s="14" t="s">
        <v>1</v>
      </c>
      <c r="H264" s="14" t="s">
        <v>9</v>
      </c>
      <c r="I264" s="33" t="s">
        <v>1339</v>
      </c>
      <c r="J264" s="8" t="s">
        <v>1340</v>
      </c>
      <c r="K264" s="70" t="s">
        <v>781</v>
      </c>
      <c r="L264" s="14" t="s">
        <v>548</v>
      </c>
      <c r="M264" s="14" t="s">
        <v>548</v>
      </c>
      <c r="N264" s="14" t="s">
        <v>306</v>
      </c>
      <c r="O264" s="14" t="s">
        <v>15</v>
      </c>
      <c r="P264" s="14" t="s">
        <v>288</v>
      </c>
      <c r="Q264" s="14" t="s">
        <v>326</v>
      </c>
      <c r="R264" s="8" t="s">
        <v>234</v>
      </c>
      <c r="S264" s="8" t="s">
        <v>241</v>
      </c>
      <c r="T264" s="8" t="s">
        <v>160</v>
      </c>
      <c r="U264" s="8" t="s">
        <v>186</v>
      </c>
      <c r="V264" s="8">
        <v>1</v>
      </c>
      <c r="W264" s="18">
        <v>1</v>
      </c>
      <c r="X264" s="51">
        <v>45734</v>
      </c>
      <c r="Y264" s="51">
        <v>45734</v>
      </c>
      <c r="Z264" s="28">
        <v>18</v>
      </c>
      <c r="AA264" s="16" t="s">
        <v>1700</v>
      </c>
      <c r="AB264" s="8" t="s">
        <v>291</v>
      </c>
      <c r="AC264" s="8" t="s">
        <v>291</v>
      </c>
      <c r="AD264" s="8" t="s">
        <v>137</v>
      </c>
      <c r="AE264" s="8">
        <v>3102702957</v>
      </c>
      <c r="AF264" s="8" t="s">
        <v>276</v>
      </c>
      <c r="AG264" s="8" t="s">
        <v>292</v>
      </c>
      <c r="AH264" s="51">
        <v>33865</v>
      </c>
      <c r="AI264" s="28">
        <v>34</v>
      </c>
      <c r="AJ264" s="51" t="s">
        <v>1852</v>
      </c>
    </row>
    <row r="265" spans="1:36" ht="12.65" customHeight="1" x14ac:dyDescent="0.35">
      <c r="A265" s="8" t="s">
        <v>139</v>
      </c>
      <c r="B265" s="8" t="s">
        <v>136</v>
      </c>
      <c r="C265" s="8" t="s">
        <v>135</v>
      </c>
      <c r="D265" s="33" t="s">
        <v>1341</v>
      </c>
      <c r="E265" s="14" t="s">
        <v>1342</v>
      </c>
      <c r="F265" s="14" t="s">
        <v>57</v>
      </c>
      <c r="G265" s="14" t="s">
        <v>1</v>
      </c>
      <c r="H265" s="14" t="s">
        <v>9</v>
      </c>
      <c r="I265" s="33" t="s">
        <v>833</v>
      </c>
      <c r="J265" s="8" t="s">
        <v>834</v>
      </c>
      <c r="K265" s="70" t="s">
        <v>835</v>
      </c>
      <c r="L265" s="14" t="s">
        <v>442</v>
      </c>
      <c r="M265" s="14" t="s">
        <v>598</v>
      </c>
      <c r="N265" s="14" t="s">
        <v>393</v>
      </c>
      <c r="O265" s="14" t="s">
        <v>25</v>
      </c>
      <c r="P265" s="14" t="s">
        <v>280</v>
      </c>
      <c r="Q265" s="14" t="s">
        <v>281</v>
      </c>
      <c r="R265" s="8" t="s">
        <v>222</v>
      </c>
      <c r="S265" s="8" t="s">
        <v>237</v>
      </c>
      <c r="T265" s="8" t="s">
        <v>51</v>
      </c>
      <c r="U265" s="8" t="s">
        <v>183</v>
      </c>
      <c r="V265" s="8">
        <v>1</v>
      </c>
      <c r="W265" s="18">
        <v>0.5</v>
      </c>
      <c r="X265" s="51">
        <v>45680</v>
      </c>
      <c r="Y265" s="51">
        <v>45680</v>
      </c>
      <c r="Z265" s="28">
        <v>20</v>
      </c>
      <c r="AA265" s="16" t="s">
        <v>1700</v>
      </c>
      <c r="AB265" s="8" t="s">
        <v>291</v>
      </c>
      <c r="AC265" s="8" t="s">
        <v>291</v>
      </c>
      <c r="AD265" s="8" t="s">
        <v>137</v>
      </c>
      <c r="AE265" s="8">
        <v>3102624478</v>
      </c>
      <c r="AF265" s="8" t="s">
        <v>276</v>
      </c>
      <c r="AG265" s="8" t="s">
        <v>292</v>
      </c>
      <c r="AH265" s="51">
        <v>30997</v>
      </c>
      <c r="AI265" s="28">
        <v>41</v>
      </c>
      <c r="AJ265" s="51" t="s">
        <v>1852</v>
      </c>
    </row>
    <row r="266" spans="1:36" ht="12.65" customHeight="1" x14ac:dyDescent="0.35">
      <c r="A266" s="8" t="s">
        <v>139</v>
      </c>
      <c r="B266" s="8" t="s">
        <v>136</v>
      </c>
      <c r="C266" s="8" t="s">
        <v>135</v>
      </c>
      <c r="D266" s="34" t="s">
        <v>1341</v>
      </c>
      <c r="E266" s="14" t="s">
        <v>1342</v>
      </c>
      <c r="F266" s="14" t="s">
        <v>57</v>
      </c>
      <c r="G266" s="14" t="s">
        <v>1</v>
      </c>
      <c r="H266" s="14" t="s">
        <v>9</v>
      </c>
      <c r="I266" s="34" t="s">
        <v>760</v>
      </c>
      <c r="J266" s="8" t="s">
        <v>26</v>
      </c>
      <c r="K266" s="69" t="s">
        <v>761</v>
      </c>
      <c r="L266" s="8" t="s">
        <v>442</v>
      </c>
      <c r="M266" s="8" t="s">
        <v>598</v>
      </c>
      <c r="N266" s="8" t="s">
        <v>393</v>
      </c>
      <c r="O266" s="8" t="s">
        <v>25</v>
      </c>
      <c r="P266" s="8" t="s">
        <v>280</v>
      </c>
      <c r="Q266" s="8" t="s">
        <v>281</v>
      </c>
      <c r="R266" s="8" t="s">
        <v>222</v>
      </c>
      <c r="S266" s="8" t="s">
        <v>237</v>
      </c>
      <c r="T266" s="8" t="s">
        <v>51</v>
      </c>
      <c r="U266" s="8" t="s">
        <v>183</v>
      </c>
      <c r="V266" s="8">
        <v>0</v>
      </c>
      <c r="W266" s="18">
        <v>0.5</v>
      </c>
      <c r="X266" s="51">
        <v>45680</v>
      </c>
      <c r="Y266" s="51">
        <v>45680</v>
      </c>
      <c r="Z266" s="28">
        <v>20</v>
      </c>
      <c r="AA266" s="16" t="s">
        <v>1700</v>
      </c>
      <c r="AB266" s="8" t="s">
        <v>293</v>
      </c>
      <c r="AC266" s="8" t="s">
        <v>293</v>
      </c>
      <c r="AD266" s="8" t="s">
        <v>137</v>
      </c>
      <c r="AE266" s="8">
        <v>3102624478</v>
      </c>
      <c r="AF266" s="8" t="s">
        <v>276</v>
      </c>
      <c r="AG266" s="8" t="s">
        <v>292</v>
      </c>
      <c r="AH266" s="51">
        <v>30997</v>
      </c>
      <c r="AI266" s="28">
        <v>41</v>
      </c>
      <c r="AJ266" s="51" t="s">
        <v>1852</v>
      </c>
    </row>
    <row r="267" spans="1:36" ht="12.65" customHeight="1" x14ac:dyDescent="0.35">
      <c r="A267" s="8" t="s">
        <v>139</v>
      </c>
      <c r="B267" s="8" t="s">
        <v>136</v>
      </c>
      <c r="C267" s="8" t="s">
        <v>135</v>
      </c>
      <c r="D267" s="35" t="s">
        <v>1343</v>
      </c>
      <c r="E267" s="14" t="s">
        <v>1344</v>
      </c>
      <c r="F267" s="14" t="s">
        <v>57</v>
      </c>
      <c r="G267" s="14" t="s">
        <v>1</v>
      </c>
      <c r="H267" s="14" t="s">
        <v>9</v>
      </c>
      <c r="I267" s="34" t="s">
        <v>572</v>
      </c>
      <c r="J267" s="8" t="s">
        <v>573</v>
      </c>
      <c r="K267" s="69" t="s">
        <v>574</v>
      </c>
      <c r="L267" s="8" t="s">
        <v>299</v>
      </c>
      <c r="M267" s="8" t="s">
        <v>299</v>
      </c>
      <c r="N267" s="8" t="s">
        <v>306</v>
      </c>
      <c r="O267" s="8" t="s">
        <v>20</v>
      </c>
      <c r="P267" s="8" t="s">
        <v>284</v>
      </c>
      <c r="Q267" s="8" t="s">
        <v>865</v>
      </c>
      <c r="R267" s="8" t="s">
        <v>1628</v>
      </c>
      <c r="S267" s="8" t="s">
        <v>247</v>
      </c>
      <c r="T267" s="8" t="s">
        <v>157</v>
      </c>
      <c r="U267" s="8" t="s">
        <v>194</v>
      </c>
      <c r="V267" s="8">
        <v>1</v>
      </c>
      <c r="W267" s="18">
        <v>1</v>
      </c>
      <c r="X267" s="51">
        <v>45691</v>
      </c>
      <c r="Y267" s="51">
        <v>45691</v>
      </c>
      <c r="Z267" s="28">
        <v>20</v>
      </c>
      <c r="AA267" s="16" t="s">
        <v>1700</v>
      </c>
      <c r="AB267" s="8" t="s">
        <v>291</v>
      </c>
      <c r="AC267" s="8" t="s">
        <v>291</v>
      </c>
      <c r="AD267" s="8" t="s">
        <v>137</v>
      </c>
      <c r="AE267" s="8">
        <v>3102635598</v>
      </c>
      <c r="AF267" s="8" t="s">
        <v>276</v>
      </c>
      <c r="AG267" s="8" t="s">
        <v>292</v>
      </c>
      <c r="AH267" s="51">
        <v>33374</v>
      </c>
      <c r="AI267" s="28">
        <v>35</v>
      </c>
      <c r="AJ267" s="51" t="s">
        <v>1853</v>
      </c>
    </row>
    <row r="268" spans="1:36" ht="12.65" customHeight="1" x14ac:dyDescent="0.35">
      <c r="A268" s="8" t="s">
        <v>139</v>
      </c>
      <c r="B268" s="8" t="s">
        <v>136</v>
      </c>
      <c r="C268" s="8" t="s">
        <v>135</v>
      </c>
      <c r="D268" s="34" t="s">
        <v>1690</v>
      </c>
      <c r="E268" s="14" t="s">
        <v>1689</v>
      </c>
      <c r="F268" s="14" t="s">
        <v>57</v>
      </c>
      <c r="G268" s="14" t="s">
        <v>1</v>
      </c>
      <c r="H268" s="14" t="s">
        <v>9</v>
      </c>
      <c r="I268" s="20" t="s">
        <v>1910</v>
      </c>
      <c r="J268" s="8" t="s">
        <v>1900</v>
      </c>
      <c r="K268" s="69" t="s">
        <v>1901</v>
      </c>
      <c r="L268" s="8" t="s">
        <v>299</v>
      </c>
      <c r="M268" s="8" t="s">
        <v>299</v>
      </c>
      <c r="N268" s="8" t="s">
        <v>306</v>
      </c>
      <c r="O268" s="8" t="s">
        <v>36</v>
      </c>
      <c r="P268" s="8" t="s">
        <v>282</v>
      </c>
      <c r="Q268" s="8" t="s">
        <v>543</v>
      </c>
      <c r="R268" s="8" t="s">
        <v>222</v>
      </c>
      <c r="S268" s="8" t="s">
        <v>237</v>
      </c>
      <c r="T268" s="8" t="s">
        <v>244</v>
      </c>
      <c r="U268" s="14" t="s">
        <v>194</v>
      </c>
      <c r="V268" s="8">
        <v>1</v>
      </c>
      <c r="W268" s="18">
        <v>0.5</v>
      </c>
      <c r="X268" s="53">
        <v>46042</v>
      </c>
      <c r="Y268" s="53">
        <v>46042</v>
      </c>
      <c r="Z268" s="28">
        <v>8</v>
      </c>
      <c r="AA268" s="16" t="s">
        <v>1710</v>
      </c>
      <c r="AB268" s="8" t="s">
        <v>395</v>
      </c>
      <c r="AC268" s="8" t="s">
        <v>293</v>
      </c>
      <c r="AD268" s="39" t="s">
        <v>137</v>
      </c>
      <c r="AE268" s="39">
        <v>3105665987</v>
      </c>
      <c r="AF268" s="39" t="s">
        <v>276</v>
      </c>
      <c r="AG268" s="8" t="s">
        <v>295</v>
      </c>
      <c r="AH268" s="51">
        <v>36814</v>
      </c>
      <c r="AI268" s="28">
        <v>26</v>
      </c>
      <c r="AJ268" s="51" t="s">
        <v>1853</v>
      </c>
    </row>
    <row r="269" spans="1:36" ht="12.65" customHeight="1" x14ac:dyDescent="0.35">
      <c r="A269" s="8" t="s">
        <v>139</v>
      </c>
      <c r="B269" s="8" t="s">
        <v>136</v>
      </c>
      <c r="C269" s="8" t="s">
        <v>135</v>
      </c>
      <c r="D269" s="34" t="s">
        <v>1690</v>
      </c>
      <c r="E269" s="14" t="s">
        <v>1689</v>
      </c>
      <c r="F269" s="14" t="s">
        <v>57</v>
      </c>
      <c r="G269" s="14" t="s">
        <v>1</v>
      </c>
      <c r="H269" s="14" t="s">
        <v>9</v>
      </c>
      <c r="I269" s="34" t="s">
        <v>802</v>
      </c>
      <c r="J269" s="8" t="s">
        <v>803</v>
      </c>
      <c r="K269" s="69" t="s">
        <v>804</v>
      </c>
      <c r="L269" s="8" t="s">
        <v>299</v>
      </c>
      <c r="M269" s="8" t="s">
        <v>299</v>
      </c>
      <c r="N269" s="8" t="s">
        <v>306</v>
      </c>
      <c r="O269" s="8" t="s">
        <v>36</v>
      </c>
      <c r="P269" s="8" t="s">
        <v>282</v>
      </c>
      <c r="Q269" s="8" t="s">
        <v>543</v>
      </c>
      <c r="R269" s="8" t="s">
        <v>222</v>
      </c>
      <c r="S269" s="8" t="s">
        <v>237</v>
      </c>
      <c r="T269" s="8" t="s">
        <v>244</v>
      </c>
      <c r="U269" s="14" t="s">
        <v>194</v>
      </c>
      <c r="V269" s="8">
        <v>0</v>
      </c>
      <c r="W269" s="18">
        <v>0.5</v>
      </c>
      <c r="X269" s="53">
        <v>46042</v>
      </c>
      <c r="Y269" s="53">
        <v>46042</v>
      </c>
      <c r="Z269" s="28">
        <v>8</v>
      </c>
      <c r="AA269" s="16" t="s">
        <v>1710</v>
      </c>
      <c r="AB269" s="8" t="s">
        <v>294</v>
      </c>
      <c r="AC269" s="8" t="s">
        <v>294</v>
      </c>
      <c r="AD269" s="39" t="s">
        <v>137</v>
      </c>
      <c r="AE269" s="39">
        <v>3105665987</v>
      </c>
      <c r="AF269" s="39" t="s">
        <v>276</v>
      </c>
      <c r="AG269" s="8" t="s">
        <v>292</v>
      </c>
      <c r="AH269" s="51">
        <v>36814</v>
      </c>
      <c r="AI269" s="28">
        <v>26</v>
      </c>
      <c r="AJ269" s="51" t="s">
        <v>1853</v>
      </c>
    </row>
    <row r="270" spans="1:36" ht="12.65" customHeight="1" x14ac:dyDescent="0.35">
      <c r="A270" s="8" t="s">
        <v>139</v>
      </c>
      <c r="B270" s="8" t="s">
        <v>136</v>
      </c>
      <c r="C270" s="8" t="s">
        <v>135</v>
      </c>
      <c r="D270" s="34" t="s">
        <v>1349</v>
      </c>
      <c r="E270" s="14" t="s">
        <v>1350</v>
      </c>
      <c r="F270" s="14" t="s">
        <v>57</v>
      </c>
      <c r="G270" s="14" t="s">
        <v>1</v>
      </c>
      <c r="H270" s="14" t="s">
        <v>9</v>
      </c>
      <c r="I270" s="34" t="s">
        <v>812</v>
      </c>
      <c r="J270" s="8" t="s">
        <v>813</v>
      </c>
      <c r="K270" s="69" t="s">
        <v>814</v>
      </c>
      <c r="L270" s="8" t="s">
        <v>871</v>
      </c>
      <c r="M270" s="8" t="s">
        <v>872</v>
      </c>
      <c r="N270" s="8" t="s">
        <v>393</v>
      </c>
      <c r="O270" s="8" t="s">
        <v>11</v>
      </c>
      <c r="P270" s="8" t="s">
        <v>274</v>
      </c>
      <c r="Q270" s="8" t="s">
        <v>275</v>
      </c>
      <c r="R270" s="8" t="s">
        <v>231</v>
      </c>
      <c r="S270" s="8" t="s">
        <v>247</v>
      </c>
      <c r="T270" s="14" t="s">
        <v>1666</v>
      </c>
      <c r="U270" s="8" t="s">
        <v>54</v>
      </c>
      <c r="V270" s="8">
        <v>1</v>
      </c>
      <c r="W270" s="18">
        <v>0.8</v>
      </c>
      <c r="X270" s="51">
        <v>45659</v>
      </c>
      <c r="Y270" s="51">
        <v>44531</v>
      </c>
      <c r="Z270" s="28">
        <v>58</v>
      </c>
      <c r="AA270" s="16" t="s">
        <v>1701</v>
      </c>
      <c r="AB270" s="8" t="s">
        <v>307</v>
      </c>
      <c r="AC270" s="8" t="s">
        <v>307</v>
      </c>
      <c r="AD270" s="19" t="s">
        <v>134</v>
      </c>
      <c r="AE270" s="19">
        <v>3102605367</v>
      </c>
      <c r="AF270" s="19" t="s">
        <v>276</v>
      </c>
      <c r="AG270" s="8" t="s">
        <v>295</v>
      </c>
      <c r="AH270" s="51">
        <v>32712</v>
      </c>
      <c r="AI270" s="28">
        <v>37</v>
      </c>
      <c r="AJ270" s="51" t="s">
        <v>1853</v>
      </c>
    </row>
    <row r="271" spans="1:36" ht="12.65" customHeight="1" x14ac:dyDescent="0.35">
      <c r="A271" s="8" t="s">
        <v>139</v>
      </c>
      <c r="B271" s="8" t="s">
        <v>136</v>
      </c>
      <c r="C271" s="8" t="s">
        <v>135</v>
      </c>
      <c r="D271" s="35" t="s">
        <v>1349</v>
      </c>
      <c r="E271" s="14" t="s">
        <v>1350</v>
      </c>
      <c r="F271" s="14" t="s">
        <v>57</v>
      </c>
      <c r="G271" s="14" t="s">
        <v>1</v>
      </c>
      <c r="H271" s="14" t="s">
        <v>9</v>
      </c>
      <c r="I271" s="34" t="s">
        <v>809</v>
      </c>
      <c r="J271" s="8" t="s">
        <v>24</v>
      </c>
      <c r="K271" s="69" t="s">
        <v>1838</v>
      </c>
      <c r="L271" s="8" t="s">
        <v>871</v>
      </c>
      <c r="M271" s="8" t="s">
        <v>872</v>
      </c>
      <c r="N271" s="8" t="s">
        <v>393</v>
      </c>
      <c r="O271" s="8" t="s">
        <v>11</v>
      </c>
      <c r="P271" s="8" t="s">
        <v>274</v>
      </c>
      <c r="Q271" s="8" t="s">
        <v>275</v>
      </c>
      <c r="R271" s="8" t="s">
        <v>231</v>
      </c>
      <c r="S271" s="8" t="s">
        <v>247</v>
      </c>
      <c r="T271" s="14" t="s">
        <v>1666</v>
      </c>
      <c r="U271" s="8" t="s">
        <v>54</v>
      </c>
      <c r="V271" s="8">
        <v>0</v>
      </c>
      <c r="W271" s="18">
        <v>0.2</v>
      </c>
      <c r="X271" s="51">
        <v>45659</v>
      </c>
      <c r="Y271" s="51">
        <v>44531</v>
      </c>
      <c r="Z271" s="28">
        <v>58</v>
      </c>
      <c r="AA271" s="16" t="s">
        <v>1701</v>
      </c>
      <c r="AB271" s="8" t="s">
        <v>307</v>
      </c>
      <c r="AC271" s="8" t="s">
        <v>307</v>
      </c>
      <c r="AD271" s="19" t="s">
        <v>134</v>
      </c>
      <c r="AE271" s="19">
        <v>3102605367</v>
      </c>
      <c r="AF271" s="19" t="s">
        <v>276</v>
      </c>
      <c r="AG271" s="8" t="s">
        <v>295</v>
      </c>
      <c r="AH271" s="51">
        <v>32712</v>
      </c>
      <c r="AI271" s="28">
        <v>37</v>
      </c>
      <c r="AJ271" s="51" t="s">
        <v>1853</v>
      </c>
    </row>
    <row r="272" spans="1:36" ht="12.65" customHeight="1" x14ac:dyDescent="0.35">
      <c r="A272" s="8" t="s">
        <v>139</v>
      </c>
      <c r="B272" s="8" t="s">
        <v>136</v>
      </c>
      <c r="C272" s="8" t="s">
        <v>135</v>
      </c>
      <c r="D272" s="35" t="s">
        <v>1767</v>
      </c>
      <c r="E272" s="14" t="s">
        <v>1765</v>
      </c>
      <c r="F272" s="14" t="s">
        <v>57</v>
      </c>
      <c r="G272" s="14" t="s">
        <v>1</v>
      </c>
      <c r="H272" s="14" t="s">
        <v>9</v>
      </c>
      <c r="I272" s="34" t="s">
        <v>678</v>
      </c>
      <c r="J272" s="8" t="s">
        <v>90</v>
      </c>
      <c r="K272" s="69" t="s">
        <v>679</v>
      </c>
      <c r="L272" s="8" t="s">
        <v>75</v>
      </c>
      <c r="M272" s="8" t="s">
        <v>76</v>
      </c>
      <c r="N272" s="8" t="s">
        <v>306</v>
      </c>
      <c r="O272" s="8" t="s">
        <v>429</v>
      </c>
      <c r="P272" s="8" t="s">
        <v>285</v>
      </c>
      <c r="Q272" s="8" t="s">
        <v>285</v>
      </c>
      <c r="R272" s="8" t="s">
        <v>225</v>
      </c>
      <c r="S272" s="8" t="s">
        <v>237</v>
      </c>
      <c r="T272" s="8" t="s">
        <v>175</v>
      </c>
      <c r="U272" s="8" t="s">
        <v>189</v>
      </c>
      <c r="V272" s="8">
        <v>1</v>
      </c>
      <c r="W272" s="18">
        <v>1</v>
      </c>
      <c r="X272" s="51">
        <v>46179</v>
      </c>
      <c r="Y272" s="51">
        <v>46179</v>
      </c>
      <c r="Z272" s="28">
        <v>4</v>
      </c>
      <c r="AA272" s="16" t="s">
        <v>1699</v>
      </c>
      <c r="AB272" s="8" t="s">
        <v>395</v>
      </c>
      <c r="AC272" s="8" t="s">
        <v>294</v>
      </c>
      <c r="AD272" s="8" t="s">
        <v>137</v>
      </c>
      <c r="AE272" s="8" t="s">
        <v>153</v>
      </c>
      <c r="AF272" s="8" t="s">
        <v>153</v>
      </c>
      <c r="AG272" s="8" t="s">
        <v>292</v>
      </c>
      <c r="AH272" s="51">
        <v>37094</v>
      </c>
      <c r="AI272" s="28">
        <v>25</v>
      </c>
      <c r="AJ272" s="51" t="s">
        <v>1852</v>
      </c>
    </row>
    <row r="273" spans="1:36" ht="12.65" customHeight="1" x14ac:dyDescent="0.35">
      <c r="A273" s="8" t="s">
        <v>139</v>
      </c>
      <c r="B273" s="8" t="s">
        <v>136</v>
      </c>
      <c r="C273" s="8" t="s">
        <v>135</v>
      </c>
      <c r="D273" s="34" t="s">
        <v>932</v>
      </c>
      <c r="E273" s="14" t="s">
        <v>933</v>
      </c>
      <c r="F273" s="14" t="s">
        <v>57</v>
      </c>
      <c r="G273" s="14" t="s">
        <v>1</v>
      </c>
      <c r="H273" s="14" t="s">
        <v>9</v>
      </c>
      <c r="I273" s="34" t="s">
        <v>1050</v>
      </c>
      <c r="J273" s="8" t="s">
        <v>1051</v>
      </c>
      <c r="K273" s="69" t="s">
        <v>1052</v>
      </c>
      <c r="L273" s="8" t="s">
        <v>410</v>
      </c>
      <c r="M273" s="8" t="s">
        <v>410</v>
      </c>
      <c r="N273" s="8" t="s">
        <v>306</v>
      </c>
      <c r="O273" s="8" t="s">
        <v>11</v>
      </c>
      <c r="P273" s="8" t="s">
        <v>274</v>
      </c>
      <c r="Q273" s="8" t="s">
        <v>275</v>
      </c>
      <c r="R273" s="8" t="s">
        <v>231</v>
      </c>
      <c r="S273" s="8" t="s">
        <v>247</v>
      </c>
      <c r="T273" s="8" t="s">
        <v>255</v>
      </c>
      <c r="U273" s="8" t="s">
        <v>54</v>
      </c>
      <c r="V273" s="8">
        <v>1</v>
      </c>
      <c r="W273" s="18">
        <v>1</v>
      </c>
      <c r="X273" s="54">
        <v>45659</v>
      </c>
      <c r="Y273" s="54">
        <v>45435</v>
      </c>
      <c r="Z273" s="28">
        <v>28</v>
      </c>
      <c r="AA273" s="16" t="s">
        <v>1701</v>
      </c>
      <c r="AB273" s="8" t="s">
        <v>291</v>
      </c>
      <c r="AC273" s="8" t="s">
        <v>291</v>
      </c>
      <c r="AD273" s="54" t="s">
        <v>134</v>
      </c>
      <c r="AE273" s="41">
        <v>3102605361</v>
      </c>
      <c r="AF273" s="54" t="s">
        <v>276</v>
      </c>
      <c r="AG273" s="8" t="s">
        <v>292</v>
      </c>
      <c r="AH273" s="51">
        <v>32781</v>
      </c>
      <c r="AI273" s="28">
        <v>37</v>
      </c>
      <c r="AJ273" s="51" t="s">
        <v>1853</v>
      </c>
    </row>
    <row r="274" spans="1:36" ht="12.65" customHeight="1" x14ac:dyDescent="0.35">
      <c r="A274" s="8" t="s">
        <v>139</v>
      </c>
      <c r="B274" s="8" t="s">
        <v>136</v>
      </c>
      <c r="C274" s="8" t="s">
        <v>135</v>
      </c>
      <c r="D274" s="34" t="s">
        <v>1768</v>
      </c>
      <c r="E274" s="14" t="s">
        <v>1766</v>
      </c>
      <c r="F274" s="14" t="s">
        <v>57</v>
      </c>
      <c r="G274" s="14" t="s">
        <v>1</v>
      </c>
      <c r="H274" s="14" t="s">
        <v>9</v>
      </c>
      <c r="I274" s="34" t="s">
        <v>366</v>
      </c>
      <c r="J274" s="8" t="s">
        <v>105</v>
      </c>
      <c r="K274" s="69" t="s">
        <v>367</v>
      </c>
      <c r="L274" s="8" t="s">
        <v>75</v>
      </c>
      <c r="M274" s="8" t="s">
        <v>75</v>
      </c>
      <c r="N274" s="8" t="s">
        <v>306</v>
      </c>
      <c r="O274" s="8" t="s">
        <v>11</v>
      </c>
      <c r="P274" s="8" t="s">
        <v>274</v>
      </c>
      <c r="Q274" s="8" t="s">
        <v>275</v>
      </c>
      <c r="R274" s="8" t="s">
        <v>1628</v>
      </c>
      <c r="S274" s="8" t="s">
        <v>247</v>
      </c>
      <c r="T274" s="8" t="s">
        <v>202</v>
      </c>
      <c r="U274" s="8" t="s">
        <v>189</v>
      </c>
      <c r="V274" s="8">
        <v>1</v>
      </c>
      <c r="W274" s="18">
        <v>1</v>
      </c>
      <c r="X274" s="51">
        <v>46179</v>
      </c>
      <c r="Y274" s="51">
        <v>46179</v>
      </c>
      <c r="Z274" s="28">
        <v>4</v>
      </c>
      <c r="AA274" s="16" t="s">
        <v>1699</v>
      </c>
      <c r="AB274" s="8" t="s">
        <v>291</v>
      </c>
      <c r="AC274" s="8" t="s">
        <v>291</v>
      </c>
      <c r="AD274" s="19" t="s">
        <v>137</v>
      </c>
      <c r="AE274" s="19" t="s">
        <v>153</v>
      </c>
      <c r="AF274" s="19" t="s">
        <v>153</v>
      </c>
      <c r="AG274" s="8" t="s">
        <v>292</v>
      </c>
      <c r="AH274" s="51">
        <v>33777</v>
      </c>
      <c r="AI274" s="28">
        <v>34</v>
      </c>
      <c r="AJ274" s="51" t="s">
        <v>1853</v>
      </c>
    </row>
    <row r="275" spans="1:36" ht="12.65" customHeight="1" x14ac:dyDescent="0.35">
      <c r="A275" s="8" t="s">
        <v>139</v>
      </c>
      <c r="B275" s="8" t="s">
        <v>136</v>
      </c>
      <c r="C275" s="8" t="s">
        <v>135</v>
      </c>
      <c r="D275" s="34" t="s">
        <v>1354</v>
      </c>
      <c r="E275" s="14" t="s">
        <v>1355</v>
      </c>
      <c r="F275" s="14" t="s">
        <v>57</v>
      </c>
      <c r="G275" s="14" t="s">
        <v>1</v>
      </c>
      <c r="H275" s="14" t="s">
        <v>9</v>
      </c>
      <c r="I275" s="34" t="s">
        <v>590</v>
      </c>
      <c r="J275" s="8" t="s">
        <v>798</v>
      </c>
      <c r="K275" s="69" t="s">
        <v>591</v>
      </c>
      <c r="L275" s="8" t="s">
        <v>548</v>
      </c>
      <c r="M275" s="8" t="s">
        <v>548</v>
      </c>
      <c r="N275" s="8" t="s">
        <v>306</v>
      </c>
      <c r="O275" s="8" t="s">
        <v>146</v>
      </c>
      <c r="P275" s="8" t="s">
        <v>283</v>
      </c>
      <c r="Q275" s="8" t="s">
        <v>326</v>
      </c>
      <c r="R275" s="8" t="s">
        <v>234</v>
      </c>
      <c r="S275" s="8" t="s">
        <v>241</v>
      </c>
      <c r="T275" s="8" t="s">
        <v>160</v>
      </c>
      <c r="U275" s="8" t="s">
        <v>186</v>
      </c>
      <c r="V275" s="8">
        <v>1</v>
      </c>
      <c r="W275" s="18">
        <v>1</v>
      </c>
      <c r="X275" s="51">
        <v>45659</v>
      </c>
      <c r="Y275" s="51">
        <v>45106</v>
      </c>
      <c r="Z275" s="28">
        <v>39</v>
      </c>
      <c r="AA275" s="16" t="s">
        <v>1701</v>
      </c>
      <c r="AB275" s="8" t="s">
        <v>291</v>
      </c>
      <c r="AC275" s="8" t="s">
        <v>291</v>
      </c>
      <c r="AD275" s="8" t="s">
        <v>134</v>
      </c>
      <c r="AE275" s="8">
        <v>3102681351</v>
      </c>
      <c r="AF275" s="8" t="s">
        <v>276</v>
      </c>
      <c r="AG275" s="8" t="s">
        <v>292</v>
      </c>
      <c r="AH275" s="51">
        <v>37817</v>
      </c>
      <c r="AI275" s="28">
        <v>23</v>
      </c>
      <c r="AJ275" s="51" t="s">
        <v>1852</v>
      </c>
    </row>
    <row r="276" spans="1:36" ht="12.65" customHeight="1" x14ac:dyDescent="0.35">
      <c r="A276" s="8" t="s">
        <v>139</v>
      </c>
      <c r="B276" s="8" t="s">
        <v>1243</v>
      </c>
      <c r="C276" s="8" t="s">
        <v>135</v>
      </c>
      <c r="D276" s="35" t="s">
        <v>1625</v>
      </c>
      <c r="E276" s="14" t="s">
        <v>1626</v>
      </c>
      <c r="F276" s="43" t="s">
        <v>60</v>
      </c>
      <c r="G276" s="14" t="s">
        <v>1</v>
      </c>
      <c r="H276" s="14" t="s">
        <v>9</v>
      </c>
      <c r="I276" s="34" t="s">
        <v>366</v>
      </c>
      <c r="J276" s="8" t="s">
        <v>105</v>
      </c>
      <c r="K276" s="69" t="s">
        <v>367</v>
      </c>
      <c r="L276" s="8" t="s">
        <v>75</v>
      </c>
      <c r="M276" s="8" t="s">
        <v>75</v>
      </c>
      <c r="N276" s="8" t="s">
        <v>306</v>
      </c>
      <c r="O276" s="8" t="s">
        <v>11</v>
      </c>
      <c r="P276" s="8" t="s">
        <v>274</v>
      </c>
      <c r="Q276" s="8" t="s">
        <v>275</v>
      </c>
      <c r="R276" s="8" t="s">
        <v>1628</v>
      </c>
      <c r="S276" s="8" t="s">
        <v>247</v>
      </c>
      <c r="T276" s="8" t="s">
        <v>202</v>
      </c>
      <c r="U276" s="8" t="s">
        <v>189</v>
      </c>
      <c r="V276" s="8">
        <v>1</v>
      </c>
      <c r="W276" s="18">
        <v>1</v>
      </c>
      <c r="X276" s="51">
        <v>45659</v>
      </c>
      <c r="Y276" s="51">
        <v>40964</v>
      </c>
      <c r="Z276" s="28">
        <v>175</v>
      </c>
      <c r="AA276" s="16" t="s">
        <v>1701</v>
      </c>
      <c r="AB276" s="8" t="s">
        <v>291</v>
      </c>
      <c r="AC276" s="8" t="s">
        <v>291</v>
      </c>
      <c r="AD276" s="19" t="s">
        <v>134</v>
      </c>
      <c r="AE276" s="19">
        <v>3102644806</v>
      </c>
      <c r="AF276" s="19" t="s">
        <v>276</v>
      </c>
      <c r="AG276" s="8" t="s">
        <v>292</v>
      </c>
      <c r="AH276" s="51">
        <v>33334</v>
      </c>
      <c r="AI276" s="28">
        <v>35</v>
      </c>
      <c r="AJ276" s="51" t="s">
        <v>1853</v>
      </c>
    </row>
    <row r="277" spans="1:36" ht="12.65" customHeight="1" x14ac:dyDescent="0.35">
      <c r="A277" s="8" t="s">
        <v>139</v>
      </c>
      <c r="B277" s="8" t="s">
        <v>136</v>
      </c>
      <c r="C277" s="8" t="s">
        <v>135</v>
      </c>
      <c r="D277" s="34" t="s">
        <v>1751</v>
      </c>
      <c r="E277" s="8" t="s">
        <v>1750</v>
      </c>
      <c r="F277" s="14" t="s">
        <v>57</v>
      </c>
      <c r="G277" s="14" t="s">
        <v>1</v>
      </c>
      <c r="H277" s="14" t="s">
        <v>9</v>
      </c>
      <c r="I277" s="34" t="s">
        <v>1357</v>
      </c>
      <c r="J277" s="8" t="s">
        <v>1358</v>
      </c>
      <c r="K277" s="69" t="s">
        <v>1359</v>
      </c>
      <c r="L277" s="8" t="s">
        <v>442</v>
      </c>
      <c r="M277" s="8" t="s">
        <v>661</v>
      </c>
      <c r="N277" s="8" t="s">
        <v>393</v>
      </c>
      <c r="O277" s="8" t="s">
        <v>149</v>
      </c>
      <c r="P277" s="8" t="s">
        <v>286</v>
      </c>
      <c r="Q277" s="8" t="s">
        <v>865</v>
      </c>
      <c r="R277" s="8" t="s">
        <v>1628</v>
      </c>
      <c r="S277" s="8" t="s">
        <v>247</v>
      </c>
      <c r="T277" s="8" t="s">
        <v>157</v>
      </c>
      <c r="U277" s="8" t="s">
        <v>183</v>
      </c>
      <c r="V277" s="8">
        <v>1</v>
      </c>
      <c r="W277" s="18">
        <v>1</v>
      </c>
      <c r="X277" s="53">
        <v>46170</v>
      </c>
      <c r="Y277" s="53">
        <v>46170</v>
      </c>
      <c r="Z277" s="28">
        <v>4</v>
      </c>
      <c r="AA277" s="16" t="s">
        <v>1699</v>
      </c>
      <c r="AB277" s="8" t="s">
        <v>294</v>
      </c>
      <c r="AC277" s="8" t="s">
        <v>294</v>
      </c>
      <c r="AD277" s="39" t="s">
        <v>137</v>
      </c>
      <c r="AE277" s="19" t="s">
        <v>153</v>
      </c>
      <c r="AF277" s="19" t="s">
        <v>153</v>
      </c>
      <c r="AG277" s="8" t="s">
        <v>295</v>
      </c>
      <c r="AH277" s="51">
        <v>33115</v>
      </c>
      <c r="AI277" s="28">
        <v>36</v>
      </c>
      <c r="AJ277" s="51" t="s">
        <v>1853</v>
      </c>
    </row>
    <row r="278" spans="1:36" ht="12.65" customHeight="1" x14ac:dyDescent="0.35">
      <c r="A278" s="8" t="s">
        <v>139</v>
      </c>
      <c r="B278" s="8" t="s">
        <v>136</v>
      </c>
      <c r="C278" s="8" t="s">
        <v>135</v>
      </c>
      <c r="D278" s="33" t="s">
        <v>1555</v>
      </c>
      <c r="E278" s="14" t="s">
        <v>1556</v>
      </c>
      <c r="F278" s="14" t="s">
        <v>59</v>
      </c>
      <c r="G278" s="14" t="s">
        <v>1</v>
      </c>
      <c r="H278" s="14" t="s">
        <v>9</v>
      </c>
      <c r="I278" s="34" t="s">
        <v>376</v>
      </c>
      <c r="J278" s="8" t="s">
        <v>96</v>
      </c>
      <c r="K278" s="69" t="s">
        <v>377</v>
      </c>
      <c r="L278" s="8" t="s">
        <v>75</v>
      </c>
      <c r="M278" s="8" t="s">
        <v>75</v>
      </c>
      <c r="N278" s="8" t="s">
        <v>306</v>
      </c>
      <c r="O278" s="8" t="s">
        <v>36</v>
      </c>
      <c r="P278" s="8" t="s">
        <v>282</v>
      </c>
      <c r="Q278" s="8" t="s">
        <v>543</v>
      </c>
      <c r="R278" s="8" t="s">
        <v>222</v>
      </c>
      <c r="S278" s="8" t="s">
        <v>237</v>
      </c>
      <c r="T278" s="8" t="s">
        <v>199</v>
      </c>
      <c r="U278" s="8" t="s">
        <v>189</v>
      </c>
      <c r="V278" s="8">
        <v>1</v>
      </c>
      <c r="W278" s="18">
        <v>1</v>
      </c>
      <c r="X278" s="51">
        <v>45659</v>
      </c>
      <c r="Y278" s="51">
        <v>43248</v>
      </c>
      <c r="Z278" s="28">
        <v>100</v>
      </c>
      <c r="AA278" s="16" t="s">
        <v>1701</v>
      </c>
      <c r="AB278" s="8" t="s">
        <v>291</v>
      </c>
      <c r="AC278" s="8" t="s">
        <v>294</v>
      </c>
      <c r="AD278" s="19" t="s">
        <v>134</v>
      </c>
      <c r="AE278" s="19">
        <v>3102706096</v>
      </c>
      <c r="AF278" s="19" t="s">
        <v>276</v>
      </c>
      <c r="AG278" s="8" t="s">
        <v>292</v>
      </c>
      <c r="AH278" s="51">
        <v>33025</v>
      </c>
      <c r="AI278" s="28">
        <v>36</v>
      </c>
      <c r="AJ278" s="51" t="s">
        <v>1853</v>
      </c>
    </row>
    <row r="279" spans="1:36" ht="12.65" customHeight="1" x14ac:dyDescent="0.35">
      <c r="A279" s="8" t="s">
        <v>139</v>
      </c>
      <c r="B279" s="8" t="s">
        <v>136</v>
      </c>
      <c r="C279" s="8" t="s">
        <v>135</v>
      </c>
      <c r="D279" s="34" t="s">
        <v>1360</v>
      </c>
      <c r="E279" s="14" t="s">
        <v>1361</v>
      </c>
      <c r="F279" s="14" t="s">
        <v>57</v>
      </c>
      <c r="G279" s="14" t="s">
        <v>1</v>
      </c>
      <c r="H279" s="14" t="s">
        <v>9</v>
      </c>
      <c r="I279" s="34" t="s">
        <v>332</v>
      </c>
      <c r="J279" s="8" t="s">
        <v>101</v>
      </c>
      <c r="K279" s="69" t="s">
        <v>333</v>
      </c>
      <c r="L279" s="8" t="s">
        <v>75</v>
      </c>
      <c r="M279" s="8" t="s">
        <v>75</v>
      </c>
      <c r="N279" s="8" t="s">
        <v>306</v>
      </c>
      <c r="O279" s="8" t="s">
        <v>11</v>
      </c>
      <c r="P279" s="8" t="s">
        <v>274</v>
      </c>
      <c r="Q279" s="8" t="s">
        <v>275</v>
      </c>
      <c r="R279" s="8" t="s">
        <v>1628</v>
      </c>
      <c r="S279" s="8" t="s">
        <v>247</v>
      </c>
      <c r="T279" s="8" t="s">
        <v>172</v>
      </c>
      <c r="U279" s="8" t="s">
        <v>189</v>
      </c>
      <c r="V279" s="8">
        <v>1</v>
      </c>
      <c r="W279" s="18">
        <v>1</v>
      </c>
      <c r="X279" s="51">
        <v>45730</v>
      </c>
      <c r="Y279" s="51">
        <v>45730</v>
      </c>
      <c r="Z279" s="28">
        <v>19</v>
      </c>
      <c r="AA279" s="16" t="s">
        <v>1700</v>
      </c>
      <c r="AB279" s="8" t="s">
        <v>294</v>
      </c>
      <c r="AC279" s="8" t="s">
        <v>294</v>
      </c>
      <c r="AD279" s="8" t="s">
        <v>137</v>
      </c>
      <c r="AE279" s="8">
        <v>3102654514</v>
      </c>
      <c r="AF279" s="8" t="s">
        <v>276</v>
      </c>
      <c r="AG279" s="8" t="s">
        <v>292</v>
      </c>
      <c r="AH279" s="51">
        <v>29005</v>
      </c>
      <c r="AI279" s="28">
        <v>47</v>
      </c>
      <c r="AJ279" s="51" t="s">
        <v>1853</v>
      </c>
    </row>
    <row r="280" spans="1:36" ht="12.65" customHeight="1" x14ac:dyDescent="0.35">
      <c r="A280" s="8" t="s">
        <v>139</v>
      </c>
      <c r="B280" s="8" t="s">
        <v>136</v>
      </c>
      <c r="C280" s="8" t="s">
        <v>135</v>
      </c>
      <c r="D280" s="34" t="s">
        <v>1754</v>
      </c>
      <c r="E280" s="14" t="s">
        <v>1753</v>
      </c>
      <c r="F280" s="14" t="s">
        <v>57</v>
      </c>
      <c r="G280" s="14" t="s">
        <v>1</v>
      </c>
      <c r="H280" s="14" t="s">
        <v>9</v>
      </c>
      <c r="I280" s="34" t="s">
        <v>494</v>
      </c>
      <c r="J280" s="8" t="s">
        <v>31</v>
      </c>
      <c r="K280" s="69" t="s">
        <v>495</v>
      </c>
      <c r="L280" s="8" t="s">
        <v>75</v>
      </c>
      <c r="M280" s="8" t="s">
        <v>76</v>
      </c>
      <c r="N280" s="8" t="s">
        <v>306</v>
      </c>
      <c r="O280" s="8" t="s">
        <v>30</v>
      </c>
      <c r="P280" s="8" t="s">
        <v>496</v>
      </c>
      <c r="Q280" s="8" t="s">
        <v>331</v>
      </c>
      <c r="R280" s="8" t="s">
        <v>222</v>
      </c>
      <c r="S280" s="8" t="s">
        <v>237</v>
      </c>
      <c r="T280" s="8" t="s">
        <v>56</v>
      </c>
      <c r="U280" s="8" t="s">
        <v>189</v>
      </c>
      <c r="V280" s="8">
        <v>1</v>
      </c>
      <c r="W280" s="18">
        <v>1</v>
      </c>
      <c r="X280" s="51">
        <v>46171</v>
      </c>
      <c r="Y280" s="51">
        <v>46171</v>
      </c>
      <c r="Z280" s="28">
        <v>4</v>
      </c>
      <c r="AA280" s="16" t="s">
        <v>1699</v>
      </c>
      <c r="AB280" s="8" t="s">
        <v>291</v>
      </c>
      <c r="AC280" s="8" t="s">
        <v>294</v>
      </c>
      <c r="AD280" s="8" t="s">
        <v>137</v>
      </c>
      <c r="AE280" s="8" t="s">
        <v>153</v>
      </c>
      <c r="AF280" s="8" t="s">
        <v>153</v>
      </c>
      <c r="AG280" s="8" t="s">
        <v>292</v>
      </c>
      <c r="AH280" s="51">
        <v>32915</v>
      </c>
      <c r="AI280" s="28">
        <v>36</v>
      </c>
      <c r="AJ280" s="51" t="s">
        <v>1853</v>
      </c>
    </row>
    <row r="281" spans="1:36" ht="12.65" customHeight="1" x14ac:dyDescent="0.35">
      <c r="A281" s="8" t="s">
        <v>139</v>
      </c>
      <c r="B281" s="8" t="s">
        <v>136</v>
      </c>
      <c r="C281" s="8" t="s">
        <v>135</v>
      </c>
      <c r="D281" s="34" t="s">
        <v>1362</v>
      </c>
      <c r="E281" s="14" t="s">
        <v>1363</v>
      </c>
      <c r="F281" s="14" t="s">
        <v>57</v>
      </c>
      <c r="G281" s="14" t="s">
        <v>1</v>
      </c>
      <c r="H281" s="14" t="s">
        <v>9</v>
      </c>
      <c r="I281" s="34" t="s">
        <v>438</v>
      </c>
      <c r="J281" s="8" t="s">
        <v>909</v>
      </c>
      <c r="K281" s="69" t="s">
        <v>439</v>
      </c>
      <c r="L281" s="8" t="s">
        <v>299</v>
      </c>
      <c r="M281" s="8" t="s">
        <v>299</v>
      </c>
      <c r="N281" s="8" t="s">
        <v>306</v>
      </c>
      <c r="O281" s="8" t="s">
        <v>36</v>
      </c>
      <c r="P281" s="8" t="s">
        <v>282</v>
      </c>
      <c r="Q281" s="8" t="s">
        <v>543</v>
      </c>
      <c r="R281" s="8" t="s">
        <v>222</v>
      </c>
      <c r="S281" s="8" t="s">
        <v>237</v>
      </c>
      <c r="T281" s="8" t="s">
        <v>244</v>
      </c>
      <c r="U281" s="8" t="s">
        <v>194</v>
      </c>
      <c r="V281" s="8">
        <v>1</v>
      </c>
      <c r="W281" s="18">
        <v>1</v>
      </c>
      <c r="X281" s="51">
        <v>45659</v>
      </c>
      <c r="Y281" s="51">
        <v>45232</v>
      </c>
      <c r="Z281" s="28">
        <v>35</v>
      </c>
      <c r="AA281" s="16" t="s">
        <v>1701</v>
      </c>
      <c r="AB281" s="8" t="s">
        <v>294</v>
      </c>
      <c r="AC281" s="8" t="s">
        <v>294</v>
      </c>
      <c r="AD281" s="8" t="s">
        <v>134</v>
      </c>
      <c r="AE281" s="8">
        <v>3102698408</v>
      </c>
      <c r="AF281" s="8" t="s">
        <v>276</v>
      </c>
      <c r="AG281" s="8" t="s">
        <v>292</v>
      </c>
      <c r="AH281" s="51">
        <v>35427</v>
      </c>
      <c r="AI281" s="28">
        <v>29</v>
      </c>
      <c r="AJ281" s="51" t="s">
        <v>1853</v>
      </c>
    </row>
    <row r="282" spans="1:36" ht="12.65" customHeight="1" x14ac:dyDescent="0.35">
      <c r="A282" s="8" t="s">
        <v>139</v>
      </c>
      <c r="B282" s="8" t="s">
        <v>136</v>
      </c>
      <c r="C282" s="8" t="s">
        <v>135</v>
      </c>
      <c r="D282" s="34" t="s">
        <v>1364</v>
      </c>
      <c r="E282" s="14" t="s">
        <v>1365</v>
      </c>
      <c r="F282" s="14" t="s">
        <v>57</v>
      </c>
      <c r="G282" s="14" t="s">
        <v>1</v>
      </c>
      <c r="H282" s="14" t="s">
        <v>9</v>
      </c>
      <c r="I282" s="34" t="s">
        <v>578</v>
      </c>
      <c r="J282" s="8" t="s">
        <v>77</v>
      </c>
      <c r="K282" s="69" t="s">
        <v>579</v>
      </c>
      <c r="L282" s="8" t="s">
        <v>75</v>
      </c>
      <c r="M282" s="8" t="s">
        <v>76</v>
      </c>
      <c r="N282" s="8" t="s">
        <v>306</v>
      </c>
      <c r="O282" s="8" t="s">
        <v>580</v>
      </c>
      <c r="P282" s="8" t="s">
        <v>285</v>
      </c>
      <c r="Q282" s="8" t="s">
        <v>285</v>
      </c>
      <c r="R282" s="8" t="s">
        <v>225</v>
      </c>
      <c r="S282" s="8" t="s">
        <v>237</v>
      </c>
      <c r="T282" s="8" t="s">
        <v>175</v>
      </c>
      <c r="U282" s="8" t="s">
        <v>189</v>
      </c>
      <c r="V282" s="8">
        <v>1</v>
      </c>
      <c r="W282" s="18">
        <v>1</v>
      </c>
      <c r="X282" s="51">
        <v>45944</v>
      </c>
      <c r="Y282" s="51">
        <v>45944</v>
      </c>
      <c r="Z282" s="28">
        <v>12</v>
      </c>
      <c r="AA282" s="16" t="s">
        <v>1700</v>
      </c>
      <c r="AB282" s="8" t="s">
        <v>395</v>
      </c>
      <c r="AC282" s="8" t="s">
        <v>294</v>
      </c>
      <c r="AD282" s="8" t="s">
        <v>137</v>
      </c>
      <c r="AE282" s="8" t="s">
        <v>153</v>
      </c>
      <c r="AF282" s="8" t="s">
        <v>153</v>
      </c>
      <c r="AG282" s="8" t="s">
        <v>292</v>
      </c>
      <c r="AH282" s="51">
        <v>35164</v>
      </c>
      <c r="AI282" s="28">
        <v>30</v>
      </c>
      <c r="AJ282" s="51" t="s">
        <v>1852</v>
      </c>
    </row>
    <row r="283" spans="1:36" ht="12.65" customHeight="1" x14ac:dyDescent="0.35">
      <c r="A283" s="8" t="s">
        <v>139</v>
      </c>
      <c r="B283" s="8" t="s">
        <v>136</v>
      </c>
      <c r="C283" s="8" t="s">
        <v>135</v>
      </c>
      <c r="D283" s="34" t="s">
        <v>1027</v>
      </c>
      <c r="E283" s="14" t="s">
        <v>1028</v>
      </c>
      <c r="F283" s="14" t="s">
        <v>57</v>
      </c>
      <c r="G283" s="14" t="s">
        <v>1</v>
      </c>
      <c r="H283" s="14" t="s">
        <v>9</v>
      </c>
      <c r="I283" s="34" t="s">
        <v>449</v>
      </c>
      <c r="J283" s="8" t="s">
        <v>97</v>
      </c>
      <c r="K283" s="69" t="s">
        <v>450</v>
      </c>
      <c r="L283" s="8" t="s">
        <v>75</v>
      </c>
      <c r="M283" s="8" t="s">
        <v>75</v>
      </c>
      <c r="N283" s="8" t="s">
        <v>306</v>
      </c>
      <c r="O283" s="8" t="s">
        <v>11</v>
      </c>
      <c r="P283" s="8" t="s">
        <v>274</v>
      </c>
      <c r="Q283" s="8" t="s">
        <v>275</v>
      </c>
      <c r="R283" s="8" t="s">
        <v>1628</v>
      </c>
      <c r="S283" s="8" t="s">
        <v>247</v>
      </c>
      <c r="T283" s="8" t="s">
        <v>172</v>
      </c>
      <c r="U283" s="8" t="s">
        <v>189</v>
      </c>
      <c r="V283" s="8">
        <v>1</v>
      </c>
      <c r="W283" s="18">
        <v>1</v>
      </c>
      <c r="X283" s="51">
        <v>46001</v>
      </c>
      <c r="Y283" s="51">
        <v>46001</v>
      </c>
      <c r="Z283" s="28">
        <v>10</v>
      </c>
      <c r="AA283" s="16" t="s">
        <v>1711</v>
      </c>
      <c r="AB283" s="8" t="s">
        <v>294</v>
      </c>
      <c r="AC283" s="8" t="s">
        <v>294</v>
      </c>
      <c r="AD283" s="8" t="s">
        <v>137</v>
      </c>
      <c r="AE283" s="8" t="s">
        <v>153</v>
      </c>
      <c r="AF283" s="8" t="s">
        <v>153</v>
      </c>
      <c r="AG283" s="8" t="s">
        <v>292</v>
      </c>
      <c r="AH283" s="51">
        <v>33391</v>
      </c>
      <c r="AI283" s="28">
        <v>35</v>
      </c>
      <c r="AJ283" s="51" t="s">
        <v>1852</v>
      </c>
    </row>
    <row r="284" spans="1:36" ht="12.65" customHeight="1" x14ac:dyDescent="0.35">
      <c r="A284" s="8" t="s">
        <v>139</v>
      </c>
      <c r="B284" s="8" t="s">
        <v>136</v>
      </c>
      <c r="C284" s="8" t="s">
        <v>135</v>
      </c>
      <c r="D284" s="33" t="s">
        <v>1199</v>
      </c>
      <c r="E284" s="14" t="s">
        <v>1200</v>
      </c>
      <c r="F284" s="14" t="s">
        <v>57</v>
      </c>
      <c r="G284" s="14" t="s">
        <v>1</v>
      </c>
      <c r="H284" s="14" t="s">
        <v>9</v>
      </c>
      <c r="I284" s="34" t="s">
        <v>304</v>
      </c>
      <c r="J284" s="8" t="s">
        <v>113</v>
      </c>
      <c r="K284" s="69" t="s">
        <v>305</v>
      </c>
      <c r="L284" s="8" t="s">
        <v>75</v>
      </c>
      <c r="M284" s="8" t="s">
        <v>107</v>
      </c>
      <c r="N284" s="8" t="s">
        <v>306</v>
      </c>
      <c r="O284" s="8" t="s">
        <v>11</v>
      </c>
      <c r="P284" s="8" t="s">
        <v>274</v>
      </c>
      <c r="Q284" s="8" t="s">
        <v>275</v>
      </c>
      <c r="R284" s="8" t="s">
        <v>1628</v>
      </c>
      <c r="S284" s="8" t="s">
        <v>247</v>
      </c>
      <c r="T284" s="8" t="s">
        <v>202</v>
      </c>
      <c r="U284" s="8" t="s">
        <v>189</v>
      </c>
      <c r="V284" s="8">
        <v>1</v>
      </c>
      <c r="W284" s="18">
        <v>1</v>
      </c>
      <c r="X284" s="51">
        <v>45667</v>
      </c>
      <c r="Y284" s="51">
        <v>41733</v>
      </c>
      <c r="Z284" s="28">
        <v>150</v>
      </c>
      <c r="AA284" s="16" t="s">
        <v>1701</v>
      </c>
      <c r="AB284" s="8" t="s">
        <v>293</v>
      </c>
      <c r="AC284" s="8" t="s">
        <v>293</v>
      </c>
      <c r="AD284" s="51" t="s">
        <v>134</v>
      </c>
      <c r="AE284" s="19">
        <v>3102675466</v>
      </c>
      <c r="AF284" s="51" t="s">
        <v>276</v>
      </c>
      <c r="AG284" s="8" t="s">
        <v>292</v>
      </c>
      <c r="AH284" s="51">
        <v>28662</v>
      </c>
      <c r="AI284" s="28">
        <v>48</v>
      </c>
      <c r="AJ284" s="51" t="s">
        <v>1853</v>
      </c>
    </row>
    <row r="285" spans="1:36" ht="12.65" customHeight="1" x14ac:dyDescent="0.35">
      <c r="A285" s="8" t="s">
        <v>139</v>
      </c>
      <c r="B285" s="8" t="s">
        <v>136</v>
      </c>
      <c r="C285" s="8" t="s">
        <v>135</v>
      </c>
      <c r="D285" s="34" t="s">
        <v>1370</v>
      </c>
      <c r="E285" s="8" t="s">
        <v>1371</v>
      </c>
      <c r="F285" s="14" t="s">
        <v>57</v>
      </c>
      <c r="G285" s="14" t="s">
        <v>1</v>
      </c>
      <c r="H285" s="14" t="s">
        <v>9</v>
      </c>
      <c r="I285" s="34" t="s">
        <v>435</v>
      </c>
      <c r="J285" s="8" t="s">
        <v>436</v>
      </c>
      <c r="K285" s="69" t="s">
        <v>437</v>
      </c>
      <c r="L285" s="8" t="s">
        <v>299</v>
      </c>
      <c r="M285" s="8" t="s">
        <v>299</v>
      </c>
      <c r="N285" s="8" t="s">
        <v>306</v>
      </c>
      <c r="O285" s="8" t="s">
        <v>400</v>
      </c>
      <c r="P285" s="8" t="s">
        <v>285</v>
      </c>
      <c r="Q285" s="8" t="s">
        <v>285</v>
      </c>
      <c r="R285" s="8" t="s">
        <v>225</v>
      </c>
      <c r="S285" s="8" t="s">
        <v>237</v>
      </c>
      <c r="T285" s="8" t="s">
        <v>175</v>
      </c>
      <c r="U285" s="8" t="s">
        <v>194</v>
      </c>
      <c r="V285" s="8">
        <v>1</v>
      </c>
      <c r="W285" s="18">
        <v>1</v>
      </c>
      <c r="X285" s="51">
        <v>45659</v>
      </c>
      <c r="Y285" s="51">
        <v>45225</v>
      </c>
      <c r="Z285" s="28">
        <v>35</v>
      </c>
      <c r="AA285" s="16" t="s">
        <v>1701</v>
      </c>
      <c r="AB285" s="8" t="s">
        <v>291</v>
      </c>
      <c r="AC285" s="8" t="s">
        <v>291</v>
      </c>
      <c r="AD285" s="19" t="s">
        <v>134</v>
      </c>
      <c r="AE285" s="19">
        <v>3102660516</v>
      </c>
      <c r="AF285" s="19" t="s">
        <v>276</v>
      </c>
      <c r="AG285" s="8" t="s">
        <v>292</v>
      </c>
      <c r="AH285" s="51">
        <v>34240</v>
      </c>
      <c r="AI285" s="28">
        <v>33</v>
      </c>
      <c r="AJ285" s="51" t="s">
        <v>1853</v>
      </c>
    </row>
    <row r="286" spans="1:36" ht="12.65" customHeight="1" x14ac:dyDescent="0.35">
      <c r="A286" s="8" t="s">
        <v>139</v>
      </c>
      <c r="B286" s="8" t="s">
        <v>136</v>
      </c>
      <c r="C286" s="8" t="s">
        <v>135</v>
      </c>
      <c r="D286" s="35" t="s">
        <v>1886</v>
      </c>
      <c r="E286" s="20" t="s">
        <v>1887</v>
      </c>
      <c r="F286" s="14" t="s">
        <v>57</v>
      </c>
      <c r="G286" s="14" t="s">
        <v>1</v>
      </c>
      <c r="H286" s="14" t="s">
        <v>9</v>
      </c>
      <c r="I286" s="34" t="s">
        <v>973</v>
      </c>
      <c r="J286" s="8" t="s">
        <v>974</v>
      </c>
      <c r="K286" s="69" t="s">
        <v>975</v>
      </c>
      <c r="L286" s="8" t="s">
        <v>406</v>
      </c>
      <c r="M286" s="8" t="s">
        <v>976</v>
      </c>
      <c r="N286" s="8" t="s">
        <v>306</v>
      </c>
      <c r="O286" s="8" t="s">
        <v>351</v>
      </c>
      <c r="P286" s="8" t="s">
        <v>274</v>
      </c>
      <c r="Q286" s="8" t="s">
        <v>275</v>
      </c>
      <c r="R286" s="8" t="s">
        <v>231</v>
      </c>
      <c r="S286" s="8" t="s">
        <v>247</v>
      </c>
      <c r="T286" s="8" t="s">
        <v>208</v>
      </c>
      <c r="U286" s="8" t="s">
        <v>186</v>
      </c>
      <c r="V286" s="8">
        <v>1</v>
      </c>
      <c r="W286" s="18">
        <v>0.5</v>
      </c>
      <c r="X286" s="51">
        <v>46296</v>
      </c>
      <c r="Y286" s="51">
        <v>46296</v>
      </c>
      <c r="Z286" s="28">
        <v>0</v>
      </c>
      <c r="AA286" s="16" t="s">
        <v>1698</v>
      </c>
      <c r="AB286" s="8" t="s">
        <v>307</v>
      </c>
      <c r="AC286" s="8" t="s">
        <v>307</v>
      </c>
      <c r="AD286" s="19" t="s">
        <v>137</v>
      </c>
      <c r="AE286" s="19" t="s">
        <v>153</v>
      </c>
      <c r="AF286" s="19" t="s">
        <v>153</v>
      </c>
      <c r="AG286" s="8" t="s">
        <v>295</v>
      </c>
      <c r="AH286" s="51">
        <v>34004</v>
      </c>
      <c r="AI286" s="28">
        <v>33</v>
      </c>
      <c r="AJ286" s="51" t="s">
        <v>1853</v>
      </c>
    </row>
    <row r="287" spans="1:36" ht="12.65" customHeight="1" x14ac:dyDescent="0.35">
      <c r="A287" s="8" t="s">
        <v>139</v>
      </c>
      <c r="B287" s="8" t="s">
        <v>136</v>
      </c>
      <c r="C287" s="8" t="s">
        <v>135</v>
      </c>
      <c r="D287" s="35" t="s">
        <v>1886</v>
      </c>
      <c r="E287" s="20" t="s">
        <v>1887</v>
      </c>
      <c r="F287" s="14" t="s">
        <v>57</v>
      </c>
      <c r="G287" s="14" t="s">
        <v>1</v>
      </c>
      <c r="H287" s="14" t="s">
        <v>9</v>
      </c>
      <c r="I287" s="34" t="s">
        <v>665</v>
      </c>
      <c r="J287" s="8" t="s">
        <v>972</v>
      </c>
      <c r="K287" s="69" t="s">
        <v>666</v>
      </c>
      <c r="L287" s="8" t="s">
        <v>406</v>
      </c>
      <c r="M287" s="8" t="s">
        <v>407</v>
      </c>
      <c r="N287" s="8" t="s">
        <v>306</v>
      </c>
      <c r="O287" s="8" t="s">
        <v>351</v>
      </c>
      <c r="P287" s="8" t="s">
        <v>274</v>
      </c>
      <c r="Q287" s="8" t="s">
        <v>275</v>
      </c>
      <c r="R287" s="8" t="s">
        <v>231</v>
      </c>
      <c r="S287" s="8" t="s">
        <v>247</v>
      </c>
      <c r="T287" s="8" t="s">
        <v>208</v>
      </c>
      <c r="U287" s="8" t="s">
        <v>186</v>
      </c>
      <c r="V287" s="8">
        <v>0</v>
      </c>
      <c r="W287" s="18">
        <v>0.5</v>
      </c>
      <c r="X287" s="51">
        <v>46296</v>
      </c>
      <c r="Y287" s="51">
        <v>46296</v>
      </c>
      <c r="Z287" s="28">
        <v>0</v>
      </c>
      <c r="AA287" s="16" t="s">
        <v>1698</v>
      </c>
      <c r="AB287" s="8" t="s">
        <v>307</v>
      </c>
      <c r="AC287" s="8" t="s">
        <v>307</v>
      </c>
      <c r="AD287" s="19" t="s">
        <v>137</v>
      </c>
      <c r="AE287" s="19" t="s">
        <v>153</v>
      </c>
      <c r="AF287" s="19" t="s">
        <v>153</v>
      </c>
      <c r="AG287" s="8" t="s">
        <v>295</v>
      </c>
      <c r="AH287" s="51">
        <v>34004</v>
      </c>
      <c r="AI287" s="28">
        <v>33</v>
      </c>
      <c r="AJ287" s="51" t="s">
        <v>1853</v>
      </c>
    </row>
    <row r="288" spans="1:36" ht="12.65" customHeight="1" x14ac:dyDescent="0.35">
      <c r="A288" s="8" t="s">
        <v>139</v>
      </c>
      <c r="B288" s="8" t="s">
        <v>136</v>
      </c>
      <c r="C288" s="8" t="s">
        <v>135</v>
      </c>
      <c r="D288" s="34" t="s">
        <v>1244</v>
      </c>
      <c r="E288" s="8" t="s">
        <v>1245</v>
      </c>
      <c r="F288" s="14" t="s">
        <v>57</v>
      </c>
      <c r="G288" s="14" t="s">
        <v>1</v>
      </c>
      <c r="H288" s="14" t="s">
        <v>9</v>
      </c>
      <c r="I288" s="34" t="s">
        <v>1544</v>
      </c>
      <c r="J288" s="8" t="s">
        <v>1545</v>
      </c>
      <c r="K288" s="69" t="s">
        <v>1839</v>
      </c>
      <c r="L288" s="8" t="s">
        <v>871</v>
      </c>
      <c r="M288" s="8" t="s">
        <v>872</v>
      </c>
      <c r="N288" s="8" t="s">
        <v>393</v>
      </c>
      <c r="O288" s="8" t="s">
        <v>11</v>
      </c>
      <c r="P288" s="8" t="s">
        <v>274</v>
      </c>
      <c r="Q288" s="8" t="s">
        <v>275</v>
      </c>
      <c r="R288" s="8" t="s">
        <v>231</v>
      </c>
      <c r="S288" s="8" t="s">
        <v>247</v>
      </c>
      <c r="T288" s="14" t="s">
        <v>1666</v>
      </c>
      <c r="U288" s="8" t="s">
        <v>54</v>
      </c>
      <c r="V288" s="8">
        <v>0</v>
      </c>
      <c r="W288" s="18">
        <v>0.2</v>
      </c>
      <c r="X288" s="51">
        <v>46168</v>
      </c>
      <c r="Y288" s="51">
        <v>46168</v>
      </c>
      <c r="Z288" s="28">
        <v>4</v>
      </c>
      <c r="AA288" s="16" t="s">
        <v>1699</v>
      </c>
      <c r="AB288" s="8" t="s">
        <v>307</v>
      </c>
      <c r="AC288" s="8" t="s">
        <v>307</v>
      </c>
      <c r="AD288" s="8" t="s">
        <v>137</v>
      </c>
      <c r="AE288" s="8" t="s">
        <v>153</v>
      </c>
      <c r="AF288" s="8" t="s">
        <v>153</v>
      </c>
      <c r="AG288" s="8" t="s">
        <v>295</v>
      </c>
      <c r="AH288" s="51">
        <v>35472</v>
      </c>
      <c r="AI288" s="28">
        <v>29</v>
      </c>
      <c r="AJ288" s="51" t="s">
        <v>1852</v>
      </c>
    </row>
    <row r="289" spans="1:36" ht="12.65" customHeight="1" x14ac:dyDescent="0.35">
      <c r="A289" s="8" t="s">
        <v>139</v>
      </c>
      <c r="B289" s="8" t="s">
        <v>136</v>
      </c>
      <c r="C289" s="8" t="s">
        <v>135</v>
      </c>
      <c r="D289" s="34" t="s">
        <v>1865</v>
      </c>
      <c r="E289" s="14" t="s">
        <v>1864</v>
      </c>
      <c r="F289" s="14" t="s">
        <v>57</v>
      </c>
      <c r="G289" s="14" t="s">
        <v>1</v>
      </c>
      <c r="H289" s="14" t="s">
        <v>9</v>
      </c>
      <c r="I289" s="77" t="s">
        <v>1183</v>
      </c>
      <c r="J289" s="75" t="s">
        <v>1184</v>
      </c>
      <c r="K289" s="69" t="s">
        <v>1893</v>
      </c>
      <c r="L289" s="8" t="s">
        <v>871</v>
      </c>
      <c r="M289" s="8" t="s">
        <v>872</v>
      </c>
      <c r="N289" s="8" t="s">
        <v>393</v>
      </c>
      <c r="O289" s="8" t="s">
        <v>11</v>
      </c>
      <c r="P289" s="8" t="s">
        <v>274</v>
      </c>
      <c r="Q289" s="8" t="s">
        <v>275</v>
      </c>
      <c r="R289" s="8" t="s">
        <v>231</v>
      </c>
      <c r="S289" s="8" t="s">
        <v>247</v>
      </c>
      <c r="T289" s="14" t="s">
        <v>1666</v>
      </c>
      <c r="U289" s="8" t="s">
        <v>54</v>
      </c>
      <c r="V289" s="8">
        <v>1</v>
      </c>
      <c r="W289" s="18">
        <v>0.5</v>
      </c>
      <c r="X289" s="16">
        <v>46263</v>
      </c>
      <c r="Y289" s="16">
        <v>46263</v>
      </c>
      <c r="Z289" s="28">
        <v>1</v>
      </c>
      <c r="AA289" s="16" t="s">
        <v>1698</v>
      </c>
      <c r="AB289" s="8" t="s">
        <v>307</v>
      </c>
      <c r="AC289" s="8" t="s">
        <v>307</v>
      </c>
      <c r="AD289" s="8" t="s">
        <v>137</v>
      </c>
      <c r="AE289" s="8" t="s">
        <v>153</v>
      </c>
      <c r="AF289" s="8" t="s">
        <v>153</v>
      </c>
      <c r="AG289" s="8" t="s">
        <v>295</v>
      </c>
      <c r="AH289" s="51">
        <v>38640</v>
      </c>
      <c r="AI289" s="28">
        <v>21</v>
      </c>
      <c r="AJ289" s="51" t="s">
        <v>1852</v>
      </c>
    </row>
    <row r="290" spans="1:36" ht="12.65" customHeight="1" x14ac:dyDescent="0.35">
      <c r="A290" s="8" t="s">
        <v>139</v>
      </c>
      <c r="B290" s="8" t="s">
        <v>136</v>
      </c>
      <c r="C290" s="8" t="s">
        <v>135</v>
      </c>
      <c r="D290" s="34" t="s">
        <v>1865</v>
      </c>
      <c r="E290" s="14" t="s">
        <v>1864</v>
      </c>
      <c r="F290" s="14" t="s">
        <v>57</v>
      </c>
      <c r="G290" s="14" t="s">
        <v>1</v>
      </c>
      <c r="H290" s="14" t="s">
        <v>9</v>
      </c>
      <c r="I290" s="78" t="s">
        <v>1259</v>
      </c>
      <c r="J290" s="76" t="s">
        <v>1260</v>
      </c>
      <c r="K290" s="69" t="s">
        <v>1892</v>
      </c>
      <c r="L290" s="8" t="s">
        <v>871</v>
      </c>
      <c r="M290" s="8" t="s">
        <v>872</v>
      </c>
      <c r="N290" s="8" t="s">
        <v>393</v>
      </c>
      <c r="O290" s="8" t="s">
        <v>11</v>
      </c>
      <c r="P290" s="8" t="s">
        <v>274</v>
      </c>
      <c r="Q290" s="8" t="s">
        <v>275</v>
      </c>
      <c r="R290" s="8" t="s">
        <v>231</v>
      </c>
      <c r="S290" s="8" t="s">
        <v>247</v>
      </c>
      <c r="T290" s="14" t="s">
        <v>1666</v>
      </c>
      <c r="U290" s="8" t="s">
        <v>54</v>
      </c>
      <c r="V290" s="8">
        <v>0</v>
      </c>
      <c r="W290" s="18">
        <v>0.5</v>
      </c>
      <c r="X290" s="16">
        <v>46263</v>
      </c>
      <c r="Y290" s="16">
        <v>46263</v>
      </c>
      <c r="Z290" s="28">
        <v>1</v>
      </c>
      <c r="AA290" s="16" t="s">
        <v>1698</v>
      </c>
      <c r="AB290" s="8" t="s">
        <v>307</v>
      </c>
      <c r="AC290" s="8" t="s">
        <v>307</v>
      </c>
      <c r="AD290" s="8" t="s">
        <v>137</v>
      </c>
      <c r="AE290" s="8" t="s">
        <v>153</v>
      </c>
      <c r="AF290" s="8" t="s">
        <v>153</v>
      </c>
      <c r="AG290" s="8" t="s">
        <v>295</v>
      </c>
      <c r="AH290" s="51">
        <v>38640</v>
      </c>
      <c r="AI290" s="28">
        <v>21</v>
      </c>
      <c r="AJ290" s="51" t="s">
        <v>1852</v>
      </c>
    </row>
    <row r="291" spans="1:36" ht="12.65" customHeight="1" x14ac:dyDescent="0.35">
      <c r="A291" s="8" t="s">
        <v>139</v>
      </c>
      <c r="B291" s="8" t="s">
        <v>136</v>
      </c>
      <c r="C291" s="8" t="s">
        <v>135</v>
      </c>
      <c r="D291" s="34" t="s">
        <v>1379</v>
      </c>
      <c r="E291" s="8" t="s">
        <v>1380</v>
      </c>
      <c r="F291" s="14" t="s">
        <v>57</v>
      </c>
      <c r="G291" s="14" t="s">
        <v>1</v>
      </c>
      <c r="H291" s="14" t="s">
        <v>9</v>
      </c>
      <c r="I291" s="34" t="s">
        <v>848</v>
      </c>
      <c r="J291" s="8" t="s">
        <v>100</v>
      </c>
      <c r="K291" s="69" t="s">
        <v>849</v>
      </c>
      <c r="L291" s="8" t="s">
        <v>75</v>
      </c>
      <c r="M291" s="8" t="s">
        <v>75</v>
      </c>
      <c r="N291" s="8" t="s">
        <v>306</v>
      </c>
      <c r="O291" s="8" t="s">
        <v>23</v>
      </c>
      <c r="P291" s="8" t="s">
        <v>419</v>
      </c>
      <c r="Q291" s="8" t="s">
        <v>326</v>
      </c>
      <c r="R291" s="8" t="s">
        <v>234</v>
      </c>
      <c r="S291" s="8" t="s">
        <v>241</v>
      </c>
      <c r="T291" s="8" t="s">
        <v>169</v>
      </c>
      <c r="U291" s="8" t="s">
        <v>189</v>
      </c>
      <c r="V291" s="8">
        <v>1</v>
      </c>
      <c r="W291" s="18">
        <v>1</v>
      </c>
      <c r="X291" s="51">
        <v>45827</v>
      </c>
      <c r="Y291" s="51">
        <v>45827</v>
      </c>
      <c r="Z291" s="28">
        <v>15</v>
      </c>
      <c r="AA291" s="16" t="s">
        <v>1700</v>
      </c>
      <c r="AB291" s="8" t="s">
        <v>395</v>
      </c>
      <c r="AC291" s="8" t="s">
        <v>294</v>
      </c>
      <c r="AD291" s="8" t="s">
        <v>137</v>
      </c>
      <c r="AE291" s="8">
        <v>3102634785</v>
      </c>
      <c r="AF291" s="8" t="s">
        <v>276</v>
      </c>
      <c r="AG291" s="8" t="s">
        <v>292</v>
      </c>
      <c r="AH291" s="51">
        <v>29995</v>
      </c>
      <c r="AI291" s="28">
        <v>44</v>
      </c>
      <c r="AJ291" s="51" t="s">
        <v>1853</v>
      </c>
    </row>
    <row r="292" spans="1:36" ht="12.65" customHeight="1" x14ac:dyDescent="0.35">
      <c r="A292" s="8" t="s">
        <v>139</v>
      </c>
      <c r="B292" s="8" t="s">
        <v>136</v>
      </c>
      <c r="C292" s="8" t="s">
        <v>135</v>
      </c>
      <c r="D292" s="34" t="s">
        <v>1799</v>
      </c>
      <c r="E292" s="14" t="s">
        <v>1798</v>
      </c>
      <c r="F292" s="14" t="s">
        <v>57</v>
      </c>
      <c r="G292" s="14" t="s">
        <v>1</v>
      </c>
      <c r="H292" s="14" t="s">
        <v>9</v>
      </c>
      <c r="I292" s="8" t="s">
        <v>1730</v>
      </c>
      <c r="J292" s="8" t="s">
        <v>1731</v>
      </c>
      <c r="K292" s="69" t="s">
        <v>1732</v>
      </c>
      <c r="L292" s="8" t="s">
        <v>391</v>
      </c>
      <c r="M292" s="8" t="s">
        <v>1733</v>
      </c>
      <c r="N292" s="8" t="s">
        <v>393</v>
      </c>
      <c r="O292" s="8" t="s">
        <v>13</v>
      </c>
      <c r="P292" s="8" t="s">
        <v>285</v>
      </c>
      <c r="Q292" s="8" t="s">
        <v>285</v>
      </c>
      <c r="R292" s="8" t="s">
        <v>225</v>
      </c>
      <c r="S292" s="8" t="s">
        <v>237</v>
      </c>
      <c r="T292" s="8" t="s">
        <v>216</v>
      </c>
      <c r="U292" s="8" t="s">
        <v>183</v>
      </c>
      <c r="V292" s="8">
        <v>1</v>
      </c>
      <c r="W292" s="18">
        <v>0.33333333333333331</v>
      </c>
      <c r="X292" s="51">
        <v>46206</v>
      </c>
      <c r="Y292" s="51">
        <v>46206</v>
      </c>
      <c r="Z292" s="28">
        <v>3</v>
      </c>
      <c r="AA292" s="16" t="s">
        <v>1699</v>
      </c>
      <c r="AB292" s="8" t="s">
        <v>307</v>
      </c>
      <c r="AC292" s="8" t="s">
        <v>307</v>
      </c>
      <c r="AD292" s="41" t="s">
        <v>137</v>
      </c>
      <c r="AE292" s="20" t="s">
        <v>153</v>
      </c>
      <c r="AF292" s="20" t="s">
        <v>153</v>
      </c>
      <c r="AG292" s="8" t="s">
        <v>295</v>
      </c>
      <c r="AH292" s="51">
        <v>34495</v>
      </c>
      <c r="AI292" s="28">
        <v>32</v>
      </c>
      <c r="AJ292" s="51" t="s">
        <v>1852</v>
      </c>
    </row>
    <row r="293" spans="1:36" ht="12.65" customHeight="1" x14ac:dyDescent="0.35">
      <c r="A293" s="8" t="s">
        <v>139</v>
      </c>
      <c r="B293" s="8" t="s">
        <v>136</v>
      </c>
      <c r="C293" s="8" t="s">
        <v>135</v>
      </c>
      <c r="D293" s="34" t="s">
        <v>1799</v>
      </c>
      <c r="E293" s="14" t="s">
        <v>1798</v>
      </c>
      <c r="F293" s="14" t="s">
        <v>57</v>
      </c>
      <c r="G293" s="14" t="s">
        <v>1</v>
      </c>
      <c r="H293" s="14" t="s">
        <v>9</v>
      </c>
      <c r="I293" s="34" t="s">
        <v>1734</v>
      </c>
      <c r="J293" s="8" t="s">
        <v>1735</v>
      </c>
      <c r="K293" s="69" t="s">
        <v>1736</v>
      </c>
      <c r="L293" s="8" t="s">
        <v>391</v>
      </c>
      <c r="M293" s="8" t="s">
        <v>1733</v>
      </c>
      <c r="N293" s="8" t="s">
        <v>393</v>
      </c>
      <c r="O293" s="8" t="s">
        <v>13</v>
      </c>
      <c r="P293" s="8" t="s">
        <v>285</v>
      </c>
      <c r="Q293" s="8" t="s">
        <v>285</v>
      </c>
      <c r="R293" s="8" t="s">
        <v>225</v>
      </c>
      <c r="S293" s="8" t="s">
        <v>237</v>
      </c>
      <c r="T293" s="8" t="s">
        <v>216</v>
      </c>
      <c r="U293" s="8" t="s">
        <v>183</v>
      </c>
      <c r="V293" s="8">
        <v>0</v>
      </c>
      <c r="W293" s="18">
        <v>0.33333333333333331</v>
      </c>
      <c r="X293" s="51">
        <v>46206</v>
      </c>
      <c r="Y293" s="51">
        <v>46206</v>
      </c>
      <c r="Z293" s="28">
        <v>3</v>
      </c>
      <c r="AA293" s="16" t="s">
        <v>1699</v>
      </c>
      <c r="AB293" s="8" t="s">
        <v>307</v>
      </c>
      <c r="AC293" s="8" t="s">
        <v>307</v>
      </c>
      <c r="AD293" s="41" t="s">
        <v>137</v>
      </c>
      <c r="AE293" s="20" t="s">
        <v>153</v>
      </c>
      <c r="AF293" s="20" t="s">
        <v>153</v>
      </c>
      <c r="AG293" s="8" t="s">
        <v>295</v>
      </c>
      <c r="AH293" s="51">
        <v>34495</v>
      </c>
      <c r="AI293" s="28">
        <v>32</v>
      </c>
      <c r="AJ293" s="51" t="s">
        <v>1852</v>
      </c>
    </row>
    <row r="294" spans="1:36" ht="12.65" customHeight="1" x14ac:dyDescent="0.35">
      <c r="A294" s="8" t="s">
        <v>139</v>
      </c>
      <c r="B294" s="8" t="s">
        <v>136</v>
      </c>
      <c r="C294" s="8" t="s">
        <v>135</v>
      </c>
      <c r="D294" s="34" t="s">
        <v>1799</v>
      </c>
      <c r="E294" s="14" t="s">
        <v>1798</v>
      </c>
      <c r="F294" s="14" t="s">
        <v>57</v>
      </c>
      <c r="G294" s="14" t="s">
        <v>1</v>
      </c>
      <c r="H294" s="14" t="s">
        <v>9</v>
      </c>
      <c r="I294" s="34" t="s">
        <v>1737</v>
      </c>
      <c r="J294" s="8" t="s">
        <v>1738</v>
      </c>
      <c r="K294" s="69" t="s">
        <v>1739</v>
      </c>
      <c r="L294" s="8" t="s">
        <v>391</v>
      </c>
      <c r="M294" s="8" t="s">
        <v>1733</v>
      </c>
      <c r="N294" s="8" t="s">
        <v>393</v>
      </c>
      <c r="O294" s="8" t="s">
        <v>400</v>
      </c>
      <c r="P294" s="8" t="s">
        <v>285</v>
      </c>
      <c r="Q294" s="8" t="s">
        <v>285</v>
      </c>
      <c r="R294" s="8" t="s">
        <v>225</v>
      </c>
      <c r="S294" s="8" t="s">
        <v>237</v>
      </c>
      <c r="T294" s="8" t="s">
        <v>216</v>
      </c>
      <c r="U294" s="8" t="s">
        <v>183</v>
      </c>
      <c r="V294" s="8">
        <v>0</v>
      </c>
      <c r="W294" s="18">
        <v>0.33333333333333331</v>
      </c>
      <c r="X294" s="51">
        <v>46206</v>
      </c>
      <c r="Y294" s="51">
        <v>46206</v>
      </c>
      <c r="Z294" s="28">
        <v>3</v>
      </c>
      <c r="AA294" s="16" t="s">
        <v>1699</v>
      </c>
      <c r="AB294" s="8" t="s">
        <v>307</v>
      </c>
      <c r="AC294" s="8" t="s">
        <v>307</v>
      </c>
      <c r="AD294" s="41" t="s">
        <v>137</v>
      </c>
      <c r="AE294" s="20" t="s">
        <v>153</v>
      </c>
      <c r="AF294" s="20" t="s">
        <v>153</v>
      </c>
      <c r="AG294" s="8" t="s">
        <v>295</v>
      </c>
      <c r="AH294" s="51">
        <v>34495</v>
      </c>
      <c r="AI294" s="28">
        <v>32</v>
      </c>
      <c r="AJ294" s="51" t="s">
        <v>1852</v>
      </c>
    </row>
    <row r="295" spans="1:36" ht="12.65" customHeight="1" x14ac:dyDescent="0.35">
      <c r="A295" s="8" t="s">
        <v>139</v>
      </c>
      <c r="B295" s="8" t="s">
        <v>136</v>
      </c>
      <c r="C295" s="8" t="s">
        <v>135</v>
      </c>
      <c r="D295" s="34" t="s">
        <v>1390</v>
      </c>
      <c r="E295" s="14" t="s">
        <v>1391</v>
      </c>
      <c r="F295" s="14" t="s">
        <v>57</v>
      </c>
      <c r="G295" s="14" t="s">
        <v>1</v>
      </c>
      <c r="H295" s="14" t="s">
        <v>9</v>
      </c>
      <c r="I295" s="8" t="s">
        <v>863</v>
      </c>
      <c r="J295" s="8" t="s">
        <v>45</v>
      </c>
      <c r="K295" s="69" t="s">
        <v>864</v>
      </c>
      <c r="L295" s="8" t="s">
        <v>299</v>
      </c>
      <c r="M295" s="8" t="s">
        <v>299</v>
      </c>
      <c r="N295" s="8" t="s">
        <v>306</v>
      </c>
      <c r="O295" s="8" t="s">
        <v>44</v>
      </c>
      <c r="P295" s="8" t="s">
        <v>346</v>
      </c>
      <c r="Q295" s="8" t="s">
        <v>275</v>
      </c>
      <c r="R295" s="8" t="s">
        <v>231</v>
      </c>
      <c r="S295" s="8" t="s">
        <v>247</v>
      </c>
      <c r="T295" s="8" t="s">
        <v>211</v>
      </c>
      <c r="U295" s="8" t="s">
        <v>194</v>
      </c>
      <c r="V295" s="8">
        <v>1</v>
      </c>
      <c r="W295" s="18">
        <v>1</v>
      </c>
      <c r="X295" s="51">
        <v>46077</v>
      </c>
      <c r="Y295" s="51">
        <v>46048</v>
      </c>
      <c r="Z295" s="28">
        <v>8</v>
      </c>
      <c r="AA295" s="16" t="s">
        <v>1710</v>
      </c>
      <c r="AB295" s="8" t="s">
        <v>294</v>
      </c>
      <c r="AC295" s="8" t="s">
        <v>291</v>
      </c>
      <c r="AD295" s="8" t="s">
        <v>137</v>
      </c>
      <c r="AE295" s="8">
        <v>3102624274</v>
      </c>
      <c r="AF295" s="8" t="s">
        <v>276</v>
      </c>
      <c r="AG295" s="8" t="s">
        <v>292</v>
      </c>
      <c r="AH295" s="51">
        <v>37516</v>
      </c>
      <c r="AI295" s="28">
        <v>24</v>
      </c>
      <c r="AJ295" s="51" t="s">
        <v>1853</v>
      </c>
    </row>
    <row r="296" spans="1:36" ht="12.65" customHeight="1" x14ac:dyDescent="0.35">
      <c r="A296" s="8" t="s">
        <v>139</v>
      </c>
      <c r="B296" s="8" t="s">
        <v>136</v>
      </c>
      <c r="C296" s="8" t="s">
        <v>135</v>
      </c>
      <c r="D296" s="33" t="s">
        <v>1691</v>
      </c>
      <c r="E296" s="14" t="s">
        <v>1840</v>
      </c>
      <c r="F296" s="14" t="s">
        <v>57</v>
      </c>
      <c r="G296" s="14" t="s">
        <v>1</v>
      </c>
      <c r="H296" s="14" t="s">
        <v>9</v>
      </c>
      <c r="I296" s="34" t="s">
        <v>544</v>
      </c>
      <c r="J296" s="8" t="s">
        <v>120</v>
      </c>
      <c r="K296" s="69" t="s">
        <v>545</v>
      </c>
      <c r="L296" s="8" t="s">
        <v>75</v>
      </c>
      <c r="M296" s="8" t="s">
        <v>107</v>
      </c>
      <c r="N296" s="8" t="s">
        <v>306</v>
      </c>
      <c r="O296" s="8" t="s">
        <v>296</v>
      </c>
      <c r="P296" s="8" t="s">
        <v>274</v>
      </c>
      <c r="Q296" s="8" t="s">
        <v>275</v>
      </c>
      <c r="R296" s="8" t="s">
        <v>1628</v>
      </c>
      <c r="S296" s="8" t="s">
        <v>247</v>
      </c>
      <c r="T296" s="8" t="s">
        <v>172</v>
      </c>
      <c r="U296" s="8" t="s">
        <v>189</v>
      </c>
      <c r="V296" s="8">
        <v>1</v>
      </c>
      <c r="W296" s="18">
        <v>1</v>
      </c>
      <c r="X296" s="51">
        <v>46246</v>
      </c>
      <c r="Y296" s="51">
        <v>46246</v>
      </c>
      <c r="Z296" s="28">
        <v>2</v>
      </c>
      <c r="AA296" s="16" t="s">
        <v>1698</v>
      </c>
      <c r="AB296" s="8" t="s">
        <v>294</v>
      </c>
      <c r="AC296" s="8" t="s">
        <v>294</v>
      </c>
      <c r="AD296" s="51" t="s">
        <v>137</v>
      </c>
      <c r="AE296" s="20" t="s">
        <v>153</v>
      </c>
      <c r="AF296" s="51" t="s">
        <v>153</v>
      </c>
      <c r="AG296" s="8" t="s">
        <v>292</v>
      </c>
      <c r="AH296" s="51">
        <v>35059</v>
      </c>
      <c r="AI296" s="28">
        <v>30</v>
      </c>
      <c r="AJ296" s="51" t="s">
        <v>1853</v>
      </c>
    </row>
    <row r="297" spans="1:36" ht="12.65" customHeight="1" x14ac:dyDescent="0.35">
      <c r="A297" s="8" t="s">
        <v>139</v>
      </c>
      <c r="B297" s="8" t="s">
        <v>136</v>
      </c>
      <c r="C297" s="8" t="s">
        <v>135</v>
      </c>
      <c r="D297" s="34" t="s">
        <v>1393</v>
      </c>
      <c r="E297" s="14" t="s">
        <v>1394</v>
      </c>
      <c r="F297" s="14" t="s">
        <v>57</v>
      </c>
      <c r="G297" s="14" t="s">
        <v>1</v>
      </c>
      <c r="H297" s="14" t="s">
        <v>9</v>
      </c>
      <c r="I297" s="34" t="s">
        <v>513</v>
      </c>
      <c r="J297" s="8" t="s">
        <v>514</v>
      </c>
      <c r="K297" s="69" t="s">
        <v>515</v>
      </c>
      <c r="L297" s="8" t="s">
        <v>442</v>
      </c>
      <c r="M297" s="8" t="s">
        <v>443</v>
      </c>
      <c r="N297" s="8" t="s">
        <v>393</v>
      </c>
      <c r="O297" s="8" t="s">
        <v>516</v>
      </c>
      <c r="P297" s="8" t="s">
        <v>282</v>
      </c>
      <c r="Q297" s="8" t="s">
        <v>543</v>
      </c>
      <c r="R297" s="8" t="s">
        <v>222</v>
      </c>
      <c r="S297" s="8" t="s">
        <v>237</v>
      </c>
      <c r="T297" s="8" t="s">
        <v>244</v>
      </c>
      <c r="U297" s="8" t="s">
        <v>183</v>
      </c>
      <c r="V297" s="8">
        <v>1</v>
      </c>
      <c r="W297" s="18">
        <v>1</v>
      </c>
      <c r="X297" s="51">
        <v>45659</v>
      </c>
      <c r="Y297" s="51">
        <v>45076</v>
      </c>
      <c r="Z297" s="28">
        <v>40</v>
      </c>
      <c r="AA297" s="16" t="s">
        <v>1701</v>
      </c>
      <c r="AB297" s="8" t="s">
        <v>395</v>
      </c>
      <c r="AC297" s="8" t="s">
        <v>395</v>
      </c>
      <c r="AD297" s="8" t="s">
        <v>134</v>
      </c>
      <c r="AE297" s="8">
        <v>3115860793</v>
      </c>
      <c r="AF297" s="8" t="s">
        <v>276</v>
      </c>
      <c r="AG297" s="8" t="s">
        <v>295</v>
      </c>
      <c r="AH297" s="51">
        <v>32955</v>
      </c>
      <c r="AI297" s="28">
        <v>36</v>
      </c>
      <c r="AJ297" s="51" t="s">
        <v>1852</v>
      </c>
    </row>
    <row r="298" spans="1:36" ht="12.65" customHeight="1" x14ac:dyDescent="0.35">
      <c r="A298" s="8" t="s">
        <v>139</v>
      </c>
      <c r="B298" s="8" t="s">
        <v>136</v>
      </c>
      <c r="C298" s="8" t="s">
        <v>135</v>
      </c>
      <c r="D298" s="34" t="s">
        <v>1395</v>
      </c>
      <c r="E298" s="14" t="s">
        <v>1396</v>
      </c>
      <c r="F298" s="14" t="s">
        <v>57</v>
      </c>
      <c r="G298" s="14" t="s">
        <v>1</v>
      </c>
      <c r="H298" s="14" t="s">
        <v>9</v>
      </c>
      <c r="I298" s="34" t="s">
        <v>590</v>
      </c>
      <c r="J298" s="8" t="s">
        <v>798</v>
      </c>
      <c r="K298" s="69" t="s">
        <v>591</v>
      </c>
      <c r="L298" s="8" t="s">
        <v>548</v>
      </c>
      <c r="M298" s="8" t="s">
        <v>548</v>
      </c>
      <c r="N298" s="8" t="s">
        <v>306</v>
      </c>
      <c r="O298" s="8" t="s">
        <v>146</v>
      </c>
      <c r="P298" s="8" t="s">
        <v>283</v>
      </c>
      <c r="Q298" s="8" t="s">
        <v>326</v>
      </c>
      <c r="R298" s="8" t="s">
        <v>234</v>
      </c>
      <c r="S298" s="8" t="s">
        <v>241</v>
      </c>
      <c r="T298" s="8" t="s">
        <v>160</v>
      </c>
      <c r="U298" s="8" t="s">
        <v>186</v>
      </c>
      <c r="V298" s="8">
        <v>1</v>
      </c>
      <c r="W298" s="18">
        <v>1</v>
      </c>
      <c r="X298" s="51">
        <v>45961</v>
      </c>
      <c r="Y298" s="51">
        <v>45961</v>
      </c>
      <c r="Z298" s="28">
        <v>11</v>
      </c>
      <c r="AA298" s="16" t="s">
        <v>1711</v>
      </c>
      <c r="AB298" s="8" t="s">
        <v>291</v>
      </c>
      <c r="AC298" s="8" t="s">
        <v>291</v>
      </c>
      <c r="AD298" s="8" t="s">
        <v>137</v>
      </c>
      <c r="AE298" s="8">
        <v>3102647708</v>
      </c>
      <c r="AF298" s="8" t="s">
        <v>276</v>
      </c>
      <c r="AG298" s="8" t="s">
        <v>292</v>
      </c>
      <c r="AH298" s="51">
        <v>36584</v>
      </c>
      <c r="AI298" s="28">
        <v>26</v>
      </c>
      <c r="AJ298" s="51" t="s">
        <v>1853</v>
      </c>
    </row>
    <row r="299" spans="1:36" ht="12.65" customHeight="1" x14ac:dyDescent="0.35">
      <c r="A299" s="8" t="s">
        <v>139</v>
      </c>
      <c r="B299" s="8" t="s">
        <v>136</v>
      </c>
      <c r="C299" s="8" t="s">
        <v>135</v>
      </c>
      <c r="D299" s="33" t="s">
        <v>1867</v>
      </c>
      <c r="E299" s="14" t="s">
        <v>1866</v>
      </c>
      <c r="F299" s="14" t="s">
        <v>57</v>
      </c>
      <c r="G299" s="14" t="s">
        <v>1</v>
      </c>
      <c r="H299" s="14" t="s">
        <v>9</v>
      </c>
      <c r="I299" s="34" t="s">
        <v>821</v>
      </c>
      <c r="J299" s="8" t="s">
        <v>106</v>
      </c>
      <c r="K299" s="69" t="s">
        <v>822</v>
      </c>
      <c r="L299" s="8" t="s">
        <v>75</v>
      </c>
      <c r="M299" s="8" t="s">
        <v>75</v>
      </c>
      <c r="N299" s="8" t="s">
        <v>306</v>
      </c>
      <c r="O299" s="8" t="s">
        <v>11</v>
      </c>
      <c r="P299" s="8" t="s">
        <v>274</v>
      </c>
      <c r="Q299" s="8" t="s">
        <v>275</v>
      </c>
      <c r="R299" s="8" t="s">
        <v>1628</v>
      </c>
      <c r="S299" s="8" t="s">
        <v>247</v>
      </c>
      <c r="T299" s="8" t="s">
        <v>202</v>
      </c>
      <c r="U299" s="8" t="s">
        <v>189</v>
      </c>
      <c r="V299" s="8">
        <v>1</v>
      </c>
      <c r="W299" s="18">
        <v>1</v>
      </c>
      <c r="X299" s="51">
        <v>46268</v>
      </c>
      <c r="Y299" s="51">
        <v>46268</v>
      </c>
      <c r="Z299" s="28">
        <v>1</v>
      </c>
      <c r="AA299" s="16" t="s">
        <v>1698</v>
      </c>
      <c r="AB299" s="8" t="s">
        <v>291</v>
      </c>
      <c r="AC299" s="8" t="s">
        <v>291</v>
      </c>
      <c r="AD299" s="51" t="s">
        <v>137</v>
      </c>
      <c r="AE299" s="19" t="s">
        <v>153</v>
      </c>
      <c r="AF299" s="51" t="s">
        <v>153</v>
      </c>
      <c r="AG299" s="8" t="s">
        <v>292</v>
      </c>
      <c r="AH299" s="51">
        <v>32059</v>
      </c>
      <c r="AI299" s="28">
        <v>39</v>
      </c>
      <c r="AJ299" s="51" t="s">
        <v>1853</v>
      </c>
    </row>
    <row r="300" spans="1:36" ht="12.65" customHeight="1" x14ac:dyDescent="0.35">
      <c r="A300" s="8" t="s">
        <v>139</v>
      </c>
      <c r="B300" s="8" t="s">
        <v>136</v>
      </c>
      <c r="C300" s="8" t="s">
        <v>135</v>
      </c>
      <c r="D300" s="35" t="s">
        <v>1797</v>
      </c>
      <c r="E300" s="14" t="s">
        <v>1796</v>
      </c>
      <c r="F300" s="14" t="s">
        <v>57</v>
      </c>
      <c r="G300" s="14" t="s">
        <v>1</v>
      </c>
      <c r="H300" s="14" t="s">
        <v>9</v>
      </c>
      <c r="I300" s="34" t="s">
        <v>639</v>
      </c>
      <c r="J300" s="8" t="s">
        <v>1399</v>
      </c>
      <c r="K300" s="69" t="s">
        <v>640</v>
      </c>
      <c r="L300" s="8" t="s">
        <v>442</v>
      </c>
      <c r="M300" s="8" t="s">
        <v>443</v>
      </c>
      <c r="N300" s="8" t="s">
        <v>393</v>
      </c>
      <c r="O300" s="8" t="s">
        <v>1400</v>
      </c>
      <c r="P300" s="8" t="s">
        <v>282</v>
      </c>
      <c r="Q300" s="8" t="s">
        <v>543</v>
      </c>
      <c r="R300" s="8" t="s">
        <v>222</v>
      </c>
      <c r="S300" s="8" t="s">
        <v>237</v>
      </c>
      <c r="T300" s="8" t="s">
        <v>244</v>
      </c>
      <c r="U300" s="8" t="s">
        <v>183</v>
      </c>
      <c r="V300" s="8">
        <v>1</v>
      </c>
      <c r="W300" s="18">
        <v>0.5</v>
      </c>
      <c r="X300" s="51">
        <v>46205</v>
      </c>
      <c r="Y300" s="51">
        <v>46205</v>
      </c>
      <c r="Z300" s="28">
        <v>3</v>
      </c>
      <c r="AA300" s="16" t="s">
        <v>1699</v>
      </c>
      <c r="AB300" s="8" t="s">
        <v>307</v>
      </c>
      <c r="AC300" s="8" t="s">
        <v>307</v>
      </c>
      <c r="AD300" s="8" t="s">
        <v>137</v>
      </c>
      <c r="AE300" s="8" t="s">
        <v>153</v>
      </c>
      <c r="AF300" s="8" t="s">
        <v>153</v>
      </c>
      <c r="AG300" s="8" t="s">
        <v>295</v>
      </c>
      <c r="AH300" s="51">
        <v>35107</v>
      </c>
      <c r="AI300" s="28">
        <v>30</v>
      </c>
      <c r="AJ300" s="51" t="s">
        <v>1853</v>
      </c>
    </row>
    <row r="301" spans="1:36" ht="12.65" customHeight="1" x14ac:dyDescent="0.35">
      <c r="A301" s="8" t="s">
        <v>139</v>
      </c>
      <c r="B301" s="8" t="s">
        <v>136</v>
      </c>
      <c r="C301" s="8" t="s">
        <v>135</v>
      </c>
      <c r="D301" s="35" t="s">
        <v>1797</v>
      </c>
      <c r="E301" s="14" t="s">
        <v>1796</v>
      </c>
      <c r="F301" s="14" t="s">
        <v>57</v>
      </c>
      <c r="G301" s="14" t="s">
        <v>1</v>
      </c>
      <c r="H301" s="14" t="s">
        <v>9</v>
      </c>
      <c r="I301" s="34" t="s">
        <v>1401</v>
      </c>
      <c r="J301" s="8" t="s">
        <v>1402</v>
      </c>
      <c r="K301" s="69" t="s">
        <v>1403</v>
      </c>
      <c r="L301" s="8" t="s">
        <v>442</v>
      </c>
      <c r="M301" s="8" t="s">
        <v>443</v>
      </c>
      <c r="N301" s="8" t="s">
        <v>393</v>
      </c>
      <c r="O301" s="8" t="s">
        <v>1404</v>
      </c>
      <c r="P301" s="8" t="s">
        <v>509</v>
      </c>
      <c r="Q301" s="8" t="s">
        <v>543</v>
      </c>
      <c r="R301" s="8" t="s">
        <v>222</v>
      </c>
      <c r="S301" s="8" t="s">
        <v>237</v>
      </c>
      <c r="T301" s="8" t="s">
        <v>244</v>
      </c>
      <c r="U301" s="8" t="s">
        <v>183</v>
      </c>
      <c r="V301" s="8">
        <v>0</v>
      </c>
      <c r="W301" s="18">
        <v>0.5</v>
      </c>
      <c r="X301" s="51">
        <v>46205</v>
      </c>
      <c r="Y301" s="51">
        <v>46205</v>
      </c>
      <c r="Z301" s="28">
        <v>3</v>
      </c>
      <c r="AA301" s="16" t="s">
        <v>1699</v>
      </c>
      <c r="AB301" s="8" t="s">
        <v>307</v>
      </c>
      <c r="AC301" s="8" t="s">
        <v>307</v>
      </c>
      <c r="AD301" s="8" t="s">
        <v>137</v>
      </c>
      <c r="AE301" s="8" t="s">
        <v>153</v>
      </c>
      <c r="AF301" s="8" t="s">
        <v>153</v>
      </c>
      <c r="AG301" s="8" t="s">
        <v>295</v>
      </c>
      <c r="AH301" s="51">
        <v>35107</v>
      </c>
      <c r="AI301" s="28">
        <v>30</v>
      </c>
      <c r="AJ301" s="51" t="s">
        <v>1853</v>
      </c>
    </row>
    <row r="302" spans="1:36" ht="12.65" customHeight="1" x14ac:dyDescent="0.35">
      <c r="A302" s="8" t="s">
        <v>139</v>
      </c>
      <c r="B302" s="8" t="s">
        <v>136</v>
      </c>
      <c r="C302" s="8" t="s">
        <v>135</v>
      </c>
      <c r="D302" s="34" t="s">
        <v>1405</v>
      </c>
      <c r="E302" s="8" t="s">
        <v>1406</v>
      </c>
      <c r="F302" s="14" t="s">
        <v>59</v>
      </c>
      <c r="G302" s="14" t="s">
        <v>1</v>
      </c>
      <c r="H302" s="14" t="s">
        <v>9</v>
      </c>
      <c r="I302" s="34" t="s">
        <v>641</v>
      </c>
      <c r="J302" s="8" t="s">
        <v>1407</v>
      </c>
      <c r="K302" s="69" t="s">
        <v>642</v>
      </c>
      <c r="L302" s="8" t="s">
        <v>442</v>
      </c>
      <c r="M302" s="8" t="s">
        <v>443</v>
      </c>
      <c r="N302" s="8" t="s">
        <v>393</v>
      </c>
      <c r="O302" s="8" t="s">
        <v>643</v>
      </c>
      <c r="P302" s="8" t="s">
        <v>282</v>
      </c>
      <c r="Q302" s="8" t="s">
        <v>543</v>
      </c>
      <c r="R302" s="8" t="s">
        <v>222</v>
      </c>
      <c r="S302" s="8" t="s">
        <v>237</v>
      </c>
      <c r="T302" s="17" t="s">
        <v>244</v>
      </c>
      <c r="U302" s="8" t="s">
        <v>183</v>
      </c>
      <c r="V302" s="8">
        <v>0</v>
      </c>
      <c r="W302" s="18">
        <v>0.25</v>
      </c>
      <c r="X302" s="51">
        <v>45659</v>
      </c>
      <c r="Y302" s="51">
        <v>44326</v>
      </c>
      <c r="Z302" s="28">
        <v>65</v>
      </c>
      <c r="AA302" s="16" t="s">
        <v>1701</v>
      </c>
      <c r="AB302" s="8" t="s">
        <v>395</v>
      </c>
      <c r="AC302" s="8" t="s">
        <v>395</v>
      </c>
      <c r="AD302" s="8" t="s">
        <v>134</v>
      </c>
      <c r="AE302" s="8">
        <v>3102623572</v>
      </c>
      <c r="AF302" s="8" t="s">
        <v>276</v>
      </c>
      <c r="AG302" s="8" t="s">
        <v>295</v>
      </c>
      <c r="AH302" s="51">
        <v>34143</v>
      </c>
      <c r="AI302" s="28">
        <v>33</v>
      </c>
      <c r="AJ302" s="51" t="s">
        <v>1852</v>
      </c>
    </row>
    <row r="303" spans="1:36" ht="12.65" customHeight="1" x14ac:dyDescent="0.35">
      <c r="A303" s="8" t="s">
        <v>139</v>
      </c>
      <c r="B303" s="8" t="s">
        <v>136</v>
      </c>
      <c r="C303" s="8" t="s">
        <v>135</v>
      </c>
      <c r="D303" s="34" t="s">
        <v>1408</v>
      </c>
      <c r="E303" s="14" t="s">
        <v>1409</v>
      </c>
      <c r="F303" s="14" t="s">
        <v>57</v>
      </c>
      <c r="G303" s="14" t="s">
        <v>1</v>
      </c>
      <c r="H303" s="14" t="s">
        <v>9</v>
      </c>
      <c r="I303" s="34" t="s">
        <v>587</v>
      </c>
      <c r="J303" s="8" t="s">
        <v>588</v>
      </c>
      <c r="K303" s="69" t="s">
        <v>589</v>
      </c>
      <c r="L303" s="8" t="s">
        <v>382</v>
      </c>
      <c r="M303" s="8" t="s">
        <v>382</v>
      </c>
      <c r="N303" s="8" t="s">
        <v>306</v>
      </c>
      <c r="O303" s="8" t="s">
        <v>13</v>
      </c>
      <c r="P303" s="8" t="s">
        <v>285</v>
      </c>
      <c r="Q303" s="8" t="s">
        <v>285</v>
      </c>
      <c r="R303" s="8" t="s">
        <v>225</v>
      </c>
      <c r="S303" s="8" t="s">
        <v>237</v>
      </c>
      <c r="T303" s="17" t="s">
        <v>216</v>
      </c>
      <c r="U303" s="8" t="s">
        <v>192</v>
      </c>
      <c r="V303" s="8">
        <v>1</v>
      </c>
      <c r="W303" s="18">
        <v>1</v>
      </c>
      <c r="X303" s="51">
        <v>45708</v>
      </c>
      <c r="Y303" s="51">
        <v>45708</v>
      </c>
      <c r="Z303" s="28">
        <v>19</v>
      </c>
      <c r="AA303" s="16" t="s">
        <v>1700</v>
      </c>
      <c r="AB303" s="8" t="s">
        <v>293</v>
      </c>
      <c r="AC303" s="8" t="s">
        <v>293</v>
      </c>
      <c r="AD303" s="8" t="s">
        <v>137</v>
      </c>
      <c r="AE303" s="8">
        <v>3102683994</v>
      </c>
      <c r="AF303" s="8" t="s">
        <v>276</v>
      </c>
      <c r="AG303" s="8" t="s">
        <v>292</v>
      </c>
      <c r="AH303" s="51">
        <v>34500</v>
      </c>
      <c r="AI303" s="28">
        <v>32</v>
      </c>
      <c r="AJ303" s="51" t="s">
        <v>1853</v>
      </c>
    </row>
    <row r="304" spans="1:36" ht="12.65" customHeight="1" x14ac:dyDescent="0.35">
      <c r="A304" s="8" t="s">
        <v>139</v>
      </c>
      <c r="B304" s="8" t="s">
        <v>136</v>
      </c>
      <c r="C304" s="8" t="s">
        <v>135</v>
      </c>
      <c r="D304" s="33" t="s">
        <v>1410</v>
      </c>
      <c r="E304" s="14" t="s">
        <v>1411</v>
      </c>
      <c r="F304" s="14" t="s">
        <v>57</v>
      </c>
      <c r="G304" s="14" t="s">
        <v>1</v>
      </c>
      <c r="H304" s="14" t="s">
        <v>9</v>
      </c>
      <c r="I304" s="34" t="s">
        <v>567</v>
      </c>
      <c r="J304" s="8" t="s">
        <v>568</v>
      </c>
      <c r="K304" s="69" t="s">
        <v>1412</v>
      </c>
      <c r="L304" s="8" t="s">
        <v>406</v>
      </c>
      <c r="M304" s="8" t="s">
        <v>456</v>
      </c>
      <c r="N304" s="8" t="s">
        <v>393</v>
      </c>
      <c r="O304" s="8" t="s">
        <v>569</v>
      </c>
      <c r="P304" s="8" t="s">
        <v>277</v>
      </c>
      <c r="Q304" s="8" t="s">
        <v>278</v>
      </c>
      <c r="R304" s="8" t="s">
        <v>231</v>
      </c>
      <c r="S304" s="8" t="s">
        <v>247</v>
      </c>
      <c r="T304" s="8" t="s">
        <v>211</v>
      </c>
      <c r="U304" s="8" t="s">
        <v>192</v>
      </c>
      <c r="V304" s="8">
        <v>1</v>
      </c>
      <c r="W304" s="18">
        <v>1</v>
      </c>
      <c r="X304" s="51">
        <v>45678</v>
      </c>
      <c r="Y304" s="51">
        <v>45678</v>
      </c>
      <c r="Z304" s="28">
        <v>20</v>
      </c>
      <c r="AA304" s="16" t="s">
        <v>1700</v>
      </c>
      <c r="AB304" s="8" t="s">
        <v>307</v>
      </c>
      <c r="AC304" s="8" t="s">
        <v>307</v>
      </c>
      <c r="AD304" s="19" t="s">
        <v>137</v>
      </c>
      <c r="AE304" s="19">
        <v>3102705496</v>
      </c>
      <c r="AF304" s="19" t="s">
        <v>276</v>
      </c>
      <c r="AG304" s="8" t="s">
        <v>295</v>
      </c>
      <c r="AH304" s="51">
        <v>30228</v>
      </c>
      <c r="AI304" s="28">
        <v>44</v>
      </c>
      <c r="AJ304" s="51" t="s">
        <v>1852</v>
      </c>
    </row>
    <row r="305" spans="1:36" ht="12.65" customHeight="1" x14ac:dyDescent="0.35">
      <c r="A305" s="8" t="s">
        <v>139</v>
      </c>
      <c r="B305" s="8" t="s">
        <v>136</v>
      </c>
      <c r="C305" s="8" t="s">
        <v>135</v>
      </c>
      <c r="D305" s="33" t="s">
        <v>1413</v>
      </c>
      <c r="E305" s="14" t="s">
        <v>1414</v>
      </c>
      <c r="F305" s="14" t="s">
        <v>57</v>
      </c>
      <c r="G305" s="14" t="s">
        <v>1</v>
      </c>
      <c r="H305" s="14" t="s">
        <v>9</v>
      </c>
      <c r="I305" s="34" t="s">
        <v>468</v>
      </c>
      <c r="J305" s="8" t="s">
        <v>469</v>
      </c>
      <c r="K305" s="69" t="s">
        <v>470</v>
      </c>
      <c r="L305" s="8" t="s">
        <v>471</v>
      </c>
      <c r="M305" s="8" t="s">
        <v>472</v>
      </c>
      <c r="N305" s="8" t="s">
        <v>393</v>
      </c>
      <c r="O305" s="8" t="s">
        <v>473</v>
      </c>
      <c r="P305" s="8" t="s">
        <v>473</v>
      </c>
      <c r="Q305" s="8" t="s">
        <v>279</v>
      </c>
      <c r="R305" s="8" t="s">
        <v>234</v>
      </c>
      <c r="S305" s="8" t="s">
        <v>241</v>
      </c>
      <c r="T305" s="8" t="s">
        <v>166</v>
      </c>
      <c r="U305" s="8" t="s">
        <v>183</v>
      </c>
      <c r="V305" s="8">
        <v>1</v>
      </c>
      <c r="W305" s="18">
        <v>1</v>
      </c>
      <c r="X305" s="51">
        <v>45659</v>
      </c>
      <c r="Y305" s="51">
        <v>45659</v>
      </c>
      <c r="Z305" s="28">
        <v>21</v>
      </c>
      <c r="AA305" s="16" t="s">
        <v>1700</v>
      </c>
      <c r="AB305" s="8" t="s">
        <v>395</v>
      </c>
      <c r="AC305" s="8" t="s">
        <v>395</v>
      </c>
      <c r="AD305" s="8" t="s">
        <v>137</v>
      </c>
      <c r="AE305" s="8">
        <v>3102691105</v>
      </c>
      <c r="AF305" s="8" t="s">
        <v>276</v>
      </c>
      <c r="AG305" s="8" t="s">
        <v>295</v>
      </c>
      <c r="AH305" s="51">
        <v>36700</v>
      </c>
      <c r="AI305" s="28">
        <v>26</v>
      </c>
      <c r="AJ305" s="51" t="s">
        <v>1852</v>
      </c>
    </row>
    <row r="306" spans="1:36" ht="12.65" customHeight="1" x14ac:dyDescent="0.35">
      <c r="A306" s="8" t="s">
        <v>139</v>
      </c>
      <c r="B306" s="8" t="s">
        <v>1243</v>
      </c>
      <c r="C306" s="8" t="s">
        <v>135</v>
      </c>
      <c r="D306" s="35" t="s">
        <v>1416</v>
      </c>
      <c r="E306" s="14" t="s">
        <v>1417</v>
      </c>
      <c r="F306" s="14" t="s">
        <v>57</v>
      </c>
      <c r="G306" s="14" t="s">
        <v>1</v>
      </c>
      <c r="H306" s="14" t="s">
        <v>9</v>
      </c>
      <c r="I306" s="34" t="s">
        <v>690</v>
      </c>
      <c r="J306" s="8" t="s">
        <v>1415</v>
      </c>
      <c r="K306" s="69" t="s">
        <v>691</v>
      </c>
      <c r="L306" s="8" t="s">
        <v>382</v>
      </c>
      <c r="M306" s="8" t="s">
        <v>382</v>
      </c>
      <c r="N306" s="8" t="s">
        <v>306</v>
      </c>
      <c r="O306" s="8" t="s">
        <v>15</v>
      </c>
      <c r="P306" s="8" t="s">
        <v>288</v>
      </c>
      <c r="Q306" s="8" t="s">
        <v>326</v>
      </c>
      <c r="R306" s="8" t="s">
        <v>234</v>
      </c>
      <c r="S306" s="8" t="s">
        <v>241</v>
      </c>
      <c r="T306" s="17" t="s">
        <v>160</v>
      </c>
      <c r="U306" s="8" t="s">
        <v>192</v>
      </c>
      <c r="V306" s="8">
        <v>1</v>
      </c>
      <c r="W306" s="18">
        <v>1</v>
      </c>
      <c r="X306" s="51">
        <v>45659</v>
      </c>
      <c r="Y306" s="51">
        <v>45173</v>
      </c>
      <c r="Z306" s="28">
        <v>37</v>
      </c>
      <c r="AA306" s="16" t="s">
        <v>1701</v>
      </c>
      <c r="AB306" s="8" t="s">
        <v>291</v>
      </c>
      <c r="AC306" s="8" t="s">
        <v>293</v>
      </c>
      <c r="AD306" s="8" t="s">
        <v>134</v>
      </c>
      <c r="AE306" s="8">
        <v>3102694099</v>
      </c>
      <c r="AF306" s="8" t="s">
        <v>276</v>
      </c>
      <c r="AG306" s="8" t="s">
        <v>292</v>
      </c>
      <c r="AH306" s="51">
        <v>34880</v>
      </c>
      <c r="AI306" s="28">
        <v>31</v>
      </c>
      <c r="AJ306" s="51" t="s">
        <v>1853</v>
      </c>
    </row>
    <row r="307" spans="1:36" ht="12.65" customHeight="1" x14ac:dyDescent="0.35">
      <c r="A307" s="8" t="s">
        <v>139</v>
      </c>
      <c r="B307" s="8" t="s">
        <v>136</v>
      </c>
      <c r="C307" s="8" t="s">
        <v>135</v>
      </c>
      <c r="D307" s="33" t="s">
        <v>1418</v>
      </c>
      <c r="E307" s="14" t="s">
        <v>1419</v>
      </c>
      <c r="F307" s="14" t="s">
        <v>57</v>
      </c>
      <c r="G307" s="14" t="s">
        <v>1</v>
      </c>
      <c r="H307" s="14" t="s">
        <v>9</v>
      </c>
      <c r="I307" s="8" t="s">
        <v>370</v>
      </c>
      <c r="J307" s="8" t="s">
        <v>110</v>
      </c>
      <c r="K307" s="69" t="s">
        <v>371</v>
      </c>
      <c r="L307" s="8" t="s">
        <v>75</v>
      </c>
      <c r="M307" s="8" t="s">
        <v>107</v>
      </c>
      <c r="N307" s="8" t="s">
        <v>306</v>
      </c>
      <c r="O307" s="8" t="s">
        <v>29</v>
      </c>
      <c r="P307" s="8" t="s">
        <v>277</v>
      </c>
      <c r="Q307" s="8" t="s">
        <v>278</v>
      </c>
      <c r="R307" s="8" t="s">
        <v>231</v>
      </c>
      <c r="S307" s="8" t="s">
        <v>247</v>
      </c>
      <c r="T307" s="8" t="s">
        <v>211</v>
      </c>
      <c r="U307" s="8" t="s">
        <v>189</v>
      </c>
      <c r="V307" s="8">
        <v>1</v>
      </c>
      <c r="W307" s="18">
        <v>1</v>
      </c>
      <c r="X307" s="51">
        <v>45874</v>
      </c>
      <c r="Y307" s="51">
        <v>45874</v>
      </c>
      <c r="Z307" s="28">
        <v>14</v>
      </c>
      <c r="AA307" s="16" t="s">
        <v>1700</v>
      </c>
      <c r="AB307" s="8" t="s">
        <v>293</v>
      </c>
      <c r="AC307" s="8" t="s">
        <v>294</v>
      </c>
      <c r="AD307" s="8" t="s">
        <v>137</v>
      </c>
      <c r="AE307" s="8">
        <v>3102700903</v>
      </c>
      <c r="AF307" s="8" t="s">
        <v>276</v>
      </c>
      <c r="AG307" s="8" t="s">
        <v>292</v>
      </c>
      <c r="AH307" s="51">
        <v>29967</v>
      </c>
      <c r="AI307" s="28">
        <v>44</v>
      </c>
      <c r="AJ307" s="51" t="s">
        <v>1853</v>
      </c>
    </row>
    <row r="308" spans="1:36" ht="12.65" customHeight="1" x14ac:dyDescent="0.35">
      <c r="A308" s="8" t="s">
        <v>139</v>
      </c>
      <c r="B308" s="8" t="s">
        <v>136</v>
      </c>
      <c r="C308" s="8" t="s">
        <v>135</v>
      </c>
      <c r="D308" s="33" t="s">
        <v>1420</v>
      </c>
      <c r="E308" s="14" t="s">
        <v>1421</v>
      </c>
      <c r="F308" s="14" t="s">
        <v>57</v>
      </c>
      <c r="G308" s="14" t="s">
        <v>1</v>
      </c>
      <c r="H308" s="14" t="s">
        <v>9</v>
      </c>
      <c r="I308" s="34" t="s">
        <v>1422</v>
      </c>
      <c r="J308" s="8" t="s">
        <v>1423</v>
      </c>
      <c r="K308" s="69" t="s">
        <v>1424</v>
      </c>
      <c r="L308" s="8" t="s">
        <v>406</v>
      </c>
      <c r="M308" s="8" t="s">
        <v>976</v>
      </c>
      <c r="N308" s="8" t="s">
        <v>306</v>
      </c>
      <c r="O308" s="8" t="s">
        <v>11</v>
      </c>
      <c r="P308" s="8" t="s">
        <v>274</v>
      </c>
      <c r="Q308" s="8" t="s">
        <v>275</v>
      </c>
      <c r="R308" s="8" t="s">
        <v>231</v>
      </c>
      <c r="S308" s="8" t="s">
        <v>247</v>
      </c>
      <c r="T308" s="8" t="s">
        <v>208</v>
      </c>
      <c r="U308" s="8" t="s">
        <v>186</v>
      </c>
      <c r="V308" s="8">
        <v>1</v>
      </c>
      <c r="W308" s="18">
        <v>1</v>
      </c>
      <c r="X308" s="53">
        <v>45659</v>
      </c>
      <c r="Y308" s="53">
        <v>43707</v>
      </c>
      <c r="Z308" s="28">
        <v>85</v>
      </c>
      <c r="AA308" s="16" t="s">
        <v>1701</v>
      </c>
      <c r="AB308" s="8" t="s">
        <v>293</v>
      </c>
      <c r="AC308" s="8" t="s">
        <v>293</v>
      </c>
      <c r="AD308" s="14" t="s">
        <v>134</v>
      </c>
      <c r="AE308" s="14">
        <v>3102658189</v>
      </c>
      <c r="AF308" s="14" t="s">
        <v>276</v>
      </c>
      <c r="AG308" s="8" t="s">
        <v>292</v>
      </c>
      <c r="AH308" s="51">
        <v>33428</v>
      </c>
      <c r="AI308" s="28">
        <v>35</v>
      </c>
      <c r="AJ308" s="51" t="s">
        <v>1853</v>
      </c>
    </row>
    <row r="309" spans="1:36" ht="12.65" customHeight="1" x14ac:dyDescent="0.35">
      <c r="A309" s="8" t="s">
        <v>139</v>
      </c>
      <c r="B309" s="8" t="s">
        <v>136</v>
      </c>
      <c r="C309" s="8" t="s">
        <v>135</v>
      </c>
      <c r="D309" s="34" t="s">
        <v>1503</v>
      </c>
      <c r="E309" s="8" t="s">
        <v>1504</v>
      </c>
      <c r="F309" s="14" t="s">
        <v>57</v>
      </c>
      <c r="G309" s="14" t="s">
        <v>1</v>
      </c>
      <c r="H309" s="14" t="s">
        <v>9</v>
      </c>
      <c r="I309" s="34" t="s">
        <v>619</v>
      </c>
      <c r="J309" s="8" t="s">
        <v>620</v>
      </c>
      <c r="K309" s="69" t="s">
        <v>621</v>
      </c>
      <c r="L309" s="8" t="s">
        <v>299</v>
      </c>
      <c r="M309" s="8" t="s">
        <v>299</v>
      </c>
      <c r="N309" s="8" t="s">
        <v>306</v>
      </c>
      <c r="O309" s="8" t="s">
        <v>13</v>
      </c>
      <c r="P309" s="8" t="s">
        <v>285</v>
      </c>
      <c r="Q309" s="8" t="s">
        <v>285</v>
      </c>
      <c r="R309" s="8" t="s">
        <v>225</v>
      </c>
      <c r="S309" s="8" t="s">
        <v>237</v>
      </c>
      <c r="T309" s="8" t="s">
        <v>175</v>
      </c>
      <c r="U309" s="8" t="s">
        <v>194</v>
      </c>
      <c r="V309" s="8">
        <v>1</v>
      </c>
      <c r="W309" s="18">
        <v>1</v>
      </c>
      <c r="X309" s="51">
        <v>45772</v>
      </c>
      <c r="Y309" s="51">
        <v>45772</v>
      </c>
      <c r="Z309" s="28">
        <v>17</v>
      </c>
      <c r="AA309" s="16" t="s">
        <v>1700</v>
      </c>
      <c r="AB309" s="8" t="s">
        <v>294</v>
      </c>
      <c r="AC309" s="8" t="s">
        <v>291</v>
      </c>
      <c r="AD309" s="19" t="s">
        <v>137</v>
      </c>
      <c r="AE309" s="19">
        <v>3102716739</v>
      </c>
      <c r="AF309" s="19" t="s">
        <v>276</v>
      </c>
      <c r="AG309" s="8" t="s">
        <v>292</v>
      </c>
      <c r="AH309" s="51">
        <v>37727</v>
      </c>
      <c r="AI309" s="28">
        <v>23</v>
      </c>
      <c r="AJ309" s="51" t="s">
        <v>1853</v>
      </c>
    </row>
    <row r="310" spans="1:36" ht="12.65" customHeight="1" x14ac:dyDescent="0.35">
      <c r="A310" s="8" t="s">
        <v>139</v>
      </c>
      <c r="B310" s="8" t="s">
        <v>136</v>
      </c>
      <c r="C310" s="8" t="s">
        <v>135</v>
      </c>
      <c r="D310" s="33" t="s">
        <v>1888</v>
      </c>
      <c r="E310" s="14" t="s">
        <v>1889</v>
      </c>
      <c r="F310" s="14" t="s">
        <v>57</v>
      </c>
      <c r="G310" s="14" t="s">
        <v>1</v>
      </c>
      <c r="H310" s="14" t="s">
        <v>9</v>
      </c>
      <c r="I310" s="34" t="s">
        <v>644</v>
      </c>
      <c r="J310" s="8" t="s">
        <v>645</v>
      </c>
      <c r="K310" s="69" t="s">
        <v>646</v>
      </c>
      <c r="L310" s="8" t="s">
        <v>382</v>
      </c>
      <c r="M310" s="8" t="s">
        <v>382</v>
      </c>
      <c r="N310" s="8" t="s">
        <v>306</v>
      </c>
      <c r="O310" s="8" t="s">
        <v>351</v>
      </c>
      <c r="P310" s="8" t="s">
        <v>274</v>
      </c>
      <c r="Q310" s="8" t="s">
        <v>275</v>
      </c>
      <c r="R310" s="8" t="s">
        <v>1628</v>
      </c>
      <c r="S310" s="8" t="s">
        <v>247</v>
      </c>
      <c r="T310" s="8" t="s">
        <v>163</v>
      </c>
      <c r="U310" s="8" t="s">
        <v>192</v>
      </c>
      <c r="V310" s="8">
        <v>1</v>
      </c>
      <c r="W310" s="18">
        <v>1</v>
      </c>
      <c r="X310" s="51">
        <v>46297</v>
      </c>
      <c r="Y310" s="51">
        <v>46297</v>
      </c>
      <c r="Z310" s="28">
        <v>0</v>
      </c>
      <c r="AA310" s="16" t="s">
        <v>1698</v>
      </c>
      <c r="AB310" s="8" t="s">
        <v>294</v>
      </c>
      <c r="AC310" s="8" t="s">
        <v>291</v>
      </c>
      <c r="AD310" s="19" t="s">
        <v>137</v>
      </c>
      <c r="AE310" s="19" t="s">
        <v>153</v>
      </c>
      <c r="AF310" s="19" t="s">
        <v>153</v>
      </c>
      <c r="AG310" s="8" t="s">
        <v>292</v>
      </c>
      <c r="AH310" s="51">
        <v>34924</v>
      </c>
      <c r="AI310" s="28">
        <v>31</v>
      </c>
      <c r="AJ310" s="51" t="s">
        <v>1853</v>
      </c>
    </row>
    <row r="311" spans="1:36" ht="12.65" customHeight="1" x14ac:dyDescent="0.35">
      <c r="A311" s="8" t="s">
        <v>139</v>
      </c>
      <c r="B311" s="8" t="s">
        <v>136</v>
      </c>
      <c r="C311" s="8" t="s">
        <v>135</v>
      </c>
      <c r="D311" s="35" t="s">
        <v>1068</v>
      </c>
      <c r="E311" s="33" t="s">
        <v>1069</v>
      </c>
      <c r="F311" s="14" t="s">
        <v>57</v>
      </c>
      <c r="G311" s="14" t="s">
        <v>1</v>
      </c>
      <c r="H311" s="14" t="s">
        <v>9</v>
      </c>
      <c r="I311" s="34" t="s">
        <v>553</v>
      </c>
      <c r="J311" s="8" t="s">
        <v>554</v>
      </c>
      <c r="K311" s="69" t="s">
        <v>555</v>
      </c>
      <c r="L311" s="8" t="s">
        <v>471</v>
      </c>
      <c r="M311" s="8" t="s">
        <v>556</v>
      </c>
      <c r="N311" s="8" t="s">
        <v>393</v>
      </c>
      <c r="O311" s="8" t="s">
        <v>148</v>
      </c>
      <c r="P311" s="8" t="s">
        <v>279</v>
      </c>
      <c r="Q311" s="8" t="s">
        <v>279</v>
      </c>
      <c r="R311" s="8" t="s">
        <v>225</v>
      </c>
      <c r="S311" s="8" t="s">
        <v>241</v>
      </c>
      <c r="T311" s="8" t="s">
        <v>166</v>
      </c>
      <c r="U311" s="8" t="s">
        <v>183</v>
      </c>
      <c r="V311" s="8">
        <v>1</v>
      </c>
      <c r="W311" s="18">
        <v>0.5</v>
      </c>
      <c r="X311" s="51">
        <v>45936</v>
      </c>
      <c r="Y311" s="51">
        <v>45936</v>
      </c>
      <c r="Z311" s="28">
        <v>12</v>
      </c>
      <c r="AA311" s="16" t="s">
        <v>1700</v>
      </c>
      <c r="AB311" s="8" t="s">
        <v>307</v>
      </c>
      <c r="AC311" s="8" t="s">
        <v>307</v>
      </c>
      <c r="AD311" s="51" t="s">
        <v>137</v>
      </c>
      <c r="AE311" s="8">
        <v>3102648813</v>
      </c>
      <c r="AF311" s="8" t="s">
        <v>276</v>
      </c>
      <c r="AG311" s="8" t="s">
        <v>295</v>
      </c>
      <c r="AH311" s="51">
        <v>34961</v>
      </c>
      <c r="AI311" s="28">
        <v>31</v>
      </c>
      <c r="AJ311" s="51" t="s">
        <v>1852</v>
      </c>
    </row>
    <row r="312" spans="1:36" ht="12.65" customHeight="1" x14ac:dyDescent="0.35">
      <c r="A312" s="8" t="s">
        <v>139</v>
      </c>
      <c r="B312" s="8" t="s">
        <v>136</v>
      </c>
      <c r="C312" s="8" t="s">
        <v>135</v>
      </c>
      <c r="D312" s="35" t="s">
        <v>1068</v>
      </c>
      <c r="E312" s="33" t="s">
        <v>1069</v>
      </c>
      <c r="F312" s="14" t="s">
        <v>57</v>
      </c>
      <c r="G312" s="14" t="s">
        <v>1</v>
      </c>
      <c r="H312" s="14" t="s">
        <v>9</v>
      </c>
      <c r="I312" s="34" t="s">
        <v>1427</v>
      </c>
      <c r="J312" s="8" t="s">
        <v>1428</v>
      </c>
      <c r="K312" s="69" t="s">
        <v>1429</v>
      </c>
      <c r="L312" s="8" t="s">
        <v>471</v>
      </c>
      <c r="M312" s="8" t="s">
        <v>1430</v>
      </c>
      <c r="N312" s="8" t="s">
        <v>393</v>
      </c>
      <c r="O312" s="8" t="s">
        <v>148</v>
      </c>
      <c r="P312" s="8" t="s">
        <v>279</v>
      </c>
      <c r="Q312" s="8" t="s">
        <v>279</v>
      </c>
      <c r="R312" s="8" t="s">
        <v>225</v>
      </c>
      <c r="S312" s="8" t="s">
        <v>241</v>
      </c>
      <c r="T312" s="8" t="s">
        <v>166</v>
      </c>
      <c r="U312" s="8" t="s">
        <v>183</v>
      </c>
      <c r="V312" s="8">
        <v>0</v>
      </c>
      <c r="W312" s="18">
        <v>0.5</v>
      </c>
      <c r="X312" s="51">
        <v>45936</v>
      </c>
      <c r="Y312" s="51">
        <v>45936</v>
      </c>
      <c r="Z312" s="28">
        <v>12</v>
      </c>
      <c r="AA312" s="16" t="s">
        <v>1700</v>
      </c>
      <c r="AB312" s="8" t="s">
        <v>307</v>
      </c>
      <c r="AC312" s="8" t="s">
        <v>307</v>
      </c>
      <c r="AD312" s="51" t="s">
        <v>137</v>
      </c>
      <c r="AE312" s="8">
        <v>3102648813</v>
      </c>
      <c r="AF312" s="8" t="s">
        <v>276</v>
      </c>
      <c r="AG312" s="8" t="s">
        <v>295</v>
      </c>
      <c r="AH312" s="51">
        <v>34961</v>
      </c>
      <c r="AI312" s="28">
        <v>31</v>
      </c>
      <c r="AJ312" s="51" t="s">
        <v>1852</v>
      </c>
    </row>
    <row r="313" spans="1:36" ht="12.65" customHeight="1" x14ac:dyDescent="0.35">
      <c r="A313" s="8" t="s">
        <v>139</v>
      </c>
      <c r="B313" s="8" t="s">
        <v>136</v>
      </c>
      <c r="C313" s="8" t="s">
        <v>135</v>
      </c>
      <c r="D313" s="34" t="s">
        <v>1431</v>
      </c>
      <c r="E313" s="8" t="s">
        <v>1432</v>
      </c>
      <c r="F313" s="14" t="s">
        <v>57</v>
      </c>
      <c r="G313" s="14" t="s">
        <v>1</v>
      </c>
      <c r="H313" s="14" t="s">
        <v>9</v>
      </c>
      <c r="I313" s="34" t="s">
        <v>1433</v>
      </c>
      <c r="J313" s="8" t="s">
        <v>1434</v>
      </c>
      <c r="K313" s="69" t="s">
        <v>1435</v>
      </c>
      <c r="L313" s="8" t="s">
        <v>548</v>
      </c>
      <c r="M313" s="8" t="s">
        <v>548</v>
      </c>
      <c r="N313" s="8" t="s">
        <v>306</v>
      </c>
      <c r="O313" s="8" t="s">
        <v>146</v>
      </c>
      <c r="P313" s="8" t="s">
        <v>283</v>
      </c>
      <c r="Q313" s="8" t="s">
        <v>326</v>
      </c>
      <c r="R313" s="8" t="s">
        <v>234</v>
      </c>
      <c r="S313" s="8" t="s">
        <v>241</v>
      </c>
      <c r="T313" s="8" t="s">
        <v>160</v>
      </c>
      <c r="U313" s="8" t="s">
        <v>186</v>
      </c>
      <c r="V313" s="8">
        <v>1</v>
      </c>
      <c r="W313" s="18">
        <v>1</v>
      </c>
      <c r="X313" s="51">
        <v>45751</v>
      </c>
      <c r="Y313" s="51">
        <v>45751</v>
      </c>
      <c r="Z313" s="28">
        <v>18</v>
      </c>
      <c r="AA313" s="16" t="s">
        <v>1700</v>
      </c>
      <c r="AB313" s="8" t="s">
        <v>307</v>
      </c>
      <c r="AC313" s="8" t="s">
        <v>307</v>
      </c>
      <c r="AD313" s="8" t="s">
        <v>137</v>
      </c>
      <c r="AE313" s="8">
        <v>3193096126</v>
      </c>
      <c r="AF313" s="8" t="s">
        <v>276</v>
      </c>
      <c r="AG313" s="8" t="s">
        <v>295</v>
      </c>
      <c r="AH313" s="51">
        <v>28968</v>
      </c>
      <c r="AI313" s="28">
        <v>47</v>
      </c>
      <c r="AJ313" s="51" t="s">
        <v>1853</v>
      </c>
    </row>
    <row r="314" spans="1:36" ht="12.65" customHeight="1" x14ac:dyDescent="0.35">
      <c r="A314" s="8" t="s">
        <v>139</v>
      </c>
      <c r="B314" s="8" t="s">
        <v>136</v>
      </c>
      <c r="C314" s="8" t="s">
        <v>135</v>
      </c>
      <c r="D314" s="33" t="s">
        <v>1885</v>
      </c>
      <c r="E314" s="14" t="s">
        <v>1894</v>
      </c>
      <c r="F314" s="14" t="s">
        <v>57</v>
      </c>
      <c r="G314" s="14" t="s">
        <v>1</v>
      </c>
      <c r="H314" s="14" t="s">
        <v>9</v>
      </c>
      <c r="I314" s="34" t="s">
        <v>831</v>
      </c>
      <c r="J314" s="8" t="s">
        <v>832</v>
      </c>
      <c r="K314" s="69" t="s">
        <v>1832</v>
      </c>
      <c r="L314" s="8" t="s">
        <v>871</v>
      </c>
      <c r="M314" s="8" t="s">
        <v>872</v>
      </c>
      <c r="N314" s="8" t="s">
        <v>393</v>
      </c>
      <c r="O314" s="8" t="s">
        <v>11</v>
      </c>
      <c r="P314" s="8" t="s">
        <v>274</v>
      </c>
      <c r="Q314" s="8" t="s">
        <v>275</v>
      </c>
      <c r="R314" s="8" t="s">
        <v>231</v>
      </c>
      <c r="S314" s="8" t="s">
        <v>247</v>
      </c>
      <c r="T314" s="14" t="s">
        <v>1666</v>
      </c>
      <c r="U314" s="8" t="s">
        <v>54</v>
      </c>
      <c r="V314" s="8">
        <v>1</v>
      </c>
      <c r="W314" s="18">
        <v>0.2</v>
      </c>
      <c r="X314" s="53">
        <v>46296</v>
      </c>
      <c r="Y314" s="53">
        <v>46296</v>
      </c>
      <c r="Z314" s="28">
        <v>0</v>
      </c>
      <c r="AA314" s="16" t="s">
        <v>1698</v>
      </c>
      <c r="AB314" s="8" t="s">
        <v>307</v>
      </c>
      <c r="AC314" s="8" t="s">
        <v>307</v>
      </c>
      <c r="AD314" s="14" t="s">
        <v>137</v>
      </c>
      <c r="AE314" s="14" t="s">
        <v>153</v>
      </c>
      <c r="AF314" s="14" t="s">
        <v>153</v>
      </c>
      <c r="AG314" s="8" t="s">
        <v>295</v>
      </c>
      <c r="AH314" s="51">
        <v>32722</v>
      </c>
      <c r="AI314" s="28">
        <v>37</v>
      </c>
      <c r="AJ314" s="51" t="s">
        <v>1853</v>
      </c>
    </row>
    <row r="315" spans="1:36" ht="12.65" customHeight="1" x14ac:dyDescent="0.35">
      <c r="A315" s="8" t="s">
        <v>139</v>
      </c>
      <c r="B315" s="8" t="s">
        <v>136</v>
      </c>
      <c r="C315" s="8" t="s">
        <v>135</v>
      </c>
      <c r="D315" s="33" t="s">
        <v>1885</v>
      </c>
      <c r="E315" s="14" t="s">
        <v>1894</v>
      </c>
      <c r="F315" s="14" t="s">
        <v>57</v>
      </c>
      <c r="G315" s="14" t="s">
        <v>1</v>
      </c>
      <c r="H315" s="14" t="s">
        <v>9</v>
      </c>
      <c r="I315" s="35" t="s">
        <v>1706</v>
      </c>
      <c r="J315" s="20" t="s">
        <v>1707</v>
      </c>
      <c r="K315" s="71" t="s">
        <v>1833</v>
      </c>
      <c r="L315" s="8" t="s">
        <v>871</v>
      </c>
      <c r="M315" s="8" t="s">
        <v>872</v>
      </c>
      <c r="N315" s="8" t="s">
        <v>393</v>
      </c>
      <c r="O315" s="8" t="s">
        <v>11</v>
      </c>
      <c r="P315" s="8" t="s">
        <v>274</v>
      </c>
      <c r="Q315" s="8" t="s">
        <v>275</v>
      </c>
      <c r="R315" s="8" t="s">
        <v>231</v>
      </c>
      <c r="S315" s="8" t="s">
        <v>247</v>
      </c>
      <c r="T315" s="14" t="s">
        <v>1666</v>
      </c>
      <c r="U315" s="8" t="s">
        <v>54</v>
      </c>
      <c r="V315" s="8">
        <v>0</v>
      </c>
      <c r="W315" s="18">
        <v>0.3</v>
      </c>
      <c r="X315" s="53">
        <v>46296</v>
      </c>
      <c r="Y315" s="53">
        <v>46296</v>
      </c>
      <c r="Z315" s="28">
        <v>0</v>
      </c>
      <c r="AA315" s="16" t="s">
        <v>1698</v>
      </c>
      <c r="AB315" s="8" t="s">
        <v>307</v>
      </c>
      <c r="AC315" s="8" t="s">
        <v>307</v>
      </c>
      <c r="AD315" s="14" t="s">
        <v>137</v>
      </c>
      <c r="AE315" s="14" t="s">
        <v>153</v>
      </c>
      <c r="AF315" s="14" t="s">
        <v>153</v>
      </c>
      <c r="AG315" s="8" t="s">
        <v>295</v>
      </c>
      <c r="AH315" s="51">
        <v>32722</v>
      </c>
      <c r="AI315" s="28">
        <v>37</v>
      </c>
      <c r="AJ315" s="51" t="s">
        <v>1853</v>
      </c>
    </row>
    <row r="316" spans="1:36" ht="12.65" customHeight="1" x14ac:dyDescent="0.35">
      <c r="A316" s="8" t="s">
        <v>139</v>
      </c>
      <c r="B316" s="8" t="s">
        <v>136</v>
      </c>
      <c r="C316" s="8" t="s">
        <v>135</v>
      </c>
      <c r="D316" s="33" t="s">
        <v>1885</v>
      </c>
      <c r="E316" s="14" t="s">
        <v>1894</v>
      </c>
      <c r="F316" s="14" t="s">
        <v>57</v>
      </c>
      <c r="G316" s="14" t="s">
        <v>1</v>
      </c>
      <c r="H316" s="14" t="s">
        <v>9</v>
      </c>
      <c r="I316" s="34" t="s">
        <v>782</v>
      </c>
      <c r="J316" s="8" t="s">
        <v>783</v>
      </c>
      <c r="K316" s="69" t="s">
        <v>784</v>
      </c>
      <c r="L316" s="8" t="s">
        <v>871</v>
      </c>
      <c r="M316" s="8" t="s">
        <v>872</v>
      </c>
      <c r="N316" s="8" t="s">
        <v>393</v>
      </c>
      <c r="O316" s="8" t="s">
        <v>11</v>
      </c>
      <c r="P316" s="8" t="s">
        <v>274</v>
      </c>
      <c r="Q316" s="8" t="s">
        <v>275</v>
      </c>
      <c r="R316" s="8" t="s">
        <v>231</v>
      </c>
      <c r="S316" s="8" t="s">
        <v>247</v>
      </c>
      <c r="T316" s="14" t="s">
        <v>1666</v>
      </c>
      <c r="U316" s="8" t="s">
        <v>54</v>
      </c>
      <c r="V316" s="8">
        <v>0</v>
      </c>
      <c r="W316" s="18">
        <v>0.5</v>
      </c>
      <c r="X316" s="53">
        <v>46296</v>
      </c>
      <c r="Y316" s="53">
        <v>46296</v>
      </c>
      <c r="Z316" s="28">
        <v>0</v>
      </c>
      <c r="AA316" s="16" t="s">
        <v>1698</v>
      </c>
      <c r="AB316" s="8" t="s">
        <v>307</v>
      </c>
      <c r="AC316" s="8" t="s">
        <v>307</v>
      </c>
      <c r="AD316" s="14" t="s">
        <v>137</v>
      </c>
      <c r="AE316" s="14" t="s">
        <v>153</v>
      </c>
      <c r="AF316" s="14" t="s">
        <v>153</v>
      </c>
      <c r="AG316" s="8" t="s">
        <v>295</v>
      </c>
      <c r="AH316" s="51">
        <v>32722</v>
      </c>
      <c r="AI316" s="28">
        <v>37</v>
      </c>
      <c r="AJ316" s="51" t="s">
        <v>1853</v>
      </c>
    </row>
    <row r="317" spans="1:36" ht="12.65" customHeight="1" x14ac:dyDescent="0.35">
      <c r="A317" s="8" t="s">
        <v>139</v>
      </c>
      <c r="B317" s="8" t="s">
        <v>136</v>
      </c>
      <c r="C317" s="8" t="s">
        <v>135</v>
      </c>
      <c r="D317" s="33" t="s">
        <v>1436</v>
      </c>
      <c r="E317" s="14" t="s">
        <v>1437</v>
      </c>
      <c r="F317" s="14" t="s">
        <v>57</v>
      </c>
      <c r="G317" s="14" t="s">
        <v>1</v>
      </c>
      <c r="H317" s="14" t="s">
        <v>9</v>
      </c>
      <c r="I317" s="34" t="s">
        <v>376</v>
      </c>
      <c r="J317" s="8" t="s">
        <v>96</v>
      </c>
      <c r="K317" s="69" t="s">
        <v>377</v>
      </c>
      <c r="L317" s="8" t="s">
        <v>75</v>
      </c>
      <c r="M317" s="8" t="s">
        <v>75</v>
      </c>
      <c r="N317" s="8" t="s">
        <v>306</v>
      </c>
      <c r="O317" s="8" t="s">
        <v>36</v>
      </c>
      <c r="P317" s="8" t="s">
        <v>282</v>
      </c>
      <c r="Q317" s="8" t="s">
        <v>543</v>
      </c>
      <c r="R317" s="8" t="s">
        <v>222</v>
      </c>
      <c r="S317" s="8" t="s">
        <v>237</v>
      </c>
      <c r="T317" s="8" t="s">
        <v>199</v>
      </c>
      <c r="U317" s="8" t="s">
        <v>189</v>
      </c>
      <c r="V317" s="8">
        <v>1</v>
      </c>
      <c r="W317" s="18">
        <v>1</v>
      </c>
      <c r="X317" s="51">
        <v>45951</v>
      </c>
      <c r="Y317" s="51">
        <v>45951</v>
      </c>
      <c r="Z317" s="28">
        <v>11</v>
      </c>
      <c r="AA317" s="16" t="s">
        <v>1711</v>
      </c>
      <c r="AB317" s="8" t="s">
        <v>291</v>
      </c>
      <c r="AC317" s="8" t="s">
        <v>294</v>
      </c>
      <c r="AD317" s="19" t="s">
        <v>137</v>
      </c>
      <c r="AE317" s="19">
        <v>3102679357</v>
      </c>
      <c r="AF317" s="19" t="s">
        <v>276</v>
      </c>
      <c r="AG317" s="8" t="s">
        <v>292</v>
      </c>
      <c r="AH317" s="51">
        <v>33309</v>
      </c>
      <c r="AI317" s="28">
        <v>35</v>
      </c>
      <c r="AJ317" s="51" t="s">
        <v>1853</v>
      </c>
    </row>
    <row r="318" spans="1:36" ht="12.65" customHeight="1" x14ac:dyDescent="0.35">
      <c r="A318" s="8" t="s">
        <v>139</v>
      </c>
      <c r="B318" s="8" t="s">
        <v>136</v>
      </c>
      <c r="C318" s="8" t="s">
        <v>135</v>
      </c>
      <c r="D318" s="34" t="s">
        <v>1438</v>
      </c>
      <c r="E318" s="8" t="s">
        <v>1439</v>
      </c>
      <c r="F318" s="14" t="s">
        <v>57</v>
      </c>
      <c r="G318" s="14" t="s">
        <v>1</v>
      </c>
      <c r="H318" s="14" t="s">
        <v>9</v>
      </c>
      <c r="I318" s="34" t="s">
        <v>698</v>
      </c>
      <c r="J318" s="8" t="s">
        <v>1440</v>
      </c>
      <c r="K318" s="69" t="s">
        <v>699</v>
      </c>
      <c r="L318" s="8" t="s">
        <v>406</v>
      </c>
      <c r="M318" s="8" t="s">
        <v>407</v>
      </c>
      <c r="N318" s="8" t="s">
        <v>306</v>
      </c>
      <c r="O318" s="8" t="s">
        <v>146</v>
      </c>
      <c r="P318" s="8" t="s">
        <v>283</v>
      </c>
      <c r="Q318" s="8" t="s">
        <v>326</v>
      </c>
      <c r="R318" s="8" t="s">
        <v>234</v>
      </c>
      <c r="S318" s="8" t="s">
        <v>241</v>
      </c>
      <c r="T318" s="8" t="s">
        <v>160</v>
      </c>
      <c r="U318" s="8" t="s">
        <v>186</v>
      </c>
      <c r="V318" s="8">
        <v>1</v>
      </c>
      <c r="W318" s="18">
        <v>1</v>
      </c>
      <c r="X318" s="51">
        <v>46028</v>
      </c>
      <c r="Y318" s="51">
        <v>46028</v>
      </c>
      <c r="Z318" s="28">
        <v>9</v>
      </c>
      <c r="AA318" s="16" t="s">
        <v>1711</v>
      </c>
      <c r="AB318" s="8" t="s">
        <v>395</v>
      </c>
      <c r="AC318" s="8" t="s">
        <v>395</v>
      </c>
      <c r="AD318" s="8" t="s">
        <v>137</v>
      </c>
      <c r="AE318" s="8">
        <v>3102611686</v>
      </c>
      <c r="AF318" s="8" t="s">
        <v>276</v>
      </c>
      <c r="AG318" s="8" t="s">
        <v>292</v>
      </c>
      <c r="AH318" s="51">
        <v>37971</v>
      </c>
      <c r="AI318" s="28">
        <v>22</v>
      </c>
      <c r="AJ318" s="51" t="s">
        <v>1852</v>
      </c>
    </row>
    <row r="319" spans="1:36" ht="12.65" customHeight="1" x14ac:dyDescent="0.35">
      <c r="A319" s="8" t="s">
        <v>139</v>
      </c>
      <c r="B319" s="8" t="s">
        <v>136</v>
      </c>
      <c r="C319" s="8" t="s">
        <v>135</v>
      </c>
      <c r="D319" s="34" t="s">
        <v>1441</v>
      </c>
      <c r="E319" s="8" t="s">
        <v>1442</v>
      </c>
      <c r="F319" s="14" t="s">
        <v>57</v>
      </c>
      <c r="G319" s="14" t="s">
        <v>1</v>
      </c>
      <c r="H319" s="14" t="s">
        <v>9</v>
      </c>
      <c r="I319" s="34" t="s">
        <v>483</v>
      </c>
      <c r="J319" s="8" t="s">
        <v>484</v>
      </c>
      <c r="K319" s="69" t="s">
        <v>485</v>
      </c>
      <c r="L319" s="8" t="s">
        <v>299</v>
      </c>
      <c r="M319" s="8" t="s">
        <v>299</v>
      </c>
      <c r="N319" s="8" t="s">
        <v>306</v>
      </c>
      <c r="O319" s="8" t="s">
        <v>486</v>
      </c>
      <c r="P319" s="8" t="s">
        <v>284</v>
      </c>
      <c r="Q319" s="8" t="s">
        <v>865</v>
      </c>
      <c r="R319" s="8" t="s">
        <v>1628</v>
      </c>
      <c r="S319" s="8" t="s">
        <v>247</v>
      </c>
      <c r="T319" s="8" t="s">
        <v>157</v>
      </c>
      <c r="U319" s="8" t="s">
        <v>194</v>
      </c>
      <c r="V319" s="8">
        <v>1</v>
      </c>
      <c r="W319" s="18">
        <v>1</v>
      </c>
      <c r="X319" s="51">
        <v>45967</v>
      </c>
      <c r="Y319" s="51">
        <v>45967</v>
      </c>
      <c r="Z319" s="28">
        <v>11</v>
      </c>
      <c r="AA319" s="16" t="s">
        <v>1711</v>
      </c>
      <c r="AB319" s="8" t="s">
        <v>294</v>
      </c>
      <c r="AC319" s="8" t="s">
        <v>291</v>
      </c>
      <c r="AD319" s="8" t="s">
        <v>137</v>
      </c>
      <c r="AE319" s="8">
        <v>3160464868</v>
      </c>
      <c r="AF319" s="8" t="s">
        <v>276</v>
      </c>
      <c r="AG319" s="8" t="s">
        <v>292</v>
      </c>
      <c r="AH319" s="51">
        <v>34362</v>
      </c>
      <c r="AI319" s="28">
        <v>32</v>
      </c>
      <c r="AJ319" s="51" t="s">
        <v>1852</v>
      </c>
    </row>
    <row r="320" spans="1:36" ht="12.65" customHeight="1" x14ac:dyDescent="0.35">
      <c r="A320" s="8" t="s">
        <v>139</v>
      </c>
      <c r="B320" s="8" t="s">
        <v>136</v>
      </c>
      <c r="C320" s="8" t="s">
        <v>135</v>
      </c>
      <c r="D320" s="34" t="s">
        <v>949</v>
      </c>
      <c r="E320" s="14" t="s">
        <v>950</v>
      </c>
      <c r="F320" s="14" t="s">
        <v>57</v>
      </c>
      <c r="G320" s="14" t="s">
        <v>1</v>
      </c>
      <c r="H320" s="14" t="s">
        <v>9</v>
      </c>
      <c r="I320" s="34" t="s">
        <v>838</v>
      </c>
      <c r="J320" s="8" t="s">
        <v>93</v>
      </c>
      <c r="K320" s="69" t="s">
        <v>839</v>
      </c>
      <c r="L320" s="8" t="s">
        <v>75</v>
      </c>
      <c r="M320" s="8" t="s">
        <v>76</v>
      </c>
      <c r="N320" s="8" t="s">
        <v>306</v>
      </c>
      <c r="O320" s="8" t="s">
        <v>400</v>
      </c>
      <c r="P320" s="8" t="s">
        <v>285</v>
      </c>
      <c r="Q320" s="8" t="s">
        <v>285</v>
      </c>
      <c r="R320" s="8" t="s">
        <v>225</v>
      </c>
      <c r="S320" s="8" t="s">
        <v>237</v>
      </c>
      <c r="T320" s="8" t="s">
        <v>175</v>
      </c>
      <c r="U320" s="8" t="s">
        <v>189</v>
      </c>
      <c r="V320" s="8">
        <v>1</v>
      </c>
      <c r="W320" s="18">
        <v>1</v>
      </c>
      <c r="X320" s="54">
        <v>45659</v>
      </c>
      <c r="Y320" s="54">
        <v>44994</v>
      </c>
      <c r="Z320" s="28">
        <v>43</v>
      </c>
      <c r="AA320" s="16" t="s">
        <v>1701</v>
      </c>
      <c r="AB320" s="8" t="s">
        <v>293</v>
      </c>
      <c r="AC320" s="8" t="s">
        <v>291</v>
      </c>
      <c r="AD320" s="20" t="s">
        <v>134</v>
      </c>
      <c r="AE320" s="20">
        <v>3102616548</v>
      </c>
      <c r="AF320" s="20" t="s">
        <v>276</v>
      </c>
      <c r="AG320" s="8" t="s">
        <v>292</v>
      </c>
      <c r="AH320" s="51">
        <v>33175</v>
      </c>
      <c r="AI320" s="28">
        <v>35</v>
      </c>
      <c r="AJ320" s="51" t="s">
        <v>1852</v>
      </c>
    </row>
    <row r="321" spans="1:36" ht="12.65" customHeight="1" x14ac:dyDescent="0.35">
      <c r="A321" s="8" t="s">
        <v>139</v>
      </c>
      <c r="B321" s="8" t="s">
        <v>136</v>
      </c>
      <c r="C321" s="8" t="s">
        <v>135</v>
      </c>
      <c r="D321" s="33" t="s">
        <v>1769</v>
      </c>
      <c r="E321" s="14" t="s">
        <v>1842</v>
      </c>
      <c r="F321" s="14" t="s">
        <v>57</v>
      </c>
      <c r="G321" s="14" t="s">
        <v>1</v>
      </c>
      <c r="H321" s="14" t="s">
        <v>9</v>
      </c>
      <c r="I321" s="34" t="s">
        <v>329</v>
      </c>
      <c r="J321" s="8" t="s">
        <v>95</v>
      </c>
      <c r="K321" s="69" t="s">
        <v>330</v>
      </c>
      <c r="L321" s="8" t="s">
        <v>75</v>
      </c>
      <c r="M321" s="8" t="s">
        <v>75</v>
      </c>
      <c r="N321" s="8" t="s">
        <v>306</v>
      </c>
      <c r="O321" s="8" t="s">
        <v>36</v>
      </c>
      <c r="P321" s="8" t="s">
        <v>282</v>
      </c>
      <c r="Q321" s="8" t="s">
        <v>543</v>
      </c>
      <c r="R321" s="8" t="s">
        <v>222</v>
      </c>
      <c r="S321" s="8" t="s">
        <v>237</v>
      </c>
      <c r="T321" s="8" t="s">
        <v>199</v>
      </c>
      <c r="U321" s="8" t="s">
        <v>189</v>
      </c>
      <c r="V321" s="8">
        <v>1</v>
      </c>
      <c r="W321" s="18">
        <v>1</v>
      </c>
      <c r="X321" s="51">
        <v>46248</v>
      </c>
      <c r="Y321" s="51">
        <v>46248</v>
      </c>
      <c r="Z321" s="28">
        <v>2</v>
      </c>
      <c r="AA321" s="16" t="s">
        <v>1698</v>
      </c>
      <c r="AB321" s="8" t="s">
        <v>291</v>
      </c>
      <c r="AC321" s="8" t="s">
        <v>291</v>
      </c>
      <c r="AD321" s="51" t="s">
        <v>137</v>
      </c>
      <c r="AE321" s="19" t="s">
        <v>153</v>
      </c>
      <c r="AF321" s="19" t="s">
        <v>153</v>
      </c>
      <c r="AG321" s="8" t="s">
        <v>292</v>
      </c>
      <c r="AH321" s="51">
        <v>37866</v>
      </c>
      <c r="AI321" s="28">
        <v>23</v>
      </c>
      <c r="AJ321" s="19" t="s">
        <v>1853</v>
      </c>
    </row>
    <row r="322" spans="1:36" ht="12.65" customHeight="1" x14ac:dyDescent="0.35">
      <c r="A322" s="8" t="s">
        <v>139</v>
      </c>
      <c r="B322" s="8" t="s">
        <v>136</v>
      </c>
      <c r="C322" s="8" t="s">
        <v>135</v>
      </c>
      <c r="D322" s="34" t="s">
        <v>1447</v>
      </c>
      <c r="E322" s="14" t="s">
        <v>1448</v>
      </c>
      <c r="F322" s="14" t="s">
        <v>57</v>
      </c>
      <c r="G322" s="14" t="s">
        <v>1</v>
      </c>
      <c r="H322" s="14" t="s">
        <v>9</v>
      </c>
      <c r="I322" s="34" t="s">
        <v>487</v>
      </c>
      <c r="J322" s="8" t="s">
        <v>488</v>
      </c>
      <c r="K322" s="69" t="s">
        <v>489</v>
      </c>
      <c r="L322" s="8" t="s">
        <v>471</v>
      </c>
      <c r="M322" s="8" t="s">
        <v>490</v>
      </c>
      <c r="N322" s="8" t="s">
        <v>393</v>
      </c>
      <c r="O322" s="8" t="s">
        <v>11</v>
      </c>
      <c r="P322" s="8" t="s">
        <v>274</v>
      </c>
      <c r="Q322" s="8" t="s">
        <v>275</v>
      </c>
      <c r="R322" s="8" t="s">
        <v>1628</v>
      </c>
      <c r="S322" s="8" t="s">
        <v>247</v>
      </c>
      <c r="T322" s="8" t="s">
        <v>163</v>
      </c>
      <c r="U322" s="8" t="s">
        <v>183</v>
      </c>
      <c r="V322" s="8">
        <v>0</v>
      </c>
      <c r="W322" s="18">
        <v>0.33333333333333331</v>
      </c>
      <c r="X322" s="51">
        <v>45939</v>
      </c>
      <c r="Y322" s="51">
        <v>45939</v>
      </c>
      <c r="Z322" s="28">
        <v>12</v>
      </c>
      <c r="AA322" s="16" t="s">
        <v>1700</v>
      </c>
      <c r="AB322" s="8" t="s">
        <v>307</v>
      </c>
      <c r="AC322" s="8" t="s">
        <v>307</v>
      </c>
      <c r="AD322" s="8" t="s">
        <v>137</v>
      </c>
      <c r="AE322" s="8">
        <v>3102647362</v>
      </c>
      <c r="AF322" s="8" t="s">
        <v>276</v>
      </c>
      <c r="AG322" s="8" t="s">
        <v>295</v>
      </c>
      <c r="AH322" s="51">
        <v>33269</v>
      </c>
      <c r="AI322" s="28">
        <v>35</v>
      </c>
      <c r="AJ322" s="51" t="s">
        <v>1852</v>
      </c>
    </row>
    <row r="323" spans="1:36" ht="12.65" customHeight="1" x14ac:dyDescent="0.35">
      <c r="A323" s="8" t="s">
        <v>139</v>
      </c>
      <c r="B323" s="8" t="s">
        <v>136</v>
      </c>
      <c r="C323" s="8" t="s">
        <v>135</v>
      </c>
      <c r="D323" s="34" t="s">
        <v>1447</v>
      </c>
      <c r="E323" s="8" t="s">
        <v>1448</v>
      </c>
      <c r="F323" s="14" t="s">
        <v>57</v>
      </c>
      <c r="G323" s="14" t="s">
        <v>1</v>
      </c>
      <c r="H323" s="14" t="s">
        <v>9</v>
      </c>
      <c r="I323" s="34" t="s">
        <v>491</v>
      </c>
      <c r="J323" s="8" t="s">
        <v>492</v>
      </c>
      <c r="K323" s="69" t="s">
        <v>493</v>
      </c>
      <c r="L323" s="8" t="s">
        <v>471</v>
      </c>
      <c r="M323" s="8" t="s">
        <v>490</v>
      </c>
      <c r="N323" s="8" t="s">
        <v>393</v>
      </c>
      <c r="O323" s="8" t="s">
        <v>11</v>
      </c>
      <c r="P323" s="8" t="s">
        <v>274</v>
      </c>
      <c r="Q323" s="8" t="s">
        <v>275</v>
      </c>
      <c r="R323" s="8" t="s">
        <v>1628</v>
      </c>
      <c r="S323" s="8" t="s">
        <v>247</v>
      </c>
      <c r="T323" s="8" t="s">
        <v>163</v>
      </c>
      <c r="U323" s="8" t="s">
        <v>183</v>
      </c>
      <c r="V323" s="8">
        <v>1</v>
      </c>
      <c r="W323" s="18">
        <v>0.33333333333333331</v>
      </c>
      <c r="X323" s="51">
        <v>45939</v>
      </c>
      <c r="Y323" s="51">
        <v>45939</v>
      </c>
      <c r="Z323" s="28">
        <v>12</v>
      </c>
      <c r="AA323" s="16" t="s">
        <v>1700</v>
      </c>
      <c r="AB323" s="8" t="s">
        <v>307</v>
      </c>
      <c r="AC323" s="8" t="s">
        <v>307</v>
      </c>
      <c r="AD323" s="8" t="s">
        <v>137</v>
      </c>
      <c r="AE323" s="8">
        <v>3102647362</v>
      </c>
      <c r="AF323" s="8" t="s">
        <v>276</v>
      </c>
      <c r="AG323" s="8" t="s">
        <v>295</v>
      </c>
      <c r="AH323" s="51">
        <v>33269</v>
      </c>
      <c r="AI323" s="28">
        <v>35</v>
      </c>
      <c r="AJ323" s="51" t="s">
        <v>1852</v>
      </c>
    </row>
    <row r="324" spans="1:36" ht="12.65" customHeight="1" x14ac:dyDescent="0.35">
      <c r="A324" s="8" t="s">
        <v>139</v>
      </c>
      <c r="B324" s="8" t="s">
        <v>136</v>
      </c>
      <c r="C324" s="8" t="s">
        <v>135</v>
      </c>
      <c r="D324" s="35" t="s">
        <v>1447</v>
      </c>
      <c r="E324" s="14" t="s">
        <v>1448</v>
      </c>
      <c r="F324" s="43" t="s">
        <v>57</v>
      </c>
      <c r="G324" s="14" t="s">
        <v>1</v>
      </c>
      <c r="H324" s="14" t="s">
        <v>9</v>
      </c>
      <c r="I324" s="34" t="s">
        <v>705</v>
      </c>
      <c r="J324" s="8" t="s">
        <v>706</v>
      </c>
      <c r="K324" s="69" t="s">
        <v>707</v>
      </c>
      <c r="L324" s="8" t="s">
        <v>471</v>
      </c>
      <c r="M324" s="8" t="s">
        <v>490</v>
      </c>
      <c r="N324" s="8" t="s">
        <v>393</v>
      </c>
      <c r="O324" s="8" t="s">
        <v>11</v>
      </c>
      <c r="P324" s="8" t="s">
        <v>274</v>
      </c>
      <c r="Q324" s="8" t="s">
        <v>275</v>
      </c>
      <c r="R324" s="8" t="s">
        <v>1628</v>
      </c>
      <c r="S324" s="8" t="s">
        <v>247</v>
      </c>
      <c r="T324" s="8" t="s">
        <v>163</v>
      </c>
      <c r="U324" s="8" t="s">
        <v>183</v>
      </c>
      <c r="V324" s="8">
        <v>0</v>
      </c>
      <c r="W324" s="18">
        <v>0.33333333333333331</v>
      </c>
      <c r="X324" s="51">
        <v>45939</v>
      </c>
      <c r="Y324" s="51">
        <v>45939</v>
      </c>
      <c r="Z324" s="28">
        <v>12</v>
      </c>
      <c r="AA324" s="16" t="s">
        <v>1700</v>
      </c>
      <c r="AB324" s="8" t="s">
        <v>307</v>
      </c>
      <c r="AC324" s="8" t="s">
        <v>307</v>
      </c>
      <c r="AD324" s="8" t="s">
        <v>137</v>
      </c>
      <c r="AE324" s="8">
        <v>3102647362</v>
      </c>
      <c r="AF324" s="8" t="s">
        <v>276</v>
      </c>
      <c r="AG324" s="8" t="s">
        <v>295</v>
      </c>
      <c r="AH324" s="51">
        <v>33269</v>
      </c>
      <c r="AI324" s="28">
        <v>35</v>
      </c>
      <c r="AJ324" s="51" t="s">
        <v>1852</v>
      </c>
    </row>
    <row r="325" spans="1:36" ht="12.65" customHeight="1" x14ac:dyDescent="0.35">
      <c r="A325" s="8" t="s">
        <v>139</v>
      </c>
      <c r="B325" s="8" t="s">
        <v>136</v>
      </c>
      <c r="C325" s="8" t="s">
        <v>135</v>
      </c>
      <c r="D325" s="34" t="s">
        <v>1449</v>
      </c>
      <c r="E325" s="14" t="s">
        <v>1450</v>
      </c>
      <c r="F325" s="14" t="s">
        <v>57</v>
      </c>
      <c r="G325" s="14" t="s">
        <v>1</v>
      </c>
      <c r="H325" s="14" t="s">
        <v>9</v>
      </c>
      <c r="I325" s="34" t="s">
        <v>1451</v>
      </c>
      <c r="J325" s="8" t="s">
        <v>1452</v>
      </c>
      <c r="K325" s="69" t="s">
        <v>1453</v>
      </c>
      <c r="L325" s="8" t="s">
        <v>471</v>
      </c>
      <c r="M325" s="8" t="s">
        <v>490</v>
      </c>
      <c r="N325" s="8" t="s">
        <v>393</v>
      </c>
      <c r="O325" s="8" t="s">
        <v>148</v>
      </c>
      <c r="P325" s="8" t="s">
        <v>279</v>
      </c>
      <c r="Q325" s="8" t="s">
        <v>279</v>
      </c>
      <c r="R325" s="8" t="s">
        <v>225</v>
      </c>
      <c r="S325" s="8" t="s">
        <v>241</v>
      </c>
      <c r="T325" s="8" t="s">
        <v>166</v>
      </c>
      <c r="U325" s="8" t="s">
        <v>183</v>
      </c>
      <c r="V325" s="8">
        <v>1</v>
      </c>
      <c r="W325" s="18">
        <v>0.5</v>
      </c>
      <c r="X325" s="51">
        <v>45659</v>
      </c>
      <c r="Y325" s="51">
        <v>44595</v>
      </c>
      <c r="Z325" s="28">
        <v>56</v>
      </c>
      <c r="AA325" s="16" t="s">
        <v>1701</v>
      </c>
      <c r="AB325" s="8" t="s">
        <v>293</v>
      </c>
      <c r="AC325" s="8" t="s">
        <v>293</v>
      </c>
      <c r="AD325" s="8" t="s">
        <v>134</v>
      </c>
      <c r="AE325" s="8">
        <v>3102630405</v>
      </c>
      <c r="AF325" s="8" t="s">
        <v>276</v>
      </c>
      <c r="AG325" s="8" t="s">
        <v>295</v>
      </c>
      <c r="AH325" s="51">
        <v>33133</v>
      </c>
      <c r="AI325" s="28">
        <v>36</v>
      </c>
      <c r="AJ325" s="51" t="s">
        <v>1853</v>
      </c>
    </row>
    <row r="326" spans="1:36" ht="12.65" customHeight="1" x14ac:dyDescent="0.35">
      <c r="A326" s="8" t="s">
        <v>139</v>
      </c>
      <c r="B326" s="8" t="s">
        <v>136</v>
      </c>
      <c r="C326" s="8" t="s">
        <v>135</v>
      </c>
      <c r="D326" s="34" t="s">
        <v>1449</v>
      </c>
      <c r="E326" s="8" t="s">
        <v>1450</v>
      </c>
      <c r="F326" s="14" t="s">
        <v>57</v>
      </c>
      <c r="G326" s="14" t="s">
        <v>1</v>
      </c>
      <c r="H326" s="14" t="s">
        <v>9</v>
      </c>
      <c r="I326" s="34" t="s">
        <v>1454</v>
      </c>
      <c r="J326" s="8" t="s">
        <v>1455</v>
      </c>
      <c r="K326" s="69" t="s">
        <v>1453</v>
      </c>
      <c r="L326" s="8" t="s">
        <v>471</v>
      </c>
      <c r="M326" s="8" t="s">
        <v>490</v>
      </c>
      <c r="N326" s="8" t="s">
        <v>393</v>
      </c>
      <c r="O326" s="8" t="s">
        <v>148</v>
      </c>
      <c r="P326" s="8" t="s">
        <v>279</v>
      </c>
      <c r="Q326" s="8" t="s">
        <v>279</v>
      </c>
      <c r="R326" s="8" t="s">
        <v>225</v>
      </c>
      <c r="S326" s="8" t="s">
        <v>241</v>
      </c>
      <c r="T326" s="8" t="s">
        <v>166</v>
      </c>
      <c r="U326" s="8" t="s">
        <v>183</v>
      </c>
      <c r="V326" s="8">
        <v>0</v>
      </c>
      <c r="W326" s="18">
        <v>0.5</v>
      </c>
      <c r="X326" s="51">
        <v>45659</v>
      </c>
      <c r="Y326" s="51">
        <v>44595</v>
      </c>
      <c r="Z326" s="28">
        <v>56</v>
      </c>
      <c r="AA326" s="16" t="s">
        <v>1701</v>
      </c>
      <c r="AB326" s="8" t="s">
        <v>293</v>
      </c>
      <c r="AC326" s="8" t="s">
        <v>293</v>
      </c>
      <c r="AD326" s="8" t="s">
        <v>134</v>
      </c>
      <c r="AE326" s="8">
        <v>3102630405</v>
      </c>
      <c r="AF326" s="8" t="s">
        <v>276</v>
      </c>
      <c r="AG326" s="8" t="s">
        <v>295</v>
      </c>
      <c r="AH326" s="51">
        <v>33133</v>
      </c>
      <c r="AI326" s="28">
        <v>36</v>
      </c>
      <c r="AJ326" s="51" t="s">
        <v>1853</v>
      </c>
    </row>
    <row r="327" spans="1:36" ht="12.65" customHeight="1" x14ac:dyDescent="0.35">
      <c r="A327" s="8" t="s">
        <v>139</v>
      </c>
      <c r="B327" s="8" t="s">
        <v>136</v>
      </c>
      <c r="C327" s="8" t="s">
        <v>135</v>
      </c>
      <c r="D327" s="34" t="s">
        <v>1456</v>
      </c>
      <c r="E327" s="8" t="s">
        <v>1457</v>
      </c>
      <c r="F327" s="14" t="s">
        <v>57</v>
      </c>
      <c r="G327" s="14" t="s">
        <v>1</v>
      </c>
      <c r="H327" s="14" t="s">
        <v>9</v>
      </c>
      <c r="I327" s="34" t="s">
        <v>531</v>
      </c>
      <c r="J327" s="8" t="s">
        <v>1458</v>
      </c>
      <c r="K327" s="69" t="s">
        <v>532</v>
      </c>
      <c r="L327" s="8" t="s">
        <v>75</v>
      </c>
      <c r="M327" s="8" t="s">
        <v>76</v>
      </c>
      <c r="N327" s="8" t="s">
        <v>306</v>
      </c>
      <c r="O327" s="8" t="s">
        <v>533</v>
      </c>
      <c r="P327" s="8" t="s">
        <v>282</v>
      </c>
      <c r="Q327" s="8" t="s">
        <v>331</v>
      </c>
      <c r="R327" s="8" t="s">
        <v>222</v>
      </c>
      <c r="S327" s="8" t="s">
        <v>237</v>
      </c>
      <c r="T327" s="8" t="s">
        <v>56</v>
      </c>
      <c r="U327" s="8" t="s">
        <v>189</v>
      </c>
      <c r="V327" s="8">
        <v>1</v>
      </c>
      <c r="W327" s="18">
        <v>1</v>
      </c>
      <c r="X327" s="51">
        <v>46107</v>
      </c>
      <c r="Y327" s="51">
        <v>46107</v>
      </c>
      <c r="Z327" s="28">
        <v>6</v>
      </c>
      <c r="AA327" s="16" t="s">
        <v>1710</v>
      </c>
      <c r="AB327" s="8" t="s">
        <v>293</v>
      </c>
      <c r="AC327" s="8" t="s">
        <v>294</v>
      </c>
      <c r="AD327" s="8" t="s">
        <v>137</v>
      </c>
      <c r="AE327" s="8" t="s">
        <v>153</v>
      </c>
      <c r="AF327" s="8" t="s">
        <v>153</v>
      </c>
      <c r="AG327" s="8" t="s">
        <v>292</v>
      </c>
      <c r="AH327" s="51">
        <v>36851</v>
      </c>
      <c r="AI327" s="28">
        <v>25</v>
      </c>
      <c r="AJ327" s="51" t="s">
        <v>1853</v>
      </c>
    </row>
    <row r="328" spans="1:36" ht="12.65" customHeight="1" x14ac:dyDescent="0.35">
      <c r="A328" s="8" t="s">
        <v>139</v>
      </c>
      <c r="B328" s="8" t="s">
        <v>136</v>
      </c>
      <c r="C328" s="8" t="s">
        <v>135</v>
      </c>
      <c r="D328" s="34" t="s">
        <v>1459</v>
      </c>
      <c r="E328" s="8" t="s">
        <v>1460</v>
      </c>
      <c r="F328" s="14" t="s">
        <v>57</v>
      </c>
      <c r="G328" s="14" t="s">
        <v>1</v>
      </c>
      <c r="H328" s="14" t="s">
        <v>9</v>
      </c>
      <c r="I328" s="34" t="s">
        <v>658</v>
      </c>
      <c r="J328" s="8" t="s">
        <v>659</v>
      </c>
      <c r="K328" s="69" t="s">
        <v>660</v>
      </c>
      <c r="L328" s="8" t="s">
        <v>442</v>
      </c>
      <c r="M328" s="8" t="s">
        <v>661</v>
      </c>
      <c r="N328" s="8" t="s">
        <v>393</v>
      </c>
      <c r="O328" s="8" t="s">
        <v>149</v>
      </c>
      <c r="P328" s="8" t="s">
        <v>286</v>
      </c>
      <c r="Q328" s="8" t="s">
        <v>865</v>
      </c>
      <c r="R328" s="8" t="s">
        <v>1628</v>
      </c>
      <c r="S328" s="8" t="s">
        <v>247</v>
      </c>
      <c r="T328" s="8" t="s">
        <v>157</v>
      </c>
      <c r="U328" s="8" t="s">
        <v>183</v>
      </c>
      <c r="V328" s="8">
        <v>1</v>
      </c>
      <c r="W328" s="18">
        <v>1</v>
      </c>
      <c r="X328" s="51">
        <v>46135</v>
      </c>
      <c r="Y328" s="51">
        <v>46135</v>
      </c>
      <c r="Z328" s="28">
        <v>5</v>
      </c>
      <c r="AA328" s="16" t="s">
        <v>1699</v>
      </c>
      <c r="AB328" s="8" t="s">
        <v>293</v>
      </c>
      <c r="AC328" s="8" t="s">
        <v>293</v>
      </c>
      <c r="AD328" s="8" t="s">
        <v>137</v>
      </c>
      <c r="AE328" s="8" t="s">
        <v>153</v>
      </c>
      <c r="AF328" s="8" t="s">
        <v>153</v>
      </c>
      <c r="AG328" s="8" t="s">
        <v>295</v>
      </c>
      <c r="AH328" s="51">
        <v>34937</v>
      </c>
      <c r="AI328" s="28">
        <v>31</v>
      </c>
      <c r="AJ328" s="51" t="s">
        <v>1852</v>
      </c>
    </row>
    <row r="329" spans="1:36" ht="12.65" customHeight="1" x14ac:dyDescent="0.35">
      <c r="A329" s="8" t="s">
        <v>139</v>
      </c>
      <c r="B329" s="8" t="s">
        <v>136</v>
      </c>
      <c r="C329" s="8" t="s">
        <v>135</v>
      </c>
      <c r="D329" s="34" t="s">
        <v>1461</v>
      </c>
      <c r="E329" s="14" t="s">
        <v>1462</v>
      </c>
      <c r="F329" s="14" t="s">
        <v>57</v>
      </c>
      <c r="G329" s="14" t="s">
        <v>1</v>
      </c>
      <c r="H329" s="14" t="s">
        <v>9</v>
      </c>
      <c r="I329" s="34" t="s">
        <v>376</v>
      </c>
      <c r="J329" s="8" t="s">
        <v>96</v>
      </c>
      <c r="K329" s="69" t="s">
        <v>377</v>
      </c>
      <c r="L329" s="8" t="s">
        <v>75</v>
      </c>
      <c r="M329" s="8" t="s">
        <v>75</v>
      </c>
      <c r="N329" s="8" t="s">
        <v>306</v>
      </c>
      <c r="O329" s="8" t="s">
        <v>36</v>
      </c>
      <c r="P329" s="8" t="s">
        <v>282</v>
      </c>
      <c r="Q329" s="8" t="s">
        <v>543</v>
      </c>
      <c r="R329" s="8" t="s">
        <v>222</v>
      </c>
      <c r="S329" s="8" t="s">
        <v>237</v>
      </c>
      <c r="T329" s="8" t="s">
        <v>199</v>
      </c>
      <c r="U329" s="8" t="s">
        <v>189</v>
      </c>
      <c r="V329" s="8">
        <v>1</v>
      </c>
      <c r="W329" s="18">
        <v>1</v>
      </c>
      <c r="X329" s="51">
        <v>45705</v>
      </c>
      <c r="Y329" s="51">
        <v>45705</v>
      </c>
      <c r="Z329" s="28">
        <v>19</v>
      </c>
      <c r="AA329" s="16" t="s">
        <v>1700</v>
      </c>
      <c r="AB329" s="8" t="s">
        <v>291</v>
      </c>
      <c r="AC329" s="8" t="s">
        <v>294</v>
      </c>
      <c r="AD329" s="19" t="s">
        <v>137</v>
      </c>
      <c r="AE329" s="19">
        <v>3102654552</v>
      </c>
      <c r="AF329" s="19" t="s">
        <v>276</v>
      </c>
      <c r="AG329" s="8" t="s">
        <v>292</v>
      </c>
      <c r="AH329" s="51">
        <v>35958</v>
      </c>
      <c r="AI329" s="28">
        <v>28</v>
      </c>
      <c r="AJ329" s="51" t="s">
        <v>1853</v>
      </c>
    </row>
    <row r="330" spans="1:36" ht="12.65" customHeight="1" x14ac:dyDescent="0.35">
      <c r="A330" s="8" t="s">
        <v>139</v>
      </c>
      <c r="B330" s="8" t="s">
        <v>136</v>
      </c>
      <c r="C330" s="8" t="s">
        <v>135</v>
      </c>
      <c r="D330" s="34" t="s">
        <v>1463</v>
      </c>
      <c r="E330" s="14" t="s">
        <v>1464</v>
      </c>
      <c r="F330" s="8" t="s">
        <v>57</v>
      </c>
      <c r="G330" s="8" t="s">
        <v>1</v>
      </c>
      <c r="H330" s="14" t="s">
        <v>9</v>
      </c>
      <c r="I330" s="34" t="s">
        <v>1465</v>
      </c>
      <c r="J330" s="8" t="s">
        <v>1466</v>
      </c>
      <c r="K330" s="69" t="s">
        <v>1467</v>
      </c>
      <c r="L330" s="8" t="s">
        <v>471</v>
      </c>
      <c r="M330" s="8" t="s">
        <v>1468</v>
      </c>
      <c r="N330" s="8" t="s">
        <v>393</v>
      </c>
      <c r="O330" s="8" t="s">
        <v>148</v>
      </c>
      <c r="P330" s="8" t="s">
        <v>279</v>
      </c>
      <c r="Q330" s="8" t="s">
        <v>279</v>
      </c>
      <c r="R330" s="8" t="s">
        <v>225</v>
      </c>
      <c r="S330" s="8" t="s">
        <v>241</v>
      </c>
      <c r="T330" s="8" t="s">
        <v>166</v>
      </c>
      <c r="U330" s="8" t="s">
        <v>183</v>
      </c>
      <c r="V330" s="8">
        <v>1</v>
      </c>
      <c r="W330" s="18">
        <v>0.33333333333333331</v>
      </c>
      <c r="X330" s="51">
        <v>45659</v>
      </c>
      <c r="Y330" s="51">
        <v>45253</v>
      </c>
      <c r="Z330" s="28">
        <v>34</v>
      </c>
      <c r="AA330" s="16" t="s">
        <v>1701</v>
      </c>
      <c r="AB330" s="8" t="s">
        <v>395</v>
      </c>
      <c r="AC330" s="8" t="s">
        <v>395</v>
      </c>
      <c r="AD330" s="8" t="s">
        <v>134</v>
      </c>
      <c r="AE330" s="8">
        <v>3102701650</v>
      </c>
      <c r="AF330" s="8" t="s">
        <v>276</v>
      </c>
      <c r="AG330" s="8" t="s">
        <v>295</v>
      </c>
      <c r="AH330" s="51">
        <v>34517</v>
      </c>
      <c r="AI330" s="28">
        <v>32</v>
      </c>
      <c r="AJ330" s="51" t="s">
        <v>1852</v>
      </c>
    </row>
    <row r="331" spans="1:36" ht="12.65" customHeight="1" x14ac:dyDescent="0.35">
      <c r="A331" s="8" t="s">
        <v>139</v>
      </c>
      <c r="B331" s="8" t="s">
        <v>136</v>
      </c>
      <c r="C331" s="8" t="s">
        <v>135</v>
      </c>
      <c r="D331" s="34" t="s">
        <v>1463</v>
      </c>
      <c r="E331" s="14" t="s">
        <v>1464</v>
      </c>
      <c r="F331" s="8" t="s">
        <v>57</v>
      </c>
      <c r="G331" s="8" t="s">
        <v>1</v>
      </c>
      <c r="H331" s="14" t="s">
        <v>9</v>
      </c>
      <c r="I331" s="34" t="s">
        <v>1469</v>
      </c>
      <c r="J331" s="8" t="s">
        <v>1470</v>
      </c>
      <c r="K331" s="69" t="s">
        <v>1471</v>
      </c>
      <c r="L331" s="8" t="s">
        <v>471</v>
      </c>
      <c r="M331" s="8" t="s">
        <v>1468</v>
      </c>
      <c r="N331" s="8" t="s">
        <v>393</v>
      </c>
      <c r="O331" s="8" t="s">
        <v>766</v>
      </c>
      <c r="P331" s="8" t="s">
        <v>279</v>
      </c>
      <c r="Q331" s="8" t="s">
        <v>279</v>
      </c>
      <c r="R331" s="8" t="s">
        <v>234</v>
      </c>
      <c r="S331" s="8" t="s">
        <v>241</v>
      </c>
      <c r="T331" s="8" t="s">
        <v>166</v>
      </c>
      <c r="U331" s="8" t="s">
        <v>183</v>
      </c>
      <c r="V331" s="8">
        <v>0</v>
      </c>
      <c r="W331" s="18">
        <v>0.33333333333333331</v>
      </c>
      <c r="X331" s="51">
        <v>45659</v>
      </c>
      <c r="Y331" s="51">
        <v>45253</v>
      </c>
      <c r="Z331" s="28">
        <v>34</v>
      </c>
      <c r="AA331" s="16" t="s">
        <v>1701</v>
      </c>
      <c r="AB331" s="8" t="s">
        <v>395</v>
      </c>
      <c r="AC331" s="8" t="s">
        <v>395</v>
      </c>
      <c r="AD331" s="8" t="s">
        <v>134</v>
      </c>
      <c r="AE331" s="8">
        <v>3102701650</v>
      </c>
      <c r="AF331" s="8" t="s">
        <v>276</v>
      </c>
      <c r="AG331" s="8" t="s">
        <v>295</v>
      </c>
      <c r="AH331" s="51">
        <v>34517</v>
      </c>
      <c r="AI331" s="28">
        <v>32</v>
      </c>
      <c r="AJ331" s="51" t="s">
        <v>1852</v>
      </c>
    </row>
    <row r="332" spans="1:36" ht="12.65" customHeight="1" x14ac:dyDescent="0.35">
      <c r="A332" s="8" t="s">
        <v>139</v>
      </c>
      <c r="B332" s="8" t="s">
        <v>136</v>
      </c>
      <c r="C332" s="8" t="s">
        <v>135</v>
      </c>
      <c r="D332" s="34" t="s">
        <v>1463</v>
      </c>
      <c r="E332" s="8" t="s">
        <v>1464</v>
      </c>
      <c r="F332" s="14" t="s">
        <v>57</v>
      </c>
      <c r="G332" s="14" t="s">
        <v>1</v>
      </c>
      <c r="H332" s="14" t="s">
        <v>9</v>
      </c>
      <c r="I332" s="34" t="s">
        <v>1472</v>
      </c>
      <c r="J332" s="8" t="s">
        <v>1473</v>
      </c>
      <c r="K332" s="69" t="s">
        <v>1474</v>
      </c>
      <c r="L332" s="8" t="s">
        <v>471</v>
      </c>
      <c r="M332" s="8" t="s">
        <v>1468</v>
      </c>
      <c r="N332" s="8" t="s">
        <v>393</v>
      </c>
      <c r="O332" s="8" t="s">
        <v>766</v>
      </c>
      <c r="P332" s="8" t="s">
        <v>279</v>
      </c>
      <c r="Q332" s="8" t="s">
        <v>279</v>
      </c>
      <c r="R332" s="8" t="s">
        <v>234</v>
      </c>
      <c r="S332" s="8" t="s">
        <v>241</v>
      </c>
      <c r="T332" s="8" t="s">
        <v>166</v>
      </c>
      <c r="U332" s="8" t="s">
        <v>183</v>
      </c>
      <c r="V332" s="8">
        <v>0</v>
      </c>
      <c r="W332" s="18">
        <v>0.33333333333333331</v>
      </c>
      <c r="X332" s="51">
        <v>45659</v>
      </c>
      <c r="Y332" s="51">
        <v>45253</v>
      </c>
      <c r="Z332" s="28">
        <v>34</v>
      </c>
      <c r="AA332" s="16" t="s">
        <v>1701</v>
      </c>
      <c r="AB332" s="8" t="s">
        <v>395</v>
      </c>
      <c r="AC332" s="8" t="s">
        <v>395</v>
      </c>
      <c r="AD332" s="8" t="s">
        <v>134</v>
      </c>
      <c r="AE332" s="8">
        <v>3102701650</v>
      </c>
      <c r="AF332" s="8" t="s">
        <v>276</v>
      </c>
      <c r="AG332" s="8" t="s">
        <v>295</v>
      </c>
      <c r="AH332" s="51">
        <v>34517</v>
      </c>
      <c r="AI332" s="28">
        <v>32</v>
      </c>
      <c r="AJ332" s="51" t="s">
        <v>1852</v>
      </c>
    </row>
    <row r="333" spans="1:36" ht="12.65" customHeight="1" x14ac:dyDescent="0.35">
      <c r="A333" s="8" t="s">
        <v>139</v>
      </c>
      <c r="B333" s="8" t="s">
        <v>136</v>
      </c>
      <c r="C333" s="8" t="s">
        <v>135</v>
      </c>
      <c r="D333" s="34" t="s">
        <v>1475</v>
      </c>
      <c r="E333" s="14" t="s">
        <v>1476</v>
      </c>
      <c r="F333" s="14" t="s">
        <v>57</v>
      </c>
      <c r="G333" s="14" t="s">
        <v>1</v>
      </c>
      <c r="H333" s="14" t="s">
        <v>9</v>
      </c>
      <c r="I333" s="34" t="s">
        <v>821</v>
      </c>
      <c r="J333" s="8" t="s">
        <v>106</v>
      </c>
      <c r="K333" s="69" t="s">
        <v>822</v>
      </c>
      <c r="L333" s="8" t="s">
        <v>75</v>
      </c>
      <c r="M333" s="8" t="s">
        <v>75</v>
      </c>
      <c r="N333" s="8" t="s">
        <v>306</v>
      </c>
      <c r="O333" s="8" t="s">
        <v>11</v>
      </c>
      <c r="P333" s="8" t="s">
        <v>274</v>
      </c>
      <c r="Q333" s="8" t="s">
        <v>275</v>
      </c>
      <c r="R333" s="8" t="s">
        <v>1628</v>
      </c>
      <c r="S333" s="8" t="s">
        <v>247</v>
      </c>
      <c r="T333" s="8" t="s">
        <v>202</v>
      </c>
      <c r="U333" s="8" t="s">
        <v>189</v>
      </c>
      <c r="V333" s="8">
        <v>1</v>
      </c>
      <c r="W333" s="18">
        <v>1</v>
      </c>
      <c r="X333" s="51">
        <v>45747</v>
      </c>
      <c r="Y333" s="51">
        <v>45747</v>
      </c>
      <c r="Z333" s="28">
        <v>18</v>
      </c>
      <c r="AA333" s="16" t="s">
        <v>1700</v>
      </c>
      <c r="AB333" s="8" t="s">
        <v>291</v>
      </c>
      <c r="AC333" s="8" t="s">
        <v>291</v>
      </c>
      <c r="AD333" s="51" t="s">
        <v>137</v>
      </c>
      <c r="AE333" s="19">
        <v>3115960487</v>
      </c>
      <c r="AF333" s="19" t="s">
        <v>276</v>
      </c>
      <c r="AG333" s="8" t="s">
        <v>292</v>
      </c>
      <c r="AH333" s="51">
        <v>35200</v>
      </c>
      <c r="AI333" s="28">
        <v>30</v>
      </c>
      <c r="AJ333" s="51" t="s">
        <v>1852</v>
      </c>
    </row>
    <row r="334" spans="1:36" ht="12.65" customHeight="1" x14ac:dyDescent="0.35">
      <c r="A334" s="8" t="s">
        <v>139</v>
      </c>
      <c r="B334" s="8" t="s">
        <v>136</v>
      </c>
      <c r="C334" s="8" t="s">
        <v>135</v>
      </c>
      <c r="D334" s="34" t="s">
        <v>1477</v>
      </c>
      <c r="E334" s="8" t="s">
        <v>1478</v>
      </c>
      <c r="F334" s="14" t="s">
        <v>57</v>
      </c>
      <c r="G334" s="14" t="s">
        <v>1</v>
      </c>
      <c r="H334" s="14" t="s">
        <v>9</v>
      </c>
      <c r="I334" s="34" t="s">
        <v>510</v>
      </c>
      <c r="J334" s="8" t="s">
        <v>1479</v>
      </c>
      <c r="K334" s="69" t="s">
        <v>511</v>
      </c>
      <c r="L334" s="8" t="s">
        <v>75</v>
      </c>
      <c r="M334" s="8" t="s">
        <v>107</v>
      </c>
      <c r="N334" s="8" t="s">
        <v>306</v>
      </c>
      <c r="O334" s="8" t="s">
        <v>512</v>
      </c>
      <c r="P334" s="8" t="s">
        <v>274</v>
      </c>
      <c r="Q334" s="8" t="s">
        <v>865</v>
      </c>
      <c r="R334" s="8" t="s">
        <v>1628</v>
      </c>
      <c r="S334" s="8" t="s">
        <v>247</v>
      </c>
      <c r="T334" s="20" t="s">
        <v>157</v>
      </c>
      <c r="U334" s="8" t="s">
        <v>189</v>
      </c>
      <c r="V334" s="8">
        <v>1</v>
      </c>
      <c r="W334" s="18">
        <v>1</v>
      </c>
      <c r="X334" s="51">
        <v>45659</v>
      </c>
      <c r="Y334" s="51">
        <v>44041</v>
      </c>
      <c r="Z334" s="28">
        <v>74</v>
      </c>
      <c r="AA334" s="16" t="s">
        <v>1701</v>
      </c>
      <c r="AB334" s="8" t="s">
        <v>293</v>
      </c>
      <c r="AC334" s="8" t="s">
        <v>291</v>
      </c>
      <c r="AD334" s="8" t="s">
        <v>134</v>
      </c>
      <c r="AE334" s="8">
        <v>3102676157</v>
      </c>
      <c r="AF334" s="8" t="s">
        <v>276</v>
      </c>
      <c r="AG334" s="8" t="s">
        <v>292</v>
      </c>
      <c r="AH334" s="51">
        <v>29149</v>
      </c>
      <c r="AI334" s="28">
        <v>46</v>
      </c>
      <c r="AJ334" s="51" t="s">
        <v>1852</v>
      </c>
    </row>
    <row r="335" spans="1:36" ht="12.65" customHeight="1" x14ac:dyDescent="0.35">
      <c r="A335" s="8" t="s">
        <v>139</v>
      </c>
      <c r="B335" s="8" t="s">
        <v>136</v>
      </c>
      <c r="C335" s="8" t="s">
        <v>135</v>
      </c>
      <c r="D335" s="34" t="s">
        <v>1480</v>
      </c>
      <c r="E335" s="8" t="s">
        <v>1481</v>
      </c>
      <c r="F335" s="14" t="s">
        <v>57</v>
      </c>
      <c r="G335" s="14" t="s">
        <v>1</v>
      </c>
      <c r="H335" s="14" t="s">
        <v>9</v>
      </c>
      <c r="I335" s="34" t="s">
        <v>546</v>
      </c>
      <c r="J335" s="8" t="s">
        <v>1482</v>
      </c>
      <c r="K335" s="69" t="s">
        <v>547</v>
      </c>
      <c r="L335" s="8" t="s">
        <v>548</v>
      </c>
      <c r="M335" s="8" t="s">
        <v>548</v>
      </c>
      <c r="N335" s="8" t="s">
        <v>306</v>
      </c>
      <c r="O335" s="8" t="s">
        <v>20</v>
      </c>
      <c r="P335" s="8" t="s">
        <v>284</v>
      </c>
      <c r="Q335" s="8" t="s">
        <v>865</v>
      </c>
      <c r="R335" s="8" t="s">
        <v>1628</v>
      </c>
      <c r="S335" s="8" t="s">
        <v>247</v>
      </c>
      <c r="T335" s="8" t="s">
        <v>157</v>
      </c>
      <c r="U335" s="8" t="s">
        <v>186</v>
      </c>
      <c r="V335" s="8">
        <v>1</v>
      </c>
      <c r="W335" s="18">
        <v>1</v>
      </c>
      <c r="X335" s="51">
        <v>45659</v>
      </c>
      <c r="Y335" s="51">
        <v>44868</v>
      </c>
      <c r="Z335" s="28">
        <v>47</v>
      </c>
      <c r="AA335" s="16" t="s">
        <v>1701</v>
      </c>
      <c r="AB335" s="8" t="s">
        <v>294</v>
      </c>
      <c r="AC335" s="8" t="s">
        <v>294</v>
      </c>
      <c r="AD335" s="8" t="s">
        <v>134</v>
      </c>
      <c r="AE335" s="8">
        <v>3102680193</v>
      </c>
      <c r="AF335" s="8" t="s">
        <v>276</v>
      </c>
      <c r="AG335" s="8" t="s">
        <v>292</v>
      </c>
      <c r="AH335" s="51">
        <v>33029</v>
      </c>
      <c r="AI335" s="28">
        <v>36</v>
      </c>
      <c r="AJ335" s="51" t="s">
        <v>1853</v>
      </c>
    </row>
    <row r="336" spans="1:36" ht="12.65" customHeight="1" x14ac:dyDescent="0.35">
      <c r="A336" s="8" t="s">
        <v>139</v>
      </c>
      <c r="B336" s="8" t="s">
        <v>136</v>
      </c>
      <c r="C336" s="8" t="s">
        <v>135</v>
      </c>
      <c r="D336" s="33" t="s">
        <v>1239</v>
      </c>
      <c r="E336" s="14" t="s">
        <v>1240</v>
      </c>
      <c r="F336" s="14" t="s">
        <v>57</v>
      </c>
      <c r="G336" s="14" t="s">
        <v>1</v>
      </c>
      <c r="H336" s="14" t="s">
        <v>9</v>
      </c>
      <c r="I336" s="34" t="s">
        <v>494</v>
      </c>
      <c r="J336" s="8" t="s">
        <v>31</v>
      </c>
      <c r="K336" s="69" t="s">
        <v>495</v>
      </c>
      <c r="L336" s="8" t="s">
        <v>75</v>
      </c>
      <c r="M336" s="8" t="s">
        <v>76</v>
      </c>
      <c r="N336" s="8" t="s">
        <v>306</v>
      </c>
      <c r="O336" s="8" t="s">
        <v>30</v>
      </c>
      <c r="P336" s="8" t="s">
        <v>496</v>
      </c>
      <c r="Q336" s="8" t="s">
        <v>331</v>
      </c>
      <c r="R336" s="8" t="s">
        <v>222</v>
      </c>
      <c r="S336" s="8" t="s">
        <v>237</v>
      </c>
      <c r="T336" s="20" t="s">
        <v>56</v>
      </c>
      <c r="U336" s="8" t="s">
        <v>189</v>
      </c>
      <c r="V336" s="8">
        <v>1</v>
      </c>
      <c r="W336" s="18">
        <v>1</v>
      </c>
      <c r="X336" s="53">
        <v>45659</v>
      </c>
      <c r="Y336" s="53">
        <v>45609</v>
      </c>
      <c r="Z336" s="28">
        <v>23</v>
      </c>
      <c r="AA336" s="16" t="s">
        <v>1700</v>
      </c>
      <c r="AB336" s="8" t="s">
        <v>291</v>
      </c>
      <c r="AC336" s="8" t="s">
        <v>294</v>
      </c>
      <c r="AD336" s="8" t="s">
        <v>134</v>
      </c>
      <c r="AE336" s="8">
        <v>3102697031</v>
      </c>
      <c r="AF336" s="8" t="s">
        <v>276</v>
      </c>
      <c r="AG336" s="8" t="s">
        <v>292</v>
      </c>
      <c r="AH336" s="51">
        <v>34181</v>
      </c>
      <c r="AI336" s="28">
        <v>33</v>
      </c>
      <c r="AJ336" s="51" t="s">
        <v>1853</v>
      </c>
    </row>
    <row r="337" spans="1:36" ht="12.65" customHeight="1" x14ac:dyDescent="0.35">
      <c r="A337" s="8" t="s">
        <v>139</v>
      </c>
      <c r="B337" s="8" t="s">
        <v>136</v>
      </c>
      <c r="C337" s="8" t="s">
        <v>135</v>
      </c>
      <c r="D337" s="35" t="s">
        <v>1483</v>
      </c>
      <c r="E337" s="14" t="s">
        <v>1484</v>
      </c>
      <c r="F337" s="43" t="s">
        <v>57</v>
      </c>
      <c r="G337" s="14" t="s">
        <v>1</v>
      </c>
      <c r="H337" s="14" t="s">
        <v>9</v>
      </c>
      <c r="I337" s="34" t="s">
        <v>850</v>
      </c>
      <c r="J337" s="8" t="s">
        <v>851</v>
      </c>
      <c r="K337" s="69" t="s">
        <v>852</v>
      </c>
      <c r="L337" s="8" t="s">
        <v>299</v>
      </c>
      <c r="M337" s="8" t="s">
        <v>299</v>
      </c>
      <c r="N337" s="8" t="s">
        <v>306</v>
      </c>
      <c r="O337" s="8" t="s">
        <v>11</v>
      </c>
      <c r="P337" s="8" t="s">
        <v>274</v>
      </c>
      <c r="Q337" s="8" t="s">
        <v>275</v>
      </c>
      <c r="R337" s="8" t="s">
        <v>231</v>
      </c>
      <c r="S337" s="8" t="s">
        <v>247</v>
      </c>
      <c r="T337" s="20" t="s">
        <v>208</v>
      </c>
      <c r="U337" s="8" t="s">
        <v>194</v>
      </c>
      <c r="V337" s="8">
        <v>1</v>
      </c>
      <c r="W337" s="18">
        <v>1</v>
      </c>
      <c r="X337" s="22">
        <v>46091</v>
      </c>
      <c r="Y337" s="22">
        <v>46091</v>
      </c>
      <c r="Z337" s="28">
        <v>7</v>
      </c>
      <c r="AA337" s="16" t="s">
        <v>1710</v>
      </c>
      <c r="AB337" s="8" t="s">
        <v>294</v>
      </c>
      <c r="AC337" s="8" t="s">
        <v>294</v>
      </c>
      <c r="AD337" s="20" t="s">
        <v>137</v>
      </c>
      <c r="AE337" s="20" t="s">
        <v>153</v>
      </c>
      <c r="AF337" s="20" t="s">
        <v>153</v>
      </c>
      <c r="AG337" s="8" t="s">
        <v>292</v>
      </c>
      <c r="AH337" s="51">
        <v>37117</v>
      </c>
      <c r="AI337" s="28">
        <v>25</v>
      </c>
      <c r="AJ337" s="51" t="s">
        <v>1853</v>
      </c>
    </row>
    <row r="338" spans="1:36" ht="12.65" customHeight="1" x14ac:dyDescent="0.35">
      <c r="A338" s="8" t="s">
        <v>139</v>
      </c>
      <c r="B338" s="8" t="s">
        <v>136</v>
      </c>
      <c r="C338" s="8" t="s">
        <v>135</v>
      </c>
      <c r="D338" s="35" t="s">
        <v>1316</v>
      </c>
      <c r="E338" s="14" t="s">
        <v>1317</v>
      </c>
      <c r="F338" s="14" t="s">
        <v>57</v>
      </c>
      <c r="G338" s="14" t="s">
        <v>1</v>
      </c>
      <c r="H338" s="14" t="s">
        <v>9</v>
      </c>
      <c r="I338" s="34" t="s">
        <v>1487</v>
      </c>
      <c r="J338" s="8" t="s">
        <v>1488</v>
      </c>
      <c r="K338" s="69" t="s">
        <v>1489</v>
      </c>
      <c r="L338" s="8" t="s">
        <v>406</v>
      </c>
      <c r="M338" s="8" t="s">
        <v>456</v>
      </c>
      <c r="N338" s="8" t="s">
        <v>393</v>
      </c>
      <c r="O338" s="8" t="s">
        <v>11</v>
      </c>
      <c r="P338" s="8" t="s">
        <v>274</v>
      </c>
      <c r="Q338" s="8" t="s">
        <v>275</v>
      </c>
      <c r="R338" s="8" t="s">
        <v>231</v>
      </c>
      <c r="S338" s="8" t="s">
        <v>247</v>
      </c>
      <c r="T338" s="8" t="s">
        <v>163</v>
      </c>
      <c r="U338" s="8" t="s">
        <v>192</v>
      </c>
      <c r="V338" s="8">
        <v>1</v>
      </c>
      <c r="W338" s="18">
        <v>1</v>
      </c>
      <c r="X338" s="51">
        <v>45741</v>
      </c>
      <c r="Y338" s="51">
        <v>45741</v>
      </c>
      <c r="Z338" s="28">
        <v>18</v>
      </c>
      <c r="AA338" s="16" t="s">
        <v>1700</v>
      </c>
      <c r="AB338" s="8" t="s">
        <v>294</v>
      </c>
      <c r="AC338" s="8" t="s">
        <v>294</v>
      </c>
      <c r="AD338" s="19" t="s">
        <v>137</v>
      </c>
      <c r="AE338" s="19">
        <v>3102708003</v>
      </c>
      <c r="AF338" s="19" t="s">
        <v>276</v>
      </c>
      <c r="AG338" s="8" t="s">
        <v>295</v>
      </c>
      <c r="AH338" s="51">
        <v>34574</v>
      </c>
      <c r="AI338" s="28">
        <v>32</v>
      </c>
      <c r="AJ338" s="51" t="s">
        <v>1853</v>
      </c>
    </row>
    <row r="339" spans="1:36" ht="12.65" customHeight="1" x14ac:dyDescent="0.35">
      <c r="A339" s="8" t="s">
        <v>139</v>
      </c>
      <c r="B339" s="8" t="s">
        <v>136</v>
      </c>
      <c r="C339" s="8" t="s">
        <v>135</v>
      </c>
      <c r="D339" s="34" t="s">
        <v>1490</v>
      </c>
      <c r="E339" s="8" t="s">
        <v>1491</v>
      </c>
      <c r="F339" s="14" t="s">
        <v>57</v>
      </c>
      <c r="G339" s="14" t="s">
        <v>1</v>
      </c>
      <c r="H339" s="14" t="s">
        <v>9</v>
      </c>
      <c r="I339" s="34" t="s">
        <v>457</v>
      </c>
      <c r="J339" s="8" t="s">
        <v>1492</v>
      </c>
      <c r="K339" s="69" t="s">
        <v>458</v>
      </c>
      <c r="L339" s="8" t="s">
        <v>299</v>
      </c>
      <c r="M339" s="8" t="s">
        <v>299</v>
      </c>
      <c r="N339" s="8" t="s">
        <v>306</v>
      </c>
      <c r="O339" s="8" t="s">
        <v>146</v>
      </c>
      <c r="P339" s="8" t="s">
        <v>283</v>
      </c>
      <c r="Q339" s="8" t="s">
        <v>326</v>
      </c>
      <c r="R339" s="8" t="s">
        <v>234</v>
      </c>
      <c r="S339" s="8" t="s">
        <v>241</v>
      </c>
      <c r="T339" s="20" t="s">
        <v>169</v>
      </c>
      <c r="U339" s="8" t="s">
        <v>194</v>
      </c>
      <c r="V339" s="8">
        <v>1</v>
      </c>
      <c r="W339" s="18">
        <v>1</v>
      </c>
      <c r="X339" s="51">
        <v>45659</v>
      </c>
      <c r="Y339" s="51">
        <v>44664</v>
      </c>
      <c r="Z339" s="28">
        <v>54</v>
      </c>
      <c r="AA339" s="16" t="s">
        <v>1701</v>
      </c>
      <c r="AB339" s="8" t="s">
        <v>291</v>
      </c>
      <c r="AC339" s="8" t="s">
        <v>293</v>
      </c>
      <c r="AD339" s="8" t="s">
        <v>134</v>
      </c>
      <c r="AE339" s="8">
        <v>3102688415</v>
      </c>
      <c r="AF339" s="8" t="s">
        <v>276</v>
      </c>
      <c r="AG339" s="8" t="s">
        <v>292</v>
      </c>
      <c r="AH339" s="51">
        <v>33684</v>
      </c>
      <c r="AI339" s="28">
        <v>34</v>
      </c>
      <c r="AJ339" s="51" t="s">
        <v>1853</v>
      </c>
    </row>
    <row r="340" spans="1:36" ht="12.65" customHeight="1" x14ac:dyDescent="0.35">
      <c r="A340" s="8" t="s">
        <v>139</v>
      </c>
      <c r="B340" s="8" t="s">
        <v>136</v>
      </c>
      <c r="C340" s="8" t="s">
        <v>135</v>
      </c>
      <c r="D340" s="35" t="s">
        <v>1493</v>
      </c>
      <c r="E340" s="14" t="s">
        <v>1494</v>
      </c>
      <c r="F340" s="14" t="s">
        <v>57</v>
      </c>
      <c r="G340" s="14" t="s">
        <v>1</v>
      </c>
      <c r="H340" s="14" t="s">
        <v>9</v>
      </c>
      <c r="I340" s="34" t="s">
        <v>414</v>
      </c>
      <c r="J340" s="8" t="s">
        <v>1036</v>
      </c>
      <c r="K340" s="69" t="s">
        <v>415</v>
      </c>
      <c r="L340" s="8" t="s">
        <v>299</v>
      </c>
      <c r="M340" s="8" t="s">
        <v>299</v>
      </c>
      <c r="N340" s="8" t="s">
        <v>306</v>
      </c>
      <c r="O340" s="8" t="s">
        <v>416</v>
      </c>
      <c r="P340" s="8" t="s">
        <v>417</v>
      </c>
      <c r="Q340" s="8" t="s">
        <v>326</v>
      </c>
      <c r="R340" s="8" t="s">
        <v>234</v>
      </c>
      <c r="S340" s="8" t="s">
        <v>241</v>
      </c>
      <c r="T340" s="8" t="s">
        <v>169</v>
      </c>
      <c r="U340" s="8" t="s">
        <v>194</v>
      </c>
      <c r="V340" s="8">
        <v>1</v>
      </c>
      <c r="W340" s="18">
        <v>1</v>
      </c>
      <c r="X340" s="51">
        <v>45918</v>
      </c>
      <c r="Y340" s="51">
        <v>45918</v>
      </c>
      <c r="Z340" s="28">
        <v>12</v>
      </c>
      <c r="AA340" s="16" t="s">
        <v>1700</v>
      </c>
      <c r="AB340" s="8" t="s">
        <v>294</v>
      </c>
      <c r="AC340" s="8" t="s">
        <v>294</v>
      </c>
      <c r="AD340" s="8" t="s">
        <v>137</v>
      </c>
      <c r="AE340" s="8">
        <v>3102706353</v>
      </c>
      <c r="AF340" s="8" t="s">
        <v>276</v>
      </c>
      <c r="AG340" s="8" t="s">
        <v>292</v>
      </c>
      <c r="AH340" s="51">
        <v>31149</v>
      </c>
      <c r="AI340" s="28">
        <v>41</v>
      </c>
      <c r="AJ340" s="51" t="s">
        <v>1853</v>
      </c>
    </row>
    <row r="341" spans="1:36" ht="12.65" customHeight="1" x14ac:dyDescent="0.35">
      <c r="A341" s="8" t="s">
        <v>139</v>
      </c>
      <c r="B341" s="8" t="s">
        <v>136</v>
      </c>
      <c r="C341" s="8" t="s">
        <v>135</v>
      </c>
      <c r="D341" s="34" t="s">
        <v>1495</v>
      </c>
      <c r="E341" s="8" t="s">
        <v>1496</v>
      </c>
      <c r="F341" s="14" t="s">
        <v>57</v>
      </c>
      <c r="G341" s="14" t="s">
        <v>1</v>
      </c>
      <c r="H341" s="14" t="s">
        <v>9</v>
      </c>
      <c r="I341" s="34" t="s">
        <v>549</v>
      </c>
      <c r="J341" s="8" t="s">
        <v>550</v>
      </c>
      <c r="K341" s="69" t="s">
        <v>551</v>
      </c>
      <c r="L341" s="8" t="s">
        <v>299</v>
      </c>
      <c r="M341" s="8" t="s">
        <v>299</v>
      </c>
      <c r="N341" s="8" t="s">
        <v>306</v>
      </c>
      <c r="O341" s="8" t="s">
        <v>552</v>
      </c>
      <c r="P341" s="8" t="s">
        <v>285</v>
      </c>
      <c r="Q341" s="8" t="s">
        <v>285</v>
      </c>
      <c r="R341" s="8" t="s">
        <v>225</v>
      </c>
      <c r="S341" s="8" t="s">
        <v>237</v>
      </c>
      <c r="T341" s="20" t="s">
        <v>175</v>
      </c>
      <c r="U341" s="8" t="s">
        <v>194</v>
      </c>
      <c r="V341" s="8">
        <v>1</v>
      </c>
      <c r="W341" s="18">
        <v>1</v>
      </c>
      <c r="X341" s="51">
        <v>45951</v>
      </c>
      <c r="Y341" s="51">
        <v>45951</v>
      </c>
      <c r="Z341" s="28">
        <v>11</v>
      </c>
      <c r="AA341" s="16" t="s">
        <v>1711</v>
      </c>
      <c r="AB341" s="8" t="s">
        <v>294</v>
      </c>
      <c r="AC341" s="8" t="s">
        <v>294</v>
      </c>
      <c r="AD341" s="8" t="s">
        <v>137</v>
      </c>
      <c r="AE341" s="8" t="s">
        <v>153</v>
      </c>
      <c r="AF341" s="8" t="s">
        <v>153</v>
      </c>
      <c r="AG341" s="8" t="s">
        <v>292</v>
      </c>
      <c r="AH341" s="51">
        <v>32461</v>
      </c>
      <c r="AI341" s="28">
        <v>37</v>
      </c>
      <c r="AJ341" s="51" t="s">
        <v>1853</v>
      </c>
    </row>
    <row r="342" spans="1:36" ht="12.65" customHeight="1" x14ac:dyDescent="0.35">
      <c r="A342" s="8" t="s">
        <v>139</v>
      </c>
      <c r="B342" s="8" t="s">
        <v>136</v>
      </c>
      <c r="C342" s="8" t="s">
        <v>135</v>
      </c>
      <c r="D342" s="35" t="s">
        <v>910</v>
      </c>
      <c r="E342" s="14" t="s">
        <v>911</v>
      </c>
      <c r="F342" s="14" t="s">
        <v>57</v>
      </c>
      <c r="G342" s="14" t="s">
        <v>1</v>
      </c>
      <c r="H342" s="14" t="s">
        <v>9</v>
      </c>
      <c r="I342" s="34" t="s">
        <v>599</v>
      </c>
      <c r="J342" s="8" t="s">
        <v>1497</v>
      </c>
      <c r="K342" s="69" t="s">
        <v>600</v>
      </c>
      <c r="L342" s="8" t="s">
        <v>382</v>
      </c>
      <c r="M342" s="8" t="s">
        <v>382</v>
      </c>
      <c r="N342" s="8" t="s">
        <v>306</v>
      </c>
      <c r="O342" s="8" t="s">
        <v>148</v>
      </c>
      <c r="P342" s="8" t="s">
        <v>279</v>
      </c>
      <c r="Q342" s="8" t="s">
        <v>279</v>
      </c>
      <c r="R342" s="8" t="s">
        <v>225</v>
      </c>
      <c r="S342" s="8" t="s">
        <v>241</v>
      </c>
      <c r="T342" s="8" t="s">
        <v>166</v>
      </c>
      <c r="U342" s="8" t="s">
        <v>192</v>
      </c>
      <c r="V342" s="8">
        <v>1</v>
      </c>
      <c r="W342" s="18">
        <v>1</v>
      </c>
      <c r="X342" s="51">
        <v>45659</v>
      </c>
      <c r="Y342" s="51">
        <v>45470</v>
      </c>
      <c r="Z342" s="28">
        <v>27</v>
      </c>
      <c r="AA342" s="16" t="s">
        <v>1701</v>
      </c>
      <c r="AB342" s="8" t="s">
        <v>294</v>
      </c>
      <c r="AC342" s="8" t="s">
        <v>293</v>
      </c>
      <c r="AD342" s="19" t="s">
        <v>134</v>
      </c>
      <c r="AE342" s="19">
        <v>3102669080</v>
      </c>
      <c r="AF342" s="19" t="s">
        <v>276</v>
      </c>
      <c r="AG342" s="8" t="s">
        <v>295</v>
      </c>
      <c r="AH342" s="51">
        <v>32318</v>
      </c>
      <c r="AI342" s="28">
        <v>38</v>
      </c>
      <c r="AJ342" s="19" t="s">
        <v>1853</v>
      </c>
    </row>
    <row r="343" spans="1:36" ht="12.65" customHeight="1" x14ac:dyDescent="0.35">
      <c r="A343" s="8" t="s">
        <v>139</v>
      </c>
      <c r="B343" s="8" t="s">
        <v>136</v>
      </c>
      <c r="C343" s="8" t="s">
        <v>135</v>
      </c>
      <c r="D343" s="35" t="s">
        <v>1333</v>
      </c>
      <c r="E343" s="14" t="s">
        <v>1334</v>
      </c>
      <c r="F343" s="14" t="s">
        <v>57</v>
      </c>
      <c r="G343" s="14" t="s">
        <v>1</v>
      </c>
      <c r="H343" s="14" t="s">
        <v>9</v>
      </c>
      <c r="I343" s="34" t="s">
        <v>430</v>
      </c>
      <c r="J343" s="8" t="s">
        <v>431</v>
      </c>
      <c r="K343" s="69" t="s">
        <v>432</v>
      </c>
      <c r="L343" s="8" t="s">
        <v>299</v>
      </c>
      <c r="M343" s="8" t="s">
        <v>299</v>
      </c>
      <c r="N343" s="8" t="s">
        <v>306</v>
      </c>
      <c r="O343" s="8" t="s">
        <v>11</v>
      </c>
      <c r="P343" s="8" t="s">
        <v>274</v>
      </c>
      <c r="Q343" s="8" t="s">
        <v>275</v>
      </c>
      <c r="R343" s="8" t="s">
        <v>231</v>
      </c>
      <c r="S343" s="8" t="s">
        <v>247</v>
      </c>
      <c r="T343" s="8" t="s">
        <v>208</v>
      </c>
      <c r="U343" s="8" t="s">
        <v>194</v>
      </c>
      <c r="V343" s="8">
        <v>1</v>
      </c>
      <c r="W343" s="18">
        <v>1</v>
      </c>
      <c r="X343" s="16">
        <v>46139</v>
      </c>
      <c r="Y343" s="16">
        <v>46139</v>
      </c>
      <c r="Z343" s="28">
        <v>5</v>
      </c>
      <c r="AA343" s="16" t="s">
        <v>1699</v>
      </c>
      <c r="AB343" s="8" t="s">
        <v>291</v>
      </c>
      <c r="AC343" s="8" t="s">
        <v>291</v>
      </c>
      <c r="AD343" s="20" t="s">
        <v>137</v>
      </c>
      <c r="AE343" s="20" t="s">
        <v>153</v>
      </c>
      <c r="AF343" s="20" t="s">
        <v>153</v>
      </c>
      <c r="AG343" s="8" t="s">
        <v>292</v>
      </c>
      <c r="AH343" s="51">
        <v>38641</v>
      </c>
      <c r="AI343" s="28">
        <v>21</v>
      </c>
      <c r="AJ343" s="51" t="s">
        <v>1853</v>
      </c>
    </row>
    <row r="344" spans="1:36" ht="12.65" customHeight="1" x14ac:dyDescent="0.35">
      <c r="A344" s="8" t="s">
        <v>139</v>
      </c>
      <c r="B344" s="8" t="s">
        <v>136</v>
      </c>
      <c r="C344" s="8" t="s">
        <v>135</v>
      </c>
      <c r="D344" s="34" t="s">
        <v>1500</v>
      </c>
      <c r="E344" s="8" t="s">
        <v>1501</v>
      </c>
      <c r="F344" s="14" t="s">
        <v>57</v>
      </c>
      <c r="G344" s="14" t="s">
        <v>1</v>
      </c>
      <c r="H344" s="14" t="s">
        <v>9</v>
      </c>
      <c r="I344" s="34" t="s">
        <v>765</v>
      </c>
      <c r="J344" s="8" t="s">
        <v>89</v>
      </c>
      <c r="K344" s="69" t="s">
        <v>1502</v>
      </c>
      <c r="L344" s="8" t="s">
        <v>75</v>
      </c>
      <c r="M344" s="8" t="s">
        <v>76</v>
      </c>
      <c r="N344" s="8" t="s">
        <v>306</v>
      </c>
      <c r="O344" s="8" t="s">
        <v>148</v>
      </c>
      <c r="P344" s="8" t="s">
        <v>279</v>
      </c>
      <c r="Q344" s="8" t="s">
        <v>279</v>
      </c>
      <c r="R344" s="8" t="s">
        <v>225</v>
      </c>
      <c r="S344" s="8" t="s">
        <v>241</v>
      </c>
      <c r="T344" s="8" t="s">
        <v>166</v>
      </c>
      <c r="U344" s="8" t="s">
        <v>189</v>
      </c>
      <c r="V344" s="8">
        <v>1</v>
      </c>
      <c r="W344" s="18">
        <v>1</v>
      </c>
      <c r="X344" s="51">
        <v>45659</v>
      </c>
      <c r="Y344" s="51">
        <v>45281</v>
      </c>
      <c r="Z344" s="28">
        <v>33</v>
      </c>
      <c r="AA344" s="16" t="s">
        <v>1701</v>
      </c>
      <c r="AB344" s="8" t="s">
        <v>395</v>
      </c>
      <c r="AC344" s="8" t="s">
        <v>294</v>
      </c>
      <c r="AD344" s="8" t="s">
        <v>134</v>
      </c>
      <c r="AE344" s="8">
        <v>3108504627</v>
      </c>
      <c r="AF344" s="8" t="s">
        <v>276</v>
      </c>
      <c r="AG344" s="8" t="s">
        <v>292</v>
      </c>
      <c r="AH344" s="51">
        <v>35381</v>
      </c>
      <c r="AI344" s="28">
        <v>29</v>
      </c>
      <c r="AJ344" s="51" t="s">
        <v>1853</v>
      </c>
    </row>
    <row r="345" spans="1:36" ht="12.65" customHeight="1" x14ac:dyDescent="0.35">
      <c r="A345" s="8" t="s">
        <v>139</v>
      </c>
      <c r="B345" s="8" t="s">
        <v>136</v>
      </c>
      <c r="C345" s="8" t="s">
        <v>135</v>
      </c>
      <c r="D345" s="33" t="s">
        <v>1209</v>
      </c>
      <c r="E345" s="14" t="s">
        <v>1210</v>
      </c>
      <c r="F345" s="14" t="s">
        <v>57</v>
      </c>
      <c r="G345" s="14" t="s">
        <v>1</v>
      </c>
      <c r="H345" s="14" t="s">
        <v>9</v>
      </c>
      <c r="I345" s="34" t="s">
        <v>785</v>
      </c>
      <c r="J345" s="8" t="s">
        <v>906</v>
      </c>
      <c r="K345" s="69" t="s">
        <v>786</v>
      </c>
      <c r="L345" s="8" t="s">
        <v>410</v>
      </c>
      <c r="M345" s="8" t="s">
        <v>410</v>
      </c>
      <c r="N345" s="8" t="s">
        <v>306</v>
      </c>
      <c r="O345" s="8" t="s">
        <v>11</v>
      </c>
      <c r="P345" s="8" t="s">
        <v>274</v>
      </c>
      <c r="Q345" s="8" t="s">
        <v>275</v>
      </c>
      <c r="R345" s="8" t="s">
        <v>231</v>
      </c>
      <c r="S345" s="8" t="s">
        <v>247</v>
      </c>
      <c r="T345" s="20" t="s">
        <v>255</v>
      </c>
      <c r="U345" s="8" t="s">
        <v>54</v>
      </c>
      <c r="V345" s="8">
        <v>1</v>
      </c>
      <c r="W345" s="18">
        <v>1</v>
      </c>
      <c r="X345" s="51">
        <v>45782</v>
      </c>
      <c r="Y345" s="51">
        <v>45782</v>
      </c>
      <c r="Z345" s="28">
        <v>17</v>
      </c>
      <c r="AA345" s="16" t="s">
        <v>1700</v>
      </c>
      <c r="AB345" s="8" t="s">
        <v>294</v>
      </c>
      <c r="AC345" s="8" t="s">
        <v>294</v>
      </c>
      <c r="AD345" s="19" t="s">
        <v>137</v>
      </c>
      <c r="AE345" s="19">
        <v>3102702744</v>
      </c>
      <c r="AF345" s="19" t="s">
        <v>276</v>
      </c>
      <c r="AG345" s="8" t="s">
        <v>292</v>
      </c>
      <c r="AH345" s="51">
        <v>31349</v>
      </c>
      <c r="AI345" s="28">
        <v>40</v>
      </c>
      <c r="AJ345" s="51" t="s">
        <v>1853</v>
      </c>
    </row>
    <row r="346" spans="1:36" ht="12.65" customHeight="1" x14ac:dyDescent="0.35">
      <c r="A346" s="8" t="s">
        <v>139</v>
      </c>
      <c r="B346" s="8" t="s">
        <v>136</v>
      </c>
      <c r="C346" s="8" t="s">
        <v>135</v>
      </c>
      <c r="D346" s="34" t="s">
        <v>983</v>
      </c>
      <c r="E346" s="14" t="s">
        <v>984</v>
      </c>
      <c r="F346" s="14" t="s">
        <v>57</v>
      </c>
      <c r="G346" s="14" t="s">
        <v>1</v>
      </c>
      <c r="H346" s="14" t="s">
        <v>9</v>
      </c>
      <c r="I346" s="34" t="s">
        <v>297</v>
      </c>
      <c r="J346" s="8" t="s">
        <v>902</v>
      </c>
      <c r="K346" s="69" t="s">
        <v>298</v>
      </c>
      <c r="L346" s="8" t="s">
        <v>299</v>
      </c>
      <c r="M346" s="8" t="s">
        <v>299</v>
      </c>
      <c r="N346" s="8" t="s">
        <v>306</v>
      </c>
      <c r="O346" s="8" t="s">
        <v>13</v>
      </c>
      <c r="P346" s="8" t="s">
        <v>285</v>
      </c>
      <c r="Q346" s="8" t="s">
        <v>285</v>
      </c>
      <c r="R346" s="8" t="s">
        <v>225</v>
      </c>
      <c r="S346" s="8" t="s">
        <v>237</v>
      </c>
      <c r="T346" s="8" t="s">
        <v>175</v>
      </c>
      <c r="U346" s="8" t="s">
        <v>194</v>
      </c>
      <c r="V346" s="8">
        <v>1</v>
      </c>
      <c r="W346" s="18">
        <v>1</v>
      </c>
      <c r="X346" s="51">
        <v>45659</v>
      </c>
      <c r="Y346" s="51">
        <v>45449</v>
      </c>
      <c r="Z346" s="28">
        <v>28</v>
      </c>
      <c r="AA346" s="16" t="s">
        <v>1701</v>
      </c>
      <c r="AB346" s="8" t="s">
        <v>291</v>
      </c>
      <c r="AC346" s="8" t="s">
        <v>291</v>
      </c>
      <c r="AD346" s="19" t="s">
        <v>134</v>
      </c>
      <c r="AE346" s="19">
        <v>3102623780</v>
      </c>
      <c r="AF346" s="19" t="s">
        <v>276</v>
      </c>
      <c r="AG346" s="8" t="s">
        <v>292</v>
      </c>
      <c r="AH346" s="51">
        <v>37905</v>
      </c>
      <c r="AI346" s="28">
        <v>23</v>
      </c>
      <c r="AJ346" s="51" t="s">
        <v>1853</v>
      </c>
    </row>
    <row r="347" spans="1:36" ht="12.65" customHeight="1" x14ac:dyDescent="0.35">
      <c r="A347" s="8" t="s">
        <v>139</v>
      </c>
      <c r="B347" s="8" t="s">
        <v>136</v>
      </c>
      <c r="C347" s="8" t="s">
        <v>135</v>
      </c>
      <c r="D347" s="34" t="s">
        <v>1505</v>
      </c>
      <c r="E347" s="8" t="s">
        <v>1506</v>
      </c>
      <c r="F347" s="14" t="s">
        <v>57</v>
      </c>
      <c r="G347" s="14" t="s">
        <v>1</v>
      </c>
      <c r="H347" s="14" t="s">
        <v>9</v>
      </c>
      <c r="I347" s="34" t="s">
        <v>459</v>
      </c>
      <c r="J347" s="8" t="s">
        <v>22</v>
      </c>
      <c r="K347" s="69" t="s">
        <v>460</v>
      </c>
      <c r="L347" s="8" t="s">
        <v>75</v>
      </c>
      <c r="M347" s="8" t="s">
        <v>75</v>
      </c>
      <c r="N347" s="8" t="s">
        <v>306</v>
      </c>
      <c r="O347" s="8" t="s">
        <v>21</v>
      </c>
      <c r="P347" s="8" t="s">
        <v>274</v>
      </c>
      <c r="Q347" s="8" t="s">
        <v>275</v>
      </c>
      <c r="R347" s="8" t="s">
        <v>1628</v>
      </c>
      <c r="S347" s="8" t="s">
        <v>247</v>
      </c>
      <c r="T347" s="8" t="s">
        <v>172</v>
      </c>
      <c r="U347" s="8" t="s">
        <v>189</v>
      </c>
      <c r="V347" s="8">
        <v>1</v>
      </c>
      <c r="W347" s="18">
        <v>1</v>
      </c>
      <c r="X347" s="51">
        <v>46137</v>
      </c>
      <c r="Y347" s="51">
        <v>46137</v>
      </c>
      <c r="Z347" s="28">
        <v>5</v>
      </c>
      <c r="AA347" s="16" t="s">
        <v>1699</v>
      </c>
      <c r="AB347" s="8" t="s">
        <v>294</v>
      </c>
      <c r="AC347" s="8" t="s">
        <v>294</v>
      </c>
      <c r="AD347" s="8" t="s">
        <v>137</v>
      </c>
      <c r="AE347" s="8" t="s">
        <v>153</v>
      </c>
      <c r="AF347" s="8" t="s">
        <v>153</v>
      </c>
      <c r="AG347" s="8" t="s">
        <v>292</v>
      </c>
      <c r="AH347" s="51">
        <v>36618</v>
      </c>
      <c r="AI347" s="28">
        <v>26</v>
      </c>
      <c r="AJ347" s="51" t="s">
        <v>1853</v>
      </c>
    </row>
    <row r="348" spans="1:36" ht="12.65" customHeight="1" x14ac:dyDescent="0.35">
      <c r="A348" s="8" t="s">
        <v>139</v>
      </c>
      <c r="B348" s="8" t="s">
        <v>136</v>
      </c>
      <c r="C348" s="8" t="s">
        <v>135</v>
      </c>
      <c r="D348" s="34" t="s">
        <v>1064</v>
      </c>
      <c r="E348" s="14" t="s">
        <v>1065</v>
      </c>
      <c r="F348" s="14" t="s">
        <v>57</v>
      </c>
      <c r="G348" s="14" t="s">
        <v>1</v>
      </c>
      <c r="H348" s="14" t="s">
        <v>9</v>
      </c>
      <c r="I348" s="34" t="s">
        <v>435</v>
      </c>
      <c r="J348" s="8" t="s">
        <v>436</v>
      </c>
      <c r="K348" s="69" t="s">
        <v>437</v>
      </c>
      <c r="L348" s="8" t="s">
        <v>299</v>
      </c>
      <c r="M348" s="8" t="s">
        <v>299</v>
      </c>
      <c r="N348" s="8" t="s">
        <v>306</v>
      </c>
      <c r="O348" s="8" t="s">
        <v>400</v>
      </c>
      <c r="P348" s="8" t="s">
        <v>285</v>
      </c>
      <c r="Q348" s="8" t="s">
        <v>285</v>
      </c>
      <c r="R348" s="8" t="s">
        <v>225</v>
      </c>
      <c r="S348" s="8" t="s">
        <v>237</v>
      </c>
      <c r="T348" s="8" t="s">
        <v>175</v>
      </c>
      <c r="U348" s="8" t="s">
        <v>194</v>
      </c>
      <c r="V348" s="8">
        <v>1</v>
      </c>
      <c r="W348" s="18">
        <v>1</v>
      </c>
      <c r="X348" s="51">
        <v>45659</v>
      </c>
      <c r="Y348" s="51">
        <v>45572</v>
      </c>
      <c r="Z348" s="28">
        <v>24</v>
      </c>
      <c r="AA348" s="16" t="s">
        <v>1701</v>
      </c>
      <c r="AB348" s="8" t="s">
        <v>291</v>
      </c>
      <c r="AC348" s="8" t="s">
        <v>291</v>
      </c>
      <c r="AD348" s="19" t="s">
        <v>134</v>
      </c>
      <c r="AE348" s="19">
        <v>3102651491</v>
      </c>
      <c r="AF348" s="19" t="s">
        <v>276</v>
      </c>
      <c r="AG348" s="8" t="s">
        <v>292</v>
      </c>
      <c r="AH348" s="51">
        <v>36568</v>
      </c>
      <c r="AI348" s="28">
        <v>26</v>
      </c>
      <c r="AJ348" s="51" t="s">
        <v>1852</v>
      </c>
    </row>
    <row r="349" spans="1:36" ht="12.65" customHeight="1" x14ac:dyDescent="0.35">
      <c r="A349" s="8" t="s">
        <v>139</v>
      </c>
      <c r="B349" s="8" t="s">
        <v>136</v>
      </c>
      <c r="C349" s="8" t="s">
        <v>135</v>
      </c>
      <c r="D349" s="33" t="s">
        <v>1518</v>
      </c>
      <c r="E349" s="14" t="s">
        <v>1519</v>
      </c>
      <c r="F349" s="14" t="s">
        <v>57</v>
      </c>
      <c r="G349" s="14" t="s">
        <v>1</v>
      </c>
      <c r="H349" s="14" t="s">
        <v>9</v>
      </c>
      <c r="I349" s="34" t="s">
        <v>440</v>
      </c>
      <c r="J349" s="8" t="s">
        <v>1520</v>
      </c>
      <c r="K349" s="69" t="s">
        <v>441</v>
      </c>
      <c r="L349" s="8" t="s">
        <v>442</v>
      </c>
      <c r="M349" s="8" t="s">
        <v>443</v>
      </c>
      <c r="N349" s="8" t="s">
        <v>393</v>
      </c>
      <c r="O349" s="8" t="s">
        <v>36</v>
      </c>
      <c r="P349" s="8" t="s">
        <v>282</v>
      </c>
      <c r="Q349" s="8" t="s">
        <v>543</v>
      </c>
      <c r="R349" s="8" t="s">
        <v>222</v>
      </c>
      <c r="S349" s="8" t="s">
        <v>237</v>
      </c>
      <c r="T349" s="8" t="s">
        <v>244</v>
      </c>
      <c r="U349" s="8" t="s">
        <v>183</v>
      </c>
      <c r="V349" s="8">
        <v>1</v>
      </c>
      <c r="W349" s="18">
        <v>1</v>
      </c>
      <c r="X349" s="53">
        <v>45659</v>
      </c>
      <c r="Y349" s="53">
        <v>45400</v>
      </c>
      <c r="Z349" s="28">
        <v>29</v>
      </c>
      <c r="AA349" s="16" t="s">
        <v>1701</v>
      </c>
      <c r="AB349" s="8" t="s">
        <v>395</v>
      </c>
      <c r="AC349" s="8" t="s">
        <v>395</v>
      </c>
      <c r="AD349" s="39" t="s">
        <v>134</v>
      </c>
      <c r="AE349" s="39">
        <v>3102623927</v>
      </c>
      <c r="AF349" s="39" t="s">
        <v>276</v>
      </c>
      <c r="AG349" s="8" t="s">
        <v>295</v>
      </c>
      <c r="AH349" s="51">
        <v>35502</v>
      </c>
      <c r="AI349" s="28">
        <v>29</v>
      </c>
      <c r="AJ349" s="51" t="s">
        <v>1852</v>
      </c>
    </row>
    <row r="350" spans="1:36" ht="12.65" customHeight="1" x14ac:dyDescent="0.35">
      <c r="A350" s="8" t="s">
        <v>139</v>
      </c>
      <c r="B350" s="8" t="s">
        <v>136</v>
      </c>
      <c r="C350" s="8" t="s">
        <v>135</v>
      </c>
      <c r="D350" s="34" t="s">
        <v>1521</v>
      </c>
      <c r="E350" s="8" t="s">
        <v>1522</v>
      </c>
      <c r="F350" s="14" t="s">
        <v>57</v>
      </c>
      <c r="G350" s="14" t="s">
        <v>1</v>
      </c>
      <c r="H350" s="14" t="s">
        <v>9</v>
      </c>
      <c r="I350" s="34" t="s">
        <v>497</v>
      </c>
      <c r="J350" s="8" t="s">
        <v>82</v>
      </c>
      <c r="K350" s="69" t="s">
        <v>498</v>
      </c>
      <c r="L350" s="8" t="s">
        <v>75</v>
      </c>
      <c r="M350" s="8" t="s">
        <v>76</v>
      </c>
      <c r="N350" s="8" t="s">
        <v>306</v>
      </c>
      <c r="O350" s="8" t="s">
        <v>13</v>
      </c>
      <c r="P350" s="8" t="s">
        <v>285</v>
      </c>
      <c r="Q350" s="8" t="s">
        <v>285</v>
      </c>
      <c r="R350" s="8" t="s">
        <v>225</v>
      </c>
      <c r="S350" s="8" t="s">
        <v>237</v>
      </c>
      <c r="T350" s="8" t="s">
        <v>175</v>
      </c>
      <c r="U350" s="8" t="s">
        <v>189</v>
      </c>
      <c r="V350" s="8">
        <v>1</v>
      </c>
      <c r="W350" s="18">
        <v>1</v>
      </c>
      <c r="X350" s="51">
        <v>45804</v>
      </c>
      <c r="Y350" s="51">
        <v>45804</v>
      </c>
      <c r="Z350" s="28">
        <v>16</v>
      </c>
      <c r="AA350" s="16" t="s">
        <v>1700</v>
      </c>
      <c r="AB350" s="8" t="s">
        <v>395</v>
      </c>
      <c r="AC350" s="8" t="s">
        <v>294</v>
      </c>
      <c r="AD350" s="19" t="s">
        <v>137</v>
      </c>
      <c r="AE350" s="19">
        <v>3043488887</v>
      </c>
      <c r="AF350" s="19" t="s">
        <v>276</v>
      </c>
      <c r="AG350" s="8" t="s">
        <v>292</v>
      </c>
      <c r="AH350" s="51">
        <v>32774</v>
      </c>
      <c r="AI350" s="28">
        <v>37</v>
      </c>
      <c r="AJ350" s="51" t="s">
        <v>1852</v>
      </c>
    </row>
    <row r="351" spans="1:36" ht="12.65" customHeight="1" x14ac:dyDescent="0.35">
      <c r="A351" s="8" t="s">
        <v>139</v>
      </c>
      <c r="B351" s="8" t="s">
        <v>136</v>
      </c>
      <c r="C351" s="8" t="s">
        <v>135</v>
      </c>
      <c r="D351" s="34" t="s">
        <v>1523</v>
      </c>
      <c r="E351" s="8" t="s">
        <v>1524</v>
      </c>
      <c r="F351" s="14" t="s">
        <v>57</v>
      </c>
      <c r="G351" s="14" t="s">
        <v>1</v>
      </c>
      <c r="H351" s="14" t="s">
        <v>9</v>
      </c>
      <c r="I351" s="34" t="s">
        <v>585</v>
      </c>
      <c r="J351" s="8" t="s">
        <v>1525</v>
      </c>
      <c r="K351" s="69" t="s">
        <v>586</v>
      </c>
      <c r="L351" s="8" t="s">
        <v>391</v>
      </c>
      <c r="M351" s="8" t="s">
        <v>584</v>
      </c>
      <c r="N351" s="8" t="s">
        <v>393</v>
      </c>
      <c r="O351" s="8" t="s">
        <v>13</v>
      </c>
      <c r="P351" s="8" t="s">
        <v>285</v>
      </c>
      <c r="Q351" s="8" t="s">
        <v>285</v>
      </c>
      <c r="R351" s="8" t="s">
        <v>225</v>
      </c>
      <c r="S351" s="8" t="s">
        <v>237</v>
      </c>
      <c r="T351" s="8" t="s">
        <v>216</v>
      </c>
      <c r="U351" s="8" t="s">
        <v>183</v>
      </c>
      <c r="V351" s="8">
        <v>1</v>
      </c>
      <c r="W351" s="18">
        <v>0.5</v>
      </c>
      <c r="X351" s="51">
        <v>45659</v>
      </c>
      <c r="Y351" s="51">
        <v>45029</v>
      </c>
      <c r="Z351" s="28">
        <v>42</v>
      </c>
      <c r="AA351" s="16" t="s">
        <v>1701</v>
      </c>
      <c r="AB351" s="8" t="s">
        <v>395</v>
      </c>
      <c r="AC351" s="8" t="s">
        <v>395</v>
      </c>
      <c r="AD351" s="19" t="s">
        <v>134</v>
      </c>
      <c r="AE351" s="19">
        <v>3102695455</v>
      </c>
      <c r="AF351" s="19" t="s">
        <v>276</v>
      </c>
      <c r="AG351" s="8" t="s">
        <v>295</v>
      </c>
      <c r="AH351" s="51">
        <v>31081</v>
      </c>
      <c r="AI351" s="28">
        <v>41</v>
      </c>
      <c r="AJ351" s="51" t="s">
        <v>1852</v>
      </c>
    </row>
    <row r="352" spans="1:36" ht="12.65" customHeight="1" x14ac:dyDescent="0.35">
      <c r="A352" s="8" t="s">
        <v>139</v>
      </c>
      <c r="B352" s="8" t="s">
        <v>136</v>
      </c>
      <c r="C352" s="8" t="s">
        <v>135</v>
      </c>
      <c r="D352" s="34" t="s">
        <v>1523</v>
      </c>
      <c r="E352" s="8" t="s">
        <v>1524</v>
      </c>
      <c r="F352" s="14" t="s">
        <v>57</v>
      </c>
      <c r="G352" s="14" t="s">
        <v>1</v>
      </c>
      <c r="H352" s="14" t="s">
        <v>9</v>
      </c>
      <c r="I352" s="34" t="s">
        <v>581</v>
      </c>
      <c r="J352" s="8" t="s">
        <v>582</v>
      </c>
      <c r="K352" s="69" t="s">
        <v>583</v>
      </c>
      <c r="L352" s="8" t="s">
        <v>391</v>
      </c>
      <c r="M352" s="8" t="s">
        <v>584</v>
      </c>
      <c r="N352" s="8" t="s">
        <v>393</v>
      </c>
      <c r="O352" s="8" t="s">
        <v>13</v>
      </c>
      <c r="P352" s="8" t="s">
        <v>285</v>
      </c>
      <c r="Q352" s="8" t="s">
        <v>285</v>
      </c>
      <c r="R352" s="8" t="s">
        <v>225</v>
      </c>
      <c r="S352" s="8" t="s">
        <v>237</v>
      </c>
      <c r="T352" s="8" t="s">
        <v>216</v>
      </c>
      <c r="U352" s="8" t="s">
        <v>183</v>
      </c>
      <c r="V352" s="8">
        <v>0</v>
      </c>
      <c r="W352" s="18">
        <v>0.5</v>
      </c>
      <c r="X352" s="51">
        <v>45659</v>
      </c>
      <c r="Y352" s="51">
        <v>45029</v>
      </c>
      <c r="Z352" s="28">
        <v>42</v>
      </c>
      <c r="AA352" s="16" t="s">
        <v>1701</v>
      </c>
      <c r="AB352" s="8" t="s">
        <v>395</v>
      </c>
      <c r="AC352" s="8" t="s">
        <v>395</v>
      </c>
      <c r="AD352" s="19" t="s">
        <v>134</v>
      </c>
      <c r="AE352" s="19">
        <v>3102695455</v>
      </c>
      <c r="AF352" s="19" t="s">
        <v>276</v>
      </c>
      <c r="AG352" s="8" t="s">
        <v>295</v>
      </c>
      <c r="AH352" s="51">
        <v>31081</v>
      </c>
      <c r="AI352" s="28">
        <v>41</v>
      </c>
      <c r="AJ352" s="51" t="s">
        <v>1852</v>
      </c>
    </row>
    <row r="353" spans="1:36" ht="12.65" customHeight="1" x14ac:dyDescent="0.35">
      <c r="A353" s="8" t="s">
        <v>139</v>
      </c>
      <c r="B353" s="8" t="s">
        <v>136</v>
      </c>
      <c r="C353" s="8" t="s">
        <v>135</v>
      </c>
      <c r="D353" s="34" t="s">
        <v>1526</v>
      </c>
      <c r="E353" s="8" t="s">
        <v>1527</v>
      </c>
      <c r="F353" s="14" t="s">
        <v>57</v>
      </c>
      <c r="G353" s="14" t="s">
        <v>1</v>
      </c>
      <c r="H353" s="14" t="s">
        <v>9</v>
      </c>
      <c r="I353" s="34" t="s">
        <v>682</v>
      </c>
      <c r="J353" s="8" t="s">
        <v>683</v>
      </c>
      <c r="K353" s="69" t="s">
        <v>684</v>
      </c>
      <c r="L353" s="8" t="s">
        <v>442</v>
      </c>
      <c r="M353" s="8" t="s">
        <v>685</v>
      </c>
      <c r="N353" s="8" t="s">
        <v>393</v>
      </c>
      <c r="O353" s="8" t="s">
        <v>150</v>
      </c>
      <c r="P353" s="8" t="s">
        <v>280</v>
      </c>
      <c r="Q353" s="8" t="s">
        <v>281</v>
      </c>
      <c r="R353" s="8" t="s">
        <v>222</v>
      </c>
      <c r="S353" s="8" t="s">
        <v>237</v>
      </c>
      <c r="T353" s="8" t="s">
        <v>51</v>
      </c>
      <c r="U353" s="8" t="s">
        <v>183</v>
      </c>
      <c r="V353" s="8">
        <v>1</v>
      </c>
      <c r="W353" s="18">
        <v>1</v>
      </c>
      <c r="X353" s="51">
        <v>45659</v>
      </c>
      <c r="Y353" s="51">
        <v>44861</v>
      </c>
      <c r="Z353" s="28">
        <v>47</v>
      </c>
      <c r="AA353" s="16" t="s">
        <v>1701</v>
      </c>
      <c r="AB353" s="8" t="s">
        <v>307</v>
      </c>
      <c r="AC353" s="8" t="s">
        <v>307</v>
      </c>
      <c r="AD353" s="8" t="s">
        <v>134</v>
      </c>
      <c r="AE353" s="8">
        <v>3102691150</v>
      </c>
      <c r="AF353" s="8" t="s">
        <v>276</v>
      </c>
      <c r="AG353" s="8" t="s">
        <v>295</v>
      </c>
      <c r="AH353" s="51">
        <v>37166</v>
      </c>
      <c r="AI353" s="28">
        <v>25</v>
      </c>
      <c r="AJ353" s="51" t="s">
        <v>1853</v>
      </c>
    </row>
    <row r="354" spans="1:36" ht="12.65" customHeight="1" x14ac:dyDescent="0.35">
      <c r="A354" s="8" t="s">
        <v>139</v>
      </c>
      <c r="B354" s="8" t="s">
        <v>1243</v>
      </c>
      <c r="C354" s="8" t="s">
        <v>135</v>
      </c>
      <c r="D354" s="34" t="s">
        <v>1784</v>
      </c>
      <c r="E354" s="8" t="s">
        <v>1785</v>
      </c>
      <c r="F354" s="14" t="s">
        <v>57</v>
      </c>
      <c r="G354" s="14" t="s">
        <v>1</v>
      </c>
      <c r="H354" s="14" t="s">
        <v>9</v>
      </c>
      <c r="I354" s="34" t="s">
        <v>324</v>
      </c>
      <c r="J354" s="8" t="s">
        <v>94</v>
      </c>
      <c r="K354" s="69" t="s">
        <v>325</v>
      </c>
      <c r="L354" s="8" t="s">
        <v>75</v>
      </c>
      <c r="M354" s="8" t="s">
        <v>75</v>
      </c>
      <c r="N354" s="8" t="s">
        <v>306</v>
      </c>
      <c r="O354" s="8" t="s">
        <v>146</v>
      </c>
      <c r="P354" s="8" t="s">
        <v>283</v>
      </c>
      <c r="Q354" s="8" t="s">
        <v>326</v>
      </c>
      <c r="R354" s="8" t="s">
        <v>234</v>
      </c>
      <c r="S354" s="8" t="s">
        <v>241</v>
      </c>
      <c r="T354" s="8" t="s">
        <v>169</v>
      </c>
      <c r="U354" s="8" t="s">
        <v>189</v>
      </c>
      <c r="V354" s="8">
        <v>1</v>
      </c>
      <c r="W354" s="18">
        <v>1</v>
      </c>
      <c r="X354" s="51">
        <v>46198</v>
      </c>
      <c r="Y354" s="51">
        <v>46198</v>
      </c>
      <c r="Z354" s="28">
        <v>3</v>
      </c>
      <c r="AA354" s="16" t="s">
        <v>1699</v>
      </c>
      <c r="AB354" s="8" t="s">
        <v>291</v>
      </c>
      <c r="AC354" s="8" t="s">
        <v>291</v>
      </c>
      <c r="AD354" s="8" t="s">
        <v>137</v>
      </c>
      <c r="AE354" s="8" t="s">
        <v>153</v>
      </c>
      <c r="AF354" s="8" t="s">
        <v>153</v>
      </c>
      <c r="AG354" s="8" t="s">
        <v>292</v>
      </c>
      <c r="AH354" s="51">
        <v>34759</v>
      </c>
      <c r="AI354" s="28">
        <v>31</v>
      </c>
      <c r="AJ354" s="51" t="s">
        <v>1853</v>
      </c>
    </row>
    <row r="355" spans="1:36" ht="12.65" customHeight="1" x14ac:dyDescent="0.35">
      <c r="A355" s="8" t="s">
        <v>139</v>
      </c>
      <c r="B355" s="8" t="s">
        <v>136</v>
      </c>
      <c r="C355" s="8" t="s">
        <v>135</v>
      </c>
      <c r="D355" s="33" t="s">
        <v>1528</v>
      </c>
      <c r="E355" s="14" t="s">
        <v>1529</v>
      </c>
      <c r="F355" s="14" t="s">
        <v>57</v>
      </c>
      <c r="G355" s="14" t="s">
        <v>1</v>
      </c>
      <c r="H355" s="14" t="s">
        <v>9</v>
      </c>
      <c r="I355" s="34" t="s">
        <v>420</v>
      </c>
      <c r="J355" s="8" t="s">
        <v>103</v>
      </c>
      <c r="K355" s="69" t="s">
        <v>421</v>
      </c>
      <c r="L355" s="8" t="s">
        <v>75</v>
      </c>
      <c r="M355" s="8" t="s">
        <v>75</v>
      </c>
      <c r="N355" s="8" t="s">
        <v>306</v>
      </c>
      <c r="O355" s="8" t="s">
        <v>422</v>
      </c>
      <c r="P355" s="8" t="s">
        <v>423</v>
      </c>
      <c r="Q355" s="8" t="s">
        <v>278</v>
      </c>
      <c r="R355" s="8" t="s">
        <v>231</v>
      </c>
      <c r="S355" s="8" t="s">
        <v>247</v>
      </c>
      <c r="T355" s="8" t="s">
        <v>211</v>
      </c>
      <c r="U355" s="8" t="s">
        <v>189</v>
      </c>
      <c r="V355" s="8">
        <v>1</v>
      </c>
      <c r="W355" s="18">
        <v>1</v>
      </c>
      <c r="X355" s="51">
        <v>45659</v>
      </c>
      <c r="Y355" s="51">
        <v>45076</v>
      </c>
      <c r="Z355" s="28">
        <v>40</v>
      </c>
      <c r="AA355" s="16" t="s">
        <v>1701</v>
      </c>
      <c r="AB355" s="8" t="s">
        <v>294</v>
      </c>
      <c r="AC355" s="8" t="s">
        <v>294</v>
      </c>
      <c r="AD355" s="8" t="s">
        <v>134</v>
      </c>
      <c r="AE355" s="8">
        <v>3102629981</v>
      </c>
      <c r="AF355" s="8" t="s">
        <v>276</v>
      </c>
      <c r="AG355" s="8" t="s">
        <v>292</v>
      </c>
      <c r="AH355" s="51">
        <v>32810</v>
      </c>
      <c r="AI355" s="28">
        <v>36</v>
      </c>
      <c r="AJ355" s="51" t="s">
        <v>1852</v>
      </c>
    </row>
    <row r="356" spans="1:36" ht="12.65" customHeight="1" x14ac:dyDescent="0.35">
      <c r="A356" s="8" t="s">
        <v>139</v>
      </c>
      <c r="B356" s="8" t="s">
        <v>136</v>
      </c>
      <c r="C356" s="8" t="s">
        <v>135</v>
      </c>
      <c r="D356" s="34" t="s">
        <v>1530</v>
      </c>
      <c r="E356" s="8" t="s">
        <v>1531</v>
      </c>
      <c r="F356" s="14" t="s">
        <v>57</v>
      </c>
      <c r="G356" s="14" t="s">
        <v>1</v>
      </c>
      <c r="H356" s="14" t="s">
        <v>9</v>
      </c>
      <c r="I356" s="34" t="s">
        <v>1357</v>
      </c>
      <c r="J356" s="8" t="s">
        <v>1358</v>
      </c>
      <c r="K356" s="69" t="s">
        <v>1359</v>
      </c>
      <c r="L356" s="8" t="s">
        <v>442</v>
      </c>
      <c r="M356" s="8" t="s">
        <v>661</v>
      </c>
      <c r="N356" s="8" t="s">
        <v>393</v>
      </c>
      <c r="O356" s="8" t="s">
        <v>149</v>
      </c>
      <c r="P356" s="8" t="s">
        <v>286</v>
      </c>
      <c r="Q356" s="8" t="s">
        <v>865</v>
      </c>
      <c r="R356" s="8" t="s">
        <v>1628</v>
      </c>
      <c r="S356" s="8" t="s">
        <v>247</v>
      </c>
      <c r="T356" s="8" t="s">
        <v>157</v>
      </c>
      <c r="U356" s="8" t="s">
        <v>183</v>
      </c>
      <c r="V356" s="8">
        <v>1</v>
      </c>
      <c r="W356" s="18">
        <v>1</v>
      </c>
      <c r="X356" s="51">
        <v>45659</v>
      </c>
      <c r="Y356" s="51">
        <v>44806</v>
      </c>
      <c r="Z356" s="28">
        <v>49</v>
      </c>
      <c r="AA356" s="16" t="s">
        <v>1701</v>
      </c>
      <c r="AB356" s="8" t="s">
        <v>294</v>
      </c>
      <c r="AC356" s="8" t="s">
        <v>294</v>
      </c>
      <c r="AD356" s="8" t="s">
        <v>134</v>
      </c>
      <c r="AE356" s="8">
        <v>3102608394</v>
      </c>
      <c r="AF356" s="8" t="s">
        <v>276</v>
      </c>
      <c r="AG356" s="8" t="s">
        <v>295</v>
      </c>
      <c r="AH356" s="51">
        <v>30758</v>
      </c>
      <c r="AI356" s="28">
        <v>42</v>
      </c>
      <c r="AJ356" s="51" t="s">
        <v>1852</v>
      </c>
    </row>
    <row r="357" spans="1:36" ht="12.65" customHeight="1" x14ac:dyDescent="0.35">
      <c r="A357" s="8" t="s">
        <v>139</v>
      </c>
      <c r="B357" s="8" t="s">
        <v>136</v>
      </c>
      <c r="C357" s="8" t="s">
        <v>135</v>
      </c>
      <c r="D357" s="35" t="s">
        <v>1283</v>
      </c>
      <c r="E357" s="14" t="s">
        <v>1284</v>
      </c>
      <c r="F357" s="14" t="s">
        <v>57</v>
      </c>
      <c r="G357" s="14" t="s">
        <v>1</v>
      </c>
      <c r="H357" s="14" t="s">
        <v>9</v>
      </c>
      <c r="I357" s="34" t="s">
        <v>329</v>
      </c>
      <c r="J357" s="8" t="s">
        <v>95</v>
      </c>
      <c r="K357" s="69" t="s">
        <v>330</v>
      </c>
      <c r="L357" s="8" t="s">
        <v>75</v>
      </c>
      <c r="M357" s="8" t="s">
        <v>75</v>
      </c>
      <c r="N357" s="8" t="s">
        <v>306</v>
      </c>
      <c r="O357" s="8" t="s">
        <v>36</v>
      </c>
      <c r="P357" s="8" t="s">
        <v>282</v>
      </c>
      <c r="Q357" s="8" t="s">
        <v>543</v>
      </c>
      <c r="R357" s="8" t="s">
        <v>222</v>
      </c>
      <c r="S357" s="8" t="s">
        <v>237</v>
      </c>
      <c r="T357" s="8" t="s">
        <v>199</v>
      </c>
      <c r="U357" s="8" t="s">
        <v>189</v>
      </c>
      <c r="V357" s="8">
        <v>1</v>
      </c>
      <c r="W357" s="18">
        <v>1</v>
      </c>
      <c r="X357" s="51">
        <v>46072</v>
      </c>
      <c r="Y357" s="51">
        <v>46072</v>
      </c>
      <c r="Z357" s="28">
        <v>7</v>
      </c>
      <c r="AA357" s="16" t="s">
        <v>1710</v>
      </c>
      <c r="AB357" s="8" t="s">
        <v>291</v>
      </c>
      <c r="AC357" s="8" t="s">
        <v>291</v>
      </c>
      <c r="AD357" s="51" t="s">
        <v>137</v>
      </c>
      <c r="AE357" s="19">
        <v>3226832620</v>
      </c>
      <c r="AF357" s="19" t="s">
        <v>276</v>
      </c>
      <c r="AG357" s="8" t="s">
        <v>292</v>
      </c>
      <c r="AH357" s="51">
        <v>30213</v>
      </c>
      <c r="AI357" s="28">
        <v>44</v>
      </c>
      <c r="AJ357" s="19" t="s">
        <v>1853</v>
      </c>
    </row>
    <row r="358" spans="1:36" ht="12.65" customHeight="1" x14ac:dyDescent="0.35">
      <c r="A358" s="8" t="s">
        <v>139</v>
      </c>
      <c r="B358" s="8" t="s">
        <v>136</v>
      </c>
      <c r="C358" s="8" t="s">
        <v>135</v>
      </c>
      <c r="D358" s="34" t="s">
        <v>1405</v>
      </c>
      <c r="E358" s="8" t="s">
        <v>1406</v>
      </c>
      <c r="F358" s="14" t="s">
        <v>59</v>
      </c>
      <c r="G358" s="14" t="s">
        <v>1</v>
      </c>
      <c r="H358" s="14" t="s">
        <v>9</v>
      </c>
      <c r="I358" s="34" t="s">
        <v>636</v>
      </c>
      <c r="J358" s="8" t="s">
        <v>637</v>
      </c>
      <c r="K358" s="69" t="s">
        <v>638</v>
      </c>
      <c r="L358" s="8" t="s">
        <v>442</v>
      </c>
      <c r="M358" s="8" t="s">
        <v>443</v>
      </c>
      <c r="N358" s="8" t="s">
        <v>393</v>
      </c>
      <c r="O358" s="8" t="s">
        <v>36</v>
      </c>
      <c r="P358" s="8" t="s">
        <v>282</v>
      </c>
      <c r="Q358" s="8" t="s">
        <v>543</v>
      </c>
      <c r="R358" s="8" t="s">
        <v>222</v>
      </c>
      <c r="S358" s="8" t="s">
        <v>237</v>
      </c>
      <c r="T358" s="8" t="s">
        <v>244</v>
      </c>
      <c r="U358" s="8" t="s">
        <v>183</v>
      </c>
      <c r="V358" s="8">
        <v>1</v>
      </c>
      <c r="W358" s="18">
        <v>0.75</v>
      </c>
      <c r="X358" s="51">
        <v>45659</v>
      </c>
      <c r="Y358" s="51">
        <v>44326</v>
      </c>
      <c r="Z358" s="28">
        <v>65</v>
      </c>
      <c r="AA358" s="16" t="s">
        <v>1701</v>
      </c>
      <c r="AB358" s="8" t="s">
        <v>395</v>
      </c>
      <c r="AC358" s="8" t="s">
        <v>395</v>
      </c>
      <c r="AD358" s="8" t="s">
        <v>134</v>
      </c>
      <c r="AE358" s="8">
        <v>3102623572</v>
      </c>
      <c r="AF358" s="8" t="s">
        <v>276</v>
      </c>
      <c r="AG358" s="8" t="s">
        <v>295</v>
      </c>
      <c r="AH358" s="51">
        <v>34143</v>
      </c>
      <c r="AI358" s="28">
        <v>33</v>
      </c>
      <c r="AJ358" s="51" t="s">
        <v>1852</v>
      </c>
    </row>
    <row r="359" spans="1:36" ht="12.65" customHeight="1" x14ac:dyDescent="0.35">
      <c r="A359" s="8" t="s">
        <v>139</v>
      </c>
      <c r="B359" s="8" t="s">
        <v>136</v>
      </c>
      <c r="C359" s="8" t="s">
        <v>49</v>
      </c>
      <c r="D359" s="34" t="s">
        <v>1547</v>
      </c>
      <c r="E359" s="14" t="s">
        <v>1548</v>
      </c>
      <c r="F359" s="14" t="s">
        <v>59</v>
      </c>
      <c r="G359" s="14" t="s">
        <v>1</v>
      </c>
      <c r="H359" s="14" t="s">
        <v>9</v>
      </c>
      <c r="I359" s="34" t="s">
        <v>449</v>
      </c>
      <c r="J359" s="8" t="s">
        <v>97</v>
      </c>
      <c r="K359" s="69" t="s">
        <v>450</v>
      </c>
      <c r="L359" s="8" t="s">
        <v>75</v>
      </c>
      <c r="M359" s="8" t="s">
        <v>75</v>
      </c>
      <c r="N359" s="8" t="s">
        <v>306</v>
      </c>
      <c r="O359" s="8" t="s">
        <v>11</v>
      </c>
      <c r="P359" s="8" t="s">
        <v>274</v>
      </c>
      <c r="Q359" s="8" t="s">
        <v>275</v>
      </c>
      <c r="R359" s="8" t="s">
        <v>1628</v>
      </c>
      <c r="S359" s="8" t="s">
        <v>247</v>
      </c>
      <c r="T359" s="8" t="s">
        <v>172</v>
      </c>
      <c r="U359" s="8" t="s">
        <v>189</v>
      </c>
      <c r="V359" s="8">
        <v>0</v>
      </c>
      <c r="W359" s="18">
        <v>0</v>
      </c>
      <c r="X359" s="51">
        <v>45757</v>
      </c>
      <c r="Y359" s="51">
        <v>45757</v>
      </c>
      <c r="Z359" s="28">
        <v>18</v>
      </c>
      <c r="AA359" s="16" t="s">
        <v>1700</v>
      </c>
      <c r="AB359" s="8" t="s">
        <v>294</v>
      </c>
      <c r="AC359" s="8" t="s">
        <v>294</v>
      </c>
      <c r="AD359" s="51" t="s">
        <v>137</v>
      </c>
      <c r="AE359" s="8">
        <v>3102667865</v>
      </c>
      <c r="AF359" s="51" t="s">
        <v>276</v>
      </c>
      <c r="AG359" s="8" t="s">
        <v>292</v>
      </c>
      <c r="AH359" s="51">
        <v>36745</v>
      </c>
      <c r="AI359" s="28">
        <v>26</v>
      </c>
      <c r="AJ359" s="51" t="s">
        <v>1853</v>
      </c>
    </row>
    <row r="360" spans="1:36" ht="12.65" customHeight="1" x14ac:dyDescent="0.35">
      <c r="A360" s="8" t="s">
        <v>139</v>
      </c>
      <c r="B360" s="8" t="s">
        <v>136</v>
      </c>
      <c r="C360" s="8" t="s">
        <v>135</v>
      </c>
      <c r="D360" s="33" t="s">
        <v>1255</v>
      </c>
      <c r="E360" s="14" t="s">
        <v>1256</v>
      </c>
      <c r="F360" s="14" t="s">
        <v>57</v>
      </c>
      <c r="G360" s="14" t="s">
        <v>1</v>
      </c>
      <c r="H360" s="14" t="s">
        <v>9</v>
      </c>
      <c r="I360" s="34" t="s">
        <v>332</v>
      </c>
      <c r="J360" s="8" t="s">
        <v>101</v>
      </c>
      <c r="K360" s="69" t="s">
        <v>333</v>
      </c>
      <c r="L360" s="8" t="s">
        <v>75</v>
      </c>
      <c r="M360" s="8" t="s">
        <v>75</v>
      </c>
      <c r="N360" s="8" t="s">
        <v>306</v>
      </c>
      <c r="O360" s="8" t="s">
        <v>11</v>
      </c>
      <c r="P360" s="8" t="s">
        <v>274</v>
      </c>
      <c r="Q360" s="8" t="s">
        <v>275</v>
      </c>
      <c r="R360" s="8" t="s">
        <v>1628</v>
      </c>
      <c r="S360" s="8" t="s">
        <v>247</v>
      </c>
      <c r="T360" s="8" t="s">
        <v>172</v>
      </c>
      <c r="U360" s="8" t="s">
        <v>189</v>
      </c>
      <c r="V360" s="8">
        <v>1</v>
      </c>
      <c r="W360" s="18">
        <v>1</v>
      </c>
      <c r="X360" s="51">
        <v>46177</v>
      </c>
      <c r="Y360" s="51">
        <v>46177</v>
      </c>
      <c r="Z360" s="28">
        <v>4</v>
      </c>
      <c r="AA360" s="16" t="s">
        <v>1699</v>
      </c>
      <c r="AB360" s="8" t="s">
        <v>294</v>
      </c>
      <c r="AC360" s="8" t="s">
        <v>294</v>
      </c>
      <c r="AD360" s="51" t="s">
        <v>137</v>
      </c>
      <c r="AE360" s="8" t="s">
        <v>153</v>
      </c>
      <c r="AF360" s="51" t="s">
        <v>153</v>
      </c>
      <c r="AG360" s="8" t="s">
        <v>292</v>
      </c>
      <c r="AH360" s="51">
        <v>33522</v>
      </c>
      <c r="AI360" s="28">
        <v>35</v>
      </c>
      <c r="AJ360" s="51" t="s">
        <v>1853</v>
      </c>
    </row>
    <row r="361" spans="1:36" ht="12.65" customHeight="1" x14ac:dyDescent="0.35">
      <c r="A361" s="8" t="s">
        <v>139</v>
      </c>
      <c r="B361" s="8" t="s">
        <v>1243</v>
      </c>
      <c r="C361" s="8" t="s">
        <v>135</v>
      </c>
      <c r="D361" s="33" t="s">
        <v>1549</v>
      </c>
      <c r="E361" s="14" t="s">
        <v>1550</v>
      </c>
      <c r="F361" s="14" t="s">
        <v>59</v>
      </c>
      <c r="G361" s="14" t="s">
        <v>1</v>
      </c>
      <c r="H361" s="14" t="s">
        <v>9</v>
      </c>
      <c r="I361" s="34" t="s">
        <v>304</v>
      </c>
      <c r="J361" s="8" t="s">
        <v>113</v>
      </c>
      <c r="K361" s="69" t="s">
        <v>305</v>
      </c>
      <c r="L361" s="8" t="s">
        <v>75</v>
      </c>
      <c r="M361" s="8" t="s">
        <v>107</v>
      </c>
      <c r="N361" s="8" t="s">
        <v>306</v>
      </c>
      <c r="O361" s="8" t="s">
        <v>11</v>
      </c>
      <c r="P361" s="8" t="s">
        <v>274</v>
      </c>
      <c r="Q361" s="8" t="s">
        <v>275</v>
      </c>
      <c r="R361" s="8" t="s">
        <v>1628</v>
      </c>
      <c r="S361" s="8" t="s">
        <v>247</v>
      </c>
      <c r="T361" s="8" t="s">
        <v>202</v>
      </c>
      <c r="U361" s="8" t="s">
        <v>189</v>
      </c>
      <c r="V361" s="8">
        <v>1</v>
      </c>
      <c r="W361" s="18">
        <v>1</v>
      </c>
      <c r="X361" s="53">
        <v>45659</v>
      </c>
      <c r="Y361" s="53">
        <v>45008</v>
      </c>
      <c r="Z361" s="28">
        <v>42</v>
      </c>
      <c r="AA361" s="16" t="s">
        <v>1701</v>
      </c>
      <c r="AB361" s="8" t="s">
        <v>293</v>
      </c>
      <c r="AC361" s="8" t="s">
        <v>293</v>
      </c>
      <c r="AD361" s="14" t="s">
        <v>134</v>
      </c>
      <c r="AE361" s="14">
        <v>3102628721</v>
      </c>
      <c r="AF361" s="14" t="s">
        <v>276</v>
      </c>
      <c r="AG361" s="8" t="s">
        <v>292</v>
      </c>
      <c r="AH361" s="51">
        <v>35962</v>
      </c>
      <c r="AI361" s="28">
        <v>28</v>
      </c>
      <c r="AJ361" s="51" t="s">
        <v>1853</v>
      </c>
    </row>
    <row r="362" spans="1:36" ht="12.65" customHeight="1" x14ac:dyDescent="0.35">
      <c r="A362" s="8" t="s">
        <v>139</v>
      </c>
      <c r="B362" s="8" t="s">
        <v>136</v>
      </c>
      <c r="C362" s="8" t="s">
        <v>135</v>
      </c>
      <c r="D362" s="33" t="s">
        <v>1551</v>
      </c>
      <c r="E362" s="14" t="s">
        <v>1552</v>
      </c>
      <c r="F362" s="14" t="s">
        <v>57</v>
      </c>
      <c r="G362" s="14" t="s">
        <v>1</v>
      </c>
      <c r="H362" s="14" t="s">
        <v>9</v>
      </c>
      <c r="I362" s="34" t="s">
        <v>644</v>
      </c>
      <c r="J362" s="8" t="s">
        <v>645</v>
      </c>
      <c r="K362" s="69" t="s">
        <v>646</v>
      </c>
      <c r="L362" s="8" t="s">
        <v>382</v>
      </c>
      <c r="M362" s="8" t="s">
        <v>382</v>
      </c>
      <c r="N362" s="8" t="s">
        <v>306</v>
      </c>
      <c r="O362" s="8" t="s">
        <v>351</v>
      </c>
      <c r="P362" s="8" t="s">
        <v>274</v>
      </c>
      <c r="Q362" s="8" t="s">
        <v>275</v>
      </c>
      <c r="R362" s="8" t="s">
        <v>1628</v>
      </c>
      <c r="S362" s="8" t="s">
        <v>247</v>
      </c>
      <c r="T362" s="8" t="s">
        <v>163</v>
      </c>
      <c r="U362" s="8" t="s">
        <v>192</v>
      </c>
      <c r="V362" s="8">
        <v>1</v>
      </c>
      <c r="W362" s="18">
        <v>1</v>
      </c>
      <c r="X362" s="51">
        <v>46168</v>
      </c>
      <c r="Y362" s="51">
        <v>46168</v>
      </c>
      <c r="Z362" s="28">
        <v>4</v>
      </c>
      <c r="AA362" s="16" t="s">
        <v>1699</v>
      </c>
      <c r="AB362" s="8" t="s">
        <v>294</v>
      </c>
      <c r="AC362" s="8" t="s">
        <v>291</v>
      </c>
      <c r="AD362" s="19" t="s">
        <v>137</v>
      </c>
      <c r="AE362" s="19" t="s">
        <v>153</v>
      </c>
      <c r="AF362" s="19" t="s">
        <v>153</v>
      </c>
      <c r="AG362" s="8" t="s">
        <v>292</v>
      </c>
      <c r="AH362" s="51">
        <v>35499</v>
      </c>
      <c r="AI362" s="28">
        <v>29</v>
      </c>
      <c r="AJ362" s="19" t="s">
        <v>1853</v>
      </c>
    </row>
    <row r="363" spans="1:36" ht="12.65" customHeight="1" x14ac:dyDescent="0.35">
      <c r="A363" s="8" t="s">
        <v>139</v>
      </c>
      <c r="B363" s="8" t="s">
        <v>136</v>
      </c>
      <c r="C363" s="8" t="s">
        <v>135</v>
      </c>
      <c r="D363" s="35" t="s">
        <v>1194</v>
      </c>
      <c r="E363" s="20" t="s">
        <v>1195</v>
      </c>
      <c r="F363" s="14" t="s">
        <v>57</v>
      </c>
      <c r="G363" s="14" t="s">
        <v>1</v>
      </c>
      <c r="H363" s="14" t="s">
        <v>9</v>
      </c>
      <c r="I363" s="37" t="s">
        <v>300</v>
      </c>
      <c r="J363" s="8" t="s">
        <v>124</v>
      </c>
      <c r="K363" s="72" t="s">
        <v>301</v>
      </c>
      <c r="L363" s="8" t="s">
        <v>75</v>
      </c>
      <c r="M363" s="8" t="s">
        <v>107</v>
      </c>
      <c r="N363" s="8" t="s">
        <v>306</v>
      </c>
      <c r="O363" s="17" t="s">
        <v>36</v>
      </c>
      <c r="P363" s="17" t="s">
        <v>282</v>
      </c>
      <c r="Q363" s="8" t="s">
        <v>543</v>
      </c>
      <c r="R363" s="8" t="s">
        <v>222</v>
      </c>
      <c r="S363" s="8" t="s">
        <v>237</v>
      </c>
      <c r="T363" s="8" t="s">
        <v>199</v>
      </c>
      <c r="U363" s="8" t="s">
        <v>189</v>
      </c>
      <c r="V363" s="8">
        <v>1</v>
      </c>
      <c r="W363" s="18">
        <v>1</v>
      </c>
      <c r="X363" s="51">
        <v>45770</v>
      </c>
      <c r="Y363" s="51">
        <v>45770</v>
      </c>
      <c r="Z363" s="28">
        <v>17</v>
      </c>
      <c r="AA363" s="16" t="s">
        <v>1700</v>
      </c>
      <c r="AB363" s="8" t="s">
        <v>293</v>
      </c>
      <c r="AC363" s="8" t="s">
        <v>293</v>
      </c>
      <c r="AD363" s="19" t="s">
        <v>137</v>
      </c>
      <c r="AE363" s="19">
        <v>3102389191</v>
      </c>
      <c r="AF363" s="19" t="s">
        <v>276</v>
      </c>
      <c r="AG363" s="8" t="s">
        <v>292</v>
      </c>
      <c r="AH363" s="51">
        <v>33737</v>
      </c>
      <c r="AI363" s="28">
        <v>34</v>
      </c>
      <c r="AJ363" s="51" t="s">
        <v>1853</v>
      </c>
    </row>
    <row r="364" spans="1:36" ht="12.65" customHeight="1" x14ac:dyDescent="0.35">
      <c r="A364" s="8" t="s">
        <v>139</v>
      </c>
      <c r="B364" s="8" t="s">
        <v>136</v>
      </c>
      <c r="C364" s="8" t="s">
        <v>135</v>
      </c>
      <c r="D364" s="35" t="s">
        <v>1557</v>
      </c>
      <c r="E364" s="20" t="s">
        <v>1558</v>
      </c>
      <c r="F364" s="14" t="s">
        <v>59</v>
      </c>
      <c r="G364" s="14" t="s">
        <v>1</v>
      </c>
      <c r="H364" s="14" t="s">
        <v>9</v>
      </c>
      <c r="I364" s="34" t="s">
        <v>833</v>
      </c>
      <c r="J364" s="8" t="s">
        <v>834</v>
      </c>
      <c r="K364" s="69" t="s">
        <v>835</v>
      </c>
      <c r="L364" s="8" t="s">
        <v>442</v>
      </c>
      <c r="M364" s="8" t="s">
        <v>598</v>
      </c>
      <c r="N364" s="8" t="s">
        <v>393</v>
      </c>
      <c r="O364" s="8" t="s">
        <v>25</v>
      </c>
      <c r="P364" s="8" t="s">
        <v>280</v>
      </c>
      <c r="Q364" s="8" t="s">
        <v>281</v>
      </c>
      <c r="R364" s="8" t="s">
        <v>222</v>
      </c>
      <c r="S364" s="8" t="s">
        <v>237</v>
      </c>
      <c r="T364" s="8" t="s">
        <v>51</v>
      </c>
      <c r="U364" s="8" t="s">
        <v>183</v>
      </c>
      <c r="V364" s="8">
        <v>1</v>
      </c>
      <c r="W364" s="18">
        <v>1</v>
      </c>
      <c r="X364" s="51">
        <v>45659</v>
      </c>
      <c r="Y364" s="51">
        <v>42264</v>
      </c>
      <c r="Z364" s="28">
        <v>132</v>
      </c>
      <c r="AA364" s="16" t="s">
        <v>1701</v>
      </c>
      <c r="AB364" s="8" t="s">
        <v>291</v>
      </c>
      <c r="AC364" s="8" t="s">
        <v>291</v>
      </c>
      <c r="AD364" s="8" t="s">
        <v>134</v>
      </c>
      <c r="AE364" s="8">
        <v>3102655189</v>
      </c>
      <c r="AF364" s="8" t="s">
        <v>276</v>
      </c>
      <c r="AG364" s="8" t="s">
        <v>292</v>
      </c>
      <c r="AH364" s="51">
        <v>32332</v>
      </c>
      <c r="AI364" s="28">
        <v>38</v>
      </c>
      <c r="AJ364" s="51" t="s">
        <v>1853</v>
      </c>
    </row>
    <row r="365" spans="1:36" ht="12.65" customHeight="1" x14ac:dyDescent="0.35">
      <c r="A365" s="8" t="s">
        <v>139</v>
      </c>
      <c r="B365" s="8" t="s">
        <v>136</v>
      </c>
      <c r="C365" s="8" t="s">
        <v>135</v>
      </c>
      <c r="D365" s="35" t="s">
        <v>1559</v>
      </c>
      <c r="E365" s="20" t="s">
        <v>1560</v>
      </c>
      <c r="F365" s="14" t="s">
        <v>59</v>
      </c>
      <c r="G365" s="14" t="s">
        <v>1</v>
      </c>
      <c r="H365" s="14" t="s">
        <v>9</v>
      </c>
      <c r="I365" s="34" t="s">
        <v>592</v>
      </c>
      <c r="J365" s="8" t="s">
        <v>593</v>
      </c>
      <c r="K365" s="69" t="s">
        <v>594</v>
      </c>
      <c r="L365" s="8" t="s">
        <v>382</v>
      </c>
      <c r="M365" s="8" t="s">
        <v>382</v>
      </c>
      <c r="N365" s="8" t="s">
        <v>306</v>
      </c>
      <c r="O365" s="8" t="s">
        <v>13</v>
      </c>
      <c r="P365" s="8" t="s">
        <v>285</v>
      </c>
      <c r="Q365" s="8" t="s">
        <v>285</v>
      </c>
      <c r="R365" s="8" t="s">
        <v>225</v>
      </c>
      <c r="S365" s="8" t="s">
        <v>237</v>
      </c>
      <c r="T365" s="8" t="s">
        <v>216</v>
      </c>
      <c r="U365" s="8" t="s">
        <v>192</v>
      </c>
      <c r="V365" s="8">
        <v>1</v>
      </c>
      <c r="W365" s="18">
        <v>1</v>
      </c>
      <c r="X365" s="51">
        <v>45659</v>
      </c>
      <c r="Y365" s="51">
        <v>43516</v>
      </c>
      <c r="Z365" s="28">
        <v>91</v>
      </c>
      <c r="AA365" s="16" t="s">
        <v>1701</v>
      </c>
      <c r="AB365" s="8" t="s">
        <v>291</v>
      </c>
      <c r="AC365" s="8" t="s">
        <v>293</v>
      </c>
      <c r="AD365" s="8" t="s">
        <v>134</v>
      </c>
      <c r="AE365" s="8">
        <v>3102651871</v>
      </c>
      <c r="AF365" s="8" t="s">
        <v>276</v>
      </c>
      <c r="AG365" s="8" t="s">
        <v>292</v>
      </c>
      <c r="AH365" s="51">
        <v>32191</v>
      </c>
      <c r="AI365" s="28">
        <v>38</v>
      </c>
      <c r="AJ365" s="51" t="s">
        <v>1853</v>
      </c>
    </row>
    <row r="366" spans="1:36" ht="12.65" customHeight="1" x14ac:dyDescent="0.35">
      <c r="A366" s="8" t="s">
        <v>139</v>
      </c>
      <c r="B366" s="8" t="s">
        <v>136</v>
      </c>
      <c r="C366" s="8" t="s">
        <v>135</v>
      </c>
      <c r="D366" s="33" t="s">
        <v>1561</v>
      </c>
      <c r="E366" s="14" t="s">
        <v>1562</v>
      </c>
      <c r="F366" s="14" t="s">
        <v>59</v>
      </c>
      <c r="G366" s="14" t="s">
        <v>1</v>
      </c>
      <c r="H366" s="14" t="s">
        <v>9</v>
      </c>
      <c r="I366" s="34" t="s">
        <v>595</v>
      </c>
      <c r="J366" s="8" t="s">
        <v>596</v>
      </c>
      <c r="K366" s="69" t="s">
        <v>597</v>
      </c>
      <c r="L366" s="8" t="s">
        <v>442</v>
      </c>
      <c r="M366" s="8" t="s">
        <v>598</v>
      </c>
      <c r="N366" s="8" t="s">
        <v>393</v>
      </c>
      <c r="O366" s="8" t="s">
        <v>150</v>
      </c>
      <c r="P366" s="8" t="s">
        <v>280</v>
      </c>
      <c r="Q366" s="8" t="s">
        <v>281</v>
      </c>
      <c r="R366" s="8" t="s">
        <v>222</v>
      </c>
      <c r="S366" s="8" t="s">
        <v>237</v>
      </c>
      <c r="T366" s="17" t="s">
        <v>51</v>
      </c>
      <c r="U366" s="8" t="s">
        <v>183</v>
      </c>
      <c r="V366" s="8">
        <v>1</v>
      </c>
      <c r="W366" s="18">
        <v>1</v>
      </c>
      <c r="X366" s="51">
        <v>45659</v>
      </c>
      <c r="Y366" s="51">
        <v>41852</v>
      </c>
      <c r="Z366" s="28">
        <v>146</v>
      </c>
      <c r="AA366" s="16" t="s">
        <v>1701</v>
      </c>
      <c r="AB366" s="8" t="s">
        <v>294</v>
      </c>
      <c r="AC366" s="8" t="s">
        <v>294</v>
      </c>
      <c r="AD366" s="8" t="s">
        <v>134</v>
      </c>
      <c r="AE366" s="8">
        <v>3172302016</v>
      </c>
      <c r="AF366" s="8" t="s">
        <v>276</v>
      </c>
      <c r="AG366" s="8" t="s">
        <v>292</v>
      </c>
      <c r="AH366" s="51">
        <v>32595</v>
      </c>
      <c r="AI366" s="28">
        <v>37</v>
      </c>
      <c r="AJ366" s="51" t="s">
        <v>1853</v>
      </c>
    </row>
    <row r="367" spans="1:36" ht="12.65" customHeight="1" x14ac:dyDescent="0.35">
      <c r="A367" s="8" t="s">
        <v>139</v>
      </c>
      <c r="B367" s="8" t="s">
        <v>136</v>
      </c>
      <c r="C367" s="8" t="s">
        <v>135</v>
      </c>
      <c r="D367" s="34" t="s">
        <v>1565</v>
      </c>
      <c r="E367" s="14" t="s">
        <v>1566</v>
      </c>
      <c r="F367" s="14" t="s">
        <v>59</v>
      </c>
      <c r="G367" s="14" t="s">
        <v>1</v>
      </c>
      <c r="H367" s="14" t="s">
        <v>9</v>
      </c>
      <c r="I367" s="37" t="s">
        <v>673</v>
      </c>
      <c r="J367" s="8" t="s">
        <v>674</v>
      </c>
      <c r="K367" s="72" t="s">
        <v>675</v>
      </c>
      <c r="L367" s="17" t="s">
        <v>391</v>
      </c>
      <c r="M367" s="17" t="s">
        <v>399</v>
      </c>
      <c r="N367" s="17" t="s">
        <v>393</v>
      </c>
      <c r="O367" s="17" t="s">
        <v>13</v>
      </c>
      <c r="P367" s="17" t="s">
        <v>285</v>
      </c>
      <c r="Q367" s="17" t="s">
        <v>285</v>
      </c>
      <c r="R367" s="8" t="s">
        <v>225</v>
      </c>
      <c r="S367" s="8" t="s">
        <v>237</v>
      </c>
      <c r="T367" s="8" t="s">
        <v>216</v>
      </c>
      <c r="U367" s="8" t="s">
        <v>183</v>
      </c>
      <c r="V367" s="8">
        <v>1</v>
      </c>
      <c r="W367" s="18">
        <v>1</v>
      </c>
      <c r="X367" s="51">
        <v>45659</v>
      </c>
      <c r="Y367" s="51">
        <v>43550</v>
      </c>
      <c r="Z367" s="28">
        <v>90</v>
      </c>
      <c r="AA367" s="16" t="s">
        <v>1701</v>
      </c>
      <c r="AB367" s="8" t="s">
        <v>293</v>
      </c>
      <c r="AC367" s="8" t="s">
        <v>293</v>
      </c>
      <c r="AD367" s="19" t="s">
        <v>134</v>
      </c>
      <c r="AE367" s="19">
        <v>3102665283</v>
      </c>
      <c r="AF367" s="19" t="s">
        <v>276</v>
      </c>
      <c r="AG367" s="8" t="s">
        <v>295</v>
      </c>
      <c r="AH367" s="51">
        <v>30479</v>
      </c>
      <c r="AI367" s="28">
        <v>43</v>
      </c>
      <c r="AJ367" s="51" t="s">
        <v>1852</v>
      </c>
    </row>
    <row r="368" spans="1:36" ht="12.65" customHeight="1" x14ac:dyDescent="0.35">
      <c r="A368" s="8" t="s">
        <v>139</v>
      </c>
      <c r="B368" s="8" t="s">
        <v>136</v>
      </c>
      <c r="C368" s="8" t="s">
        <v>135</v>
      </c>
      <c r="D368" s="34" t="s">
        <v>1567</v>
      </c>
      <c r="E368" s="14" t="s">
        <v>1568</v>
      </c>
      <c r="F368" s="14" t="s">
        <v>59</v>
      </c>
      <c r="G368" s="14" t="s">
        <v>1</v>
      </c>
      <c r="H368" s="14" t="s">
        <v>9</v>
      </c>
      <c r="I368" s="33" t="s">
        <v>625</v>
      </c>
      <c r="J368" s="8" t="s">
        <v>626</v>
      </c>
      <c r="K368" s="70" t="s">
        <v>627</v>
      </c>
      <c r="L368" s="14" t="s">
        <v>382</v>
      </c>
      <c r="M368" s="14" t="s">
        <v>382</v>
      </c>
      <c r="N368" s="14" t="s">
        <v>306</v>
      </c>
      <c r="O368" s="14" t="s">
        <v>13</v>
      </c>
      <c r="P368" s="14" t="s">
        <v>285</v>
      </c>
      <c r="Q368" s="14" t="s">
        <v>285</v>
      </c>
      <c r="R368" s="8" t="s">
        <v>225</v>
      </c>
      <c r="S368" s="8" t="s">
        <v>237</v>
      </c>
      <c r="T368" s="8" t="s">
        <v>216</v>
      </c>
      <c r="U368" s="8" t="s">
        <v>192</v>
      </c>
      <c r="V368" s="8">
        <v>1</v>
      </c>
      <c r="W368" s="18">
        <v>1</v>
      </c>
      <c r="X368" s="51">
        <v>45659</v>
      </c>
      <c r="Y368" s="51">
        <v>44396</v>
      </c>
      <c r="Z368" s="28">
        <v>62</v>
      </c>
      <c r="AA368" s="16" t="s">
        <v>1701</v>
      </c>
      <c r="AB368" s="8" t="s">
        <v>291</v>
      </c>
      <c r="AC368" s="8" t="s">
        <v>293</v>
      </c>
      <c r="AD368" s="8" t="s">
        <v>134</v>
      </c>
      <c r="AE368" s="8">
        <v>3102698643</v>
      </c>
      <c r="AF368" s="8" t="s">
        <v>276</v>
      </c>
      <c r="AG368" s="8" t="s">
        <v>292</v>
      </c>
      <c r="AH368" s="51">
        <v>33890</v>
      </c>
      <c r="AI368" s="28">
        <v>34</v>
      </c>
      <c r="AJ368" s="51" t="s">
        <v>1853</v>
      </c>
    </row>
    <row r="369" spans="1:36" ht="12.65" customHeight="1" x14ac:dyDescent="0.35">
      <c r="A369" s="8" t="s">
        <v>139</v>
      </c>
      <c r="B369" s="8" t="s">
        <v>136</v>
      </c>
      <c r="C369" s="8" t="s">
        <v>135</v>
      </c>
      <c r="D369" s="34" t="s">
        <v>1569</v>
      </c>
      <c r="E369" s="14" t="s">
        <v>1570</v>
      </c>
      <c r="F369" s="14" t="s">
        <v>59</v>
      </c>
      <c r="G369" s="14" t="s">
        <v>1</v>
      </c>
      <c r="H369" s="14" t="s">
        <v>9</v>
      </c>
      <c r="I369" s="34" t="s">
        <v>1571</v>
      </c>
      <c r="J369" s="8" t="s">
        <v>1572</v>
      </c>
      <c r="K369" s="69" t="s">
        <v>738</v>
      </c>
      <c r="L369" s="8" t="s">
        <v>442</v>
      </c>
      <c r="M369" s="8" t="s">
        <v>1573</v>
      </c>
      <c r="N369" s="8" t="s">
        <v>393</v>
      </c>
      <c r="O369" s="8" t="s">
        <v>150</v>
      </c>
      <c r="P369" s="8" t="s">
        <v>280</v>
      </c>
      <c r="Q369" s="8" t="s">
        <v>281</v>
      </c>
      <c r="R369" s="8" t="s">
        <v>222</v>
      </c>
      <c r="S369" s="8" t="s">
        <v>237</v>
      </c>
      <c r="T369" s="8" t="s">
        <v>51</v>
      </c>
      <c r="U369" s="8" t="s">
        <v>183</v>
      </c>
      <c r="V369" s="8">
        <v>1</v>
      </c>
      <c r="W369" s="18">
        <v>1</v>
      </c>
      <c r="X369" s="51">
        <v>45659</v>
      </c>
      <c r="Y369" s="51">
        <v>42775</v>
      </c>
      <c r="Z369" s="28">
        <v>116</v>
      </c>
      <c r="AA369" s="16" t="s">
        <v>1701</v>
      </c>
      <c r="AB369" s="8" t="s">
        <v>294</v>
      </c>
      <c r="AC369" s="8" t="s">
        <v>294</v>
      </c>
      <c r="AD369" s="8" t="s">
        <v>134</v>
      </c>
      <c r="AE369" s="8">
        <v>3102705747</v>
      </c>
      <c r="AF369" s="8" t="s">
        <v>276</v>
      </c>
      <c r="AG369" s="8" t="s">
        <v>295</v>
      </c>
      <c r="AH369" s="51">
        <v>31781</v>
      </c>
      <c r="AI369" s="28">
        <v>39</v>
      </c>
      <c r="AJ369" s="51" t="s">
        <v>1853</v>
      </c>
    </row>
    <row r="370" spans="1:36" ht="12.65" customHeight="1" x14ac:dyDescent="0.35">
      <c r="A370" s="8" t="s">
        <v>139</v>
      </c>
      <c r="B370" s="8" t="s">
        <v>136</v>
      </c>
      <c r="C370" s="8" t="s">
        <v>135</v>
      </c>
      <c r="D370" s="34" t="s">
        <v>1077</v>
      </c>
      <c r="E370" s="8" t="s">
        <v>1078</v>
      </c>
      <c r="F370" s="14" t="s">
        <v>57</v>
      </c>
      <c r="G370" s="17" t="s">
        <v>1</v>
      </c>
      <c r="H370" s="17" t="s">
        <v>9</v>
      </c>
      <c r="I370" s="34" t="s">
        <v>692</v>
      </c>
      <c r="J370" s="8" t="s">
        <v>693</v>
      </c>
      <c r="K370" s="69" t="s">
        <v>694</v>
      </c>
      <c r="L370" s="8" t="s">
        <v>299</v>
      </c>
      <c r="M370" s="8" t="s">
        <v>299</v>
      </c>
      <c r="N370" s="8" t="s">
        <v>306</v>
      </c>
      <c r="O370" s="8" t="s">
        <v>362</v>
      </c>
      <c r="P370" s="8" t="s">
        <v>363</v>
      </c>
      <c r="Q370" s="8" t="s">
        <v>331</v>
      </c>
      <c r="R370" s="8" t="s">
        <v>222</v>
      </c>
      <c r="S370" s="8" t="s">
        <v>237</v>
      </c>
      <c r="T370" s="8" t="s">
        <v>56</v>
      </c>
      <c r="U370" s="8" t="s">
        <v>194</v>
      </c>
      <c r="V370" s="8">
        <v>1</v>
      </c>
      <c r="W370" s="18">
        <v>1</v>
      </c>
      <c r="X370" s="51">
        <v>45933</v>
      </c>
      <c r="Y370" s="51">
        <v>45933</v>
      </c>
      <c r="Z370" s="28">
        <v>12</v>
      </c>
      <c r="AA370" s="16" t="s">
        <v>1700</v>
      </c>
      <c r="AB370" s="8" t="s">
        <v>291</v>
      </c>
      <c r="AC370" s="8" t="s">
        <v>291</v>
      </c>
      <c r="AD370" s="8" t="s">
        <v>137</v>
      </c>
      <c r="AE370" s="8">
        <v>3102627658</v>
      </c>
      <c r="AF370" s="8" t="s">
        <v>276</v>
      </c>
      <c r="AG370" s="8" t="s">
        <v>292</v>
      </c>
      <c r="AH370" s="51">
        <v>33337</v>
      </c>
      <c r="AI370" s="28">
        <v>35</v>
      </c>
      <c r="AJ370" s="51" t="s">
        <v>1853</v>
      </c>
    </row>
    <row r="371" spans="1:36" ht="12.65" customHeight="1" x14ac:dyDescent="0.35">
      <c r="A371" s="8" t="s">
        <v>139</v>
      </c>
      <c r="B371" s="8" t="s">
        <v>136</v>
      </c>
      <c r="C371" s="8" t="s">
        <v>135</v>
      </c>
      <c r="D371" s="34" t="s">
        <v>1576</v>
      </c>
      <c r="E371" s="14" t="s">
        <v>1577</v>
      </c>
      <c r="F371" s="17" t="s">
        <v>59</v>
      </c>
      <c r="G371" s="17" t="s">
        <v>1</v>
      </c>
      <c r="H371" s="17" t="s">
        <v>9</v>
      </c>
      <c r="I371" s="34" t="s">
        <v>463</v>
      </c>
      <c r="J371" s="8" t="s">
        <v>1321</v>
      </c>
      <c r="K371" s="69" t="s">
        <v>464</v>
      </c>
      <c r="L371" s="8" t="s">
        <v>406</v>
      </c>
      <c r="M371" s="8" t="s">
        <v>456</v>
      </c>
      <c r="N371" s="8" t="s">
        <v>393</v>
      </c>
      <c r="O371" s="8" t="s">
        <v>11</v>
      </c>
      <c r="P371" s="8" t="s">
        <v>274</v>
      </c>
      <c r="Q371" s="8" t="s">
        <v>275</v>
      </c>
      <c r="R371" s="8" t="s">
        <v>231</v>
      </c>
      <c r="S371" s="8" t="s">
        <v>247</v>
      </c>
      <c r="T371" s="8" t="s">
        <v>163</v>
      </c>
      <c r="U371" s="8" t="s">
        <v>192</v>
      </c>
      <c r="V371" s="8">
        <v>1</v>
      </c>
      <c r="W371" s="18">
        <v>1</v>
      </c>
      <c r="X371" s="51">
        <v>45659</v>
      </c>
      <c r="Y371" s="51">
        <v>44644</v>
      </c>
      <c r="Z371" s="28">
        <v>54</v>
      </c>
      <c r="AA371" s="16" t="s">
        <v>1701</v>
      </c>
      <c r="AB371" s="8" t="s">
        <v>294</v>
      </c>
      <c r="AC371" s="8" t="s">
        <v>294</v>
      </c>
      <c r="AD371" s="19" t="s">
        <v>134</v>
      </c>
      <c r="AE371" s="19">
        <v>3102657030</v>
      </c>
      <c r="AF371" s="19" t="s">
        <v>276</v>
      </c>
      <c r="AG371" s="8" t="s">
        <v>295</v>
      </c>
      <c r="AH371" s="51">
        <v>35640</v>
      </c>
      <c r="AI371" s="28">
        <v>29</v>
      </c>
      <c r="AJ371" s="51" t="s">
        <v>1853</v>
      </c>
    </row>
    <row r="372" spans="1:36" ht="12.65" customHeight="1" x14ac:dyDescent="0.35">
      <c r="A372" s="8" t="s">
        <v>139</v>
      </c>
      <c r="B372" s="8" t="s">
        <v>136</v>
      </c>
      <c r="C372" s="8" t="s">
        <v>135</v>
      </c>
      <c r="D372" s="34" t="s">
        <v>1578</v>
      </c>
      <c r="E372" s="14" t="s">
        <v>1579</v>
      </c>
      <c r="F372" s="17" t="s">
        <v>59</v>
      </c>
      <c r="G372" s="14" t="s">
        <v>1</v>
      </c>
      <c r="H372" s="17" t="s">
        <v>9</v>
      </c>
      <c r="I372" s="34" t="s">
        <v>534</v>
      </c>
      <c r="J372" s="8" t="s">
        <v>535</v>
      </c>
      <c r="K372" s="69" t="s">
        <v>536</v>
      </c>
      <c r="L372" s="8" t="s">
        <v>299</v>
      </c>
      <c r="M372" s="8" t="s">
        <v>299</v>
      </c>
      <c r="N372" s="8" t="s">
        <v>306</v>
      </c>
      <c r="O372" s="8" t="s">
        <v>30</v>
      </c>
      <c r="P372" s="8" t="s">
        <v>496</v>
      </c>
      <c r="Q372" s="8" t="s">
        <v>331</v>
      </c>
      <c r="R372" s="8" t="s">
        <v>222</v>
      </c>
      <c r="S372" s="8" t="s">
        <v>237</v>
      </c>
      <c r="T372" s="8" t="s">
        <v>56</v>
      </c>
      <c r="U372" s="8" t="s">
        <v>194</v>
      </c>
      <c r="V372" s="8">
        <v>1</v>
      </c>
      <c r="W372" s="18">
        <v>1</v>
      </c>
      <c r="X372" s="51">
        <v>45659</v>
      </c>
      <c r="Y372" s="51">
        <v>44015</v>
      </c>
      <c r="Z372" s="28">
        <v>75</v>
      </c>
      <c r="AA372" s="16" t="s">
        <v>1701</v>
      </c>
      <c r="AB372" s="8" t="s">
        <v>291</v>
      </c>
      <c r="AC372" s="8" t="s">
        <v>291</v>
      </c>
      <c r="AD372" s="8" t="s">
        <v>134</v>
      </c>
      <c r="AE372" s="8">
        <v>3102631513</v>
      </c>
      <c r="AF372" s="8" t="s">
        <v>276</v>
      </c>
      <c r="AG372" s="8" t="s">
        <v>292</v>
      </c>
      <c r="AH372" s="51">
        <v>29940</v>
      </c>
      <c r="AI372" s="28">
        <v>44</v>
      </c>
      <c r="AJ372" s="51" t="s">
        <v>1852</v>
      </c>
    </row>
    <row r="373" spans="1:36" ht="12.65" customHeight="1" x14ac:dyDescent="0.35">
      <c r="A373" s="8" t="s">
        <v>139</v>
      </c>
      <c r="B373" s="8" t="s">
        <v>1243</v>
      </c>
      <c r="C373" s="8" t="s">
        <v>135</v>
      </c>
      <c r="D373" s="34" t="s">
        <v>1580</v>
      </c>
      <c r="E373" s="14" t="s">
        <v>1581</v>
      </c>
      <c r="F373" s="14" t="s">
        <v>59</v>
      </c>
      <c r="G373" s="14" t="s">
        <v>1</v>
      </c>
      <c r="H373" s="17" t="s">
        <v>9</v>
      </c>
      <c r="I373" s="34" t="s">
        <v>821</v>
      </c>
      <c r="J373" s="8" t="s">
        <v>106</v>
      </c>
      <c r="K373" s="69" t="s">
        <v>822</v>
      </c>
      <c r="L373" s="8" t="s">
        <v>75</v>
      </c>
      <c r="M373" s="8" t="s">
        <v>75</v>
      </c>
      <c r="N373" s="8" t="s">
        <v>306</v>
      </c>
      <c r="O373" s="8" t="s">
        <v>11</v>
      </c>
      <c r="P373" s="8" t="s">
        <v>274</v>
      </c>
      <c r="Q373" s="8" t="s">
        <v>275</v>
      </c>
      <c r="R373" s="8" t="s">
        <v>1628</v>
      </c>
      <c r="S373" s="8" t="s">
        <v>247</v>
      </c>
      <c r="T373" s="8" t="s">
        <v>202</v>
      </c>
      <c r="U373" s="8" t="s">
        <v>189</v>
      </c>
      <c r="V373" s="8">
        <v>1</v>
      </c>
      <c r="W373" s="18">
        <v>1</v>
      </c>
      <c r="X373" s="51">
        <v>45659</v>
      </c>
      <c r="Y373" s="51">
        <v>41709</v>
      </c>
      <c r="Z373" s="28">
        <v>151</v>
      </c>
      <c r="AA373" s="16" t="s">
        <v>1701</v>
      </c>
      <c r="AB373" s="8" t="s">
        <v>291</v>
      </c>
      <c r="AC373" s="8" t="s">
        <v>291</v>
      </c>
      <c r="AD373" s="8" t="s">
        <v>134</v>
      </c>
      <c r="AE373" s="8">
        <v>3102676932</v>
      </c>
      <c r="AF373" s="8" t="s">
        <v>276</v>
      </c>
      <c r="AG373" s="8" t="s">
        <v>292</v>
      </c>
      <c r="AH373" s="51">
        <v>28809</v>
      </c>
      <c r="AI373" s="28">
        <v>47</v>
      </c>
      <c r="AJ373" s="51" t="s">
        <v>1853</v>
      </c>
    </row>
    <row r="374" spans="1:36" ht="12.65" customHeight="1" x14ac:dyDescent="0.35">
      <c r="A374" s="8" t="s">
        <v>139</v>
      </c>
      <c r="B374" s="8" t="s">
        <v>136</v>
      </c>
      <c r="C374" s="8" t="s">
        <v>135</v>
      </c>
      <c r="D374" s="33" t="s">
        <v>1582</v>
      </c>
      <c r="E374" s="14" t="s">
        <v>1583</v>
      </c>
      <c r="F374" s="14" t="s">
        <v>59</v>
      </c>
      <c r="G374" s="17" t="s">
        <v>1</v>
      </c>
      <c r="H374" s="17" t="s">
        <v>9</v>
      </c>
      <c r="I374" s="34" t="s">
        <v>1584</v>
      </c>
      <c r="J374" s="8" t="s">
        <v>1585</v>
      </c>
      <c r="K374" s="69" t="s">
        <v>1586</v>
      </c>
      <c r="L374" s="8" t="s">
        <v>299</v>
      </c>
      <c r="M374" s="8" t="s">
        <v>299</v>
      </c>
      <c r="N374" s="8" t="s">
        <v>306</v>
      </c>
      <c r="O374" s="8" t="s">
        <v>1587</v>
      </c>
      <c r="P374" s="8" t="s">
        <v>290</v>
      </c>
      <c r="Q374" s="8" t="s">
        <v>279</v>
      </c>
      <c r="R374" s="8" t="s">
        <v>234</v>
      </c>
      <c r="S374" s="8" t="s">
        <v>241</v>
      </c>
      <c r="T374" s="8" t="s">
        <v>166</v>
      </c>
      <c r="U374" s="8" t="s">
        <v>194</v>
      </c>
      <c r="V374" s="8">
        <v>1</v>
      </c>
      <c r="W374" s="18">
        <v>1</v>
      </c>
      <c r="X374" s="53">
        <v>45659</v>
      </c>
      <c r="Y374" s="53">
        <v>43399</v>
      </c>
      <c r="Z374" s="28">
        <v>95</v>
      </c>
      <c r="AA374" s="16" t="s">
        <v>1701</v>
      </c>
      <c r="AB374" s="8" t="s">
        <v>293</v>
      </c>
      <c r="AC374" s="8" t="s">
        <v>293</v>
      </c>
      <c r="AD374" s="14" t="s">
        <v>134</v>
      </c>
      <c r="AE374" s="14">
        <v>3102698662</v>
      </c>
      <c r="AF374" s="14" t="s">
        <v>276</v>
      </c>
      <c r="AG374" s="8" t="s">
        <v>292</v>
      </c>
      <c r="AH374" s="51">
        <v>31209</v>
      </c>
      <c r="AI374" s="28">
        <v>41</v>
      </c>
      <c r="AJ374" s="51" t="s">
        <v>1853</v>
      </c>
    </row>
    <row r="375" spans="1:36" ht="12.65" customHeight="1" x14ac:dyDescent="0.35">
      <c r="A375" s="8" t="s">
        <v>139</v>
      </c>
      <c r="B375" s="8" t="s">
        <v>136</v>
      </c>
      <c r="C375" s="8" t="s">
        <v>135</v>
      </c>
      <c r="D375" s="34" t="s">
        <v>1588</v>
      </c>
      <c r="E375" s="8" t="s">
        <v>1589</v>
      </c>
      <c r="F375" s="14" t="s">
        <v>59</v>
      </c>
      <c r="G375" s="17" t="s">
        <v>1</v>
      </c>
      <c r="H375" s="17" t="s">
        <v>9</v>
      </c>
      <c r="I375" s="34" t="s">
        <v>826</v>
      </c>
      <c r="J375" s="8" t="s">
        <v>827</v>
      </c>
      <c r="K375" s="69" t="s">
        <v>828</v>
      </c>
      <c r="L375" s="8" t="s">
        <v>299</v>
      </c>
      <c r="M375" s="8" t="s">
        <v>299</v>
      </c>
      <c r="N375" s="8" t="s">
        <v>306</v>
      </c>
      <c r="O375" s="8" t="s">
        <v>424</v>
      </c>
      <c r="P375" s="8" t="s">
        <v>279</v>
      </c>
      <c r="Q375" s="8" t="s">
        <v>279</v>
      </c>
      <c r="R375" s="8" t="s">
        <v>225</v>
      </c>
      <c r="S375" s="8" t="s">
        <v>241</v>
      </c>
      <c r="T375" s="8" t="s">
        <v>166</v>
      </c>
      <c r="U375" s="8" t="s">
        <v>194</v>
      </c>
      <c r="V375" s="8">
        <v>1</v>
      </c>
      <c r="W375" s="18">
        <v>1</v>
      </c>
      <c r="X375" s="51">
        <v>45659</v>
      </c>
      <c r="Y375" s="51">
        <v>43133</v>
      </c>
      <c r="Z375" s="28">
        <v>104</v>
      </c>
      <c r="AA375" s="16" t="s">
        <v>1701</v>
      </c>
      <c r="AB375" s="8" t="s">
        <v>294</v>
      </c>
      <c r="AC375" s="8" t="s">
        <v>293</v>
      </c>
      <c r="AD375" s="8" t="s">
        <v>134</v>
      </c>
      <c r="AE375" s="8">
        <v>3122622954</v>
      </c>
      <c r="AF375" s="8" t="s">
        <v>276</v>
      </c>
      <c r="AG375" s="8" t="s">
        <v>292</v>
      </c>
      <c r="AH375" s="51">
        <v>32256</v>
      </c>
      <c r="AI375" s="28">
        <v>38</v>
      </c>
      <c r="AJ375" s="51" t="s">
        <v>1853</v>
      </c>
    </row>
    <row r="376" spans="1:36" ht="12.65" customHeight="1" x14ac:dyDescent="0.35">
      <c r="A376" s="8" t="s">
        <v>139</v>
      </c>
      <c r="B376" s="8" t="s">
        <v>136</v>
      </c>
      <c r="C376" s="8" t="s">
        <v>135</v>
      </c>
      <c r="D376" s="34" t="s">
        <v>1590</v>
      </c>
      <c r="E376" s="14" t="s">
        <v>1591</v>
      </c>
      <c r="F376" s="14" t="s">
        <v>59</v>
      </c>
      <c r="G376" s="14" t="s">
        <v>1</v>
      </c>
      <c r="H376" s="17" t="s">
        <v>9</v>
      </c>
      <c r="I376" s="34" t="s">
        <v>380</v>
      </c>
      <c r="J376" s="8" t="s">
        <v>1592</v>
      </c>
      <c r="K376" s="69" t="s">
        <v>381</v>
      </c>
      <c r="L376" s="8" t="s">
        <v>382</v>
      </c>
      <c r="M376" s="8" t="s">
        <v>382</v>
      </c>
      <c r="N376" s="8" t="s">
        <v>306</v>
      </c>
      <c r="O376" s="8" t="s">
        <v>146</v>
      </c>
      <c r="P376" s="8" t="s">
        <v>283</v>
      </c>
      <c r="Q376" s="8" t="s">
        <v>326</v>
      </c>
      <c r="R376" s="8" t="s">
        <v>234</v>
      </c>
      <c r="S376" s="8" t="s">
        <v>241</v>
      </c>
      <c r="T376" s="8" t="s">
        <v>160</v>
      </c>
      <c r="U376" s="8" t="s">
        <v>192</v>
      </c>
      <c r="V376" s="8">
        <v>1</v>
      </c>
      <c r="W376" s="18">
        <v>1</v>
      </c>
      <c r="X376" s="51">
        <v>45950</v>
      </c>
      <c r="Y376" s="51">
        <v>45950</v>
      </c>
      <c r="Z376" s="28">
        <v>11</v>
      </c>
      <c r="AA376" s="16" t="s">
        <v>1711</v>
      </c>
      <c r="AB376" s="8" t="s">
        <v>291</v>
      </c>
      <c r="AC376" s="8" t="s">
        <v>293</v>
      </c>
      <c r="AD376" s="8" t="s">
        <v>137</v>
      </c>
      <c r="AE376" s="8">
        <v>3102622356</v>
      </c>
      <c r="AF376" s="8" t="s">
        <v>276</v>
      </c>
      <c r="AG376" s="8" t="s">
        <v>292</v>
      </c>
      <c r="AH376" s="51">
        <v>32853</v>
      </c>
      <c r="AI376" s="28">
        <v>36</v>
      </c>
      <c r="AJ376" s="51" t="s">
        <v>1853</v>
      </c>
    </row>
    <row r="377" spans="1:36" ht="12.65" customHeight="1" x14ac:dyDescent="0.35">
      <c r="A377" s="8" t="s">
        <v>139</v>
      </c>
      <c r="B377" s="8" t="s">
        <v>1243</v>
      </c>
      <c r="C377" s="8" t="s">
        <v>135</v>
      </c>
      <c r="D377" s="34" t="s">
        <v>1593</v>
      </c>
      <c r="E377" s="14" t="s">
        <v>1594</v>
      </c>
      <c r="F377" s="14" t="s">
        <v>59</v>
      </c>
      <c r="G377" s="14" t="s">
        <v>1</v>
      </c>
      <c r="H377" s="17" t="s">
        <v>9</v>
      </c>
      <c r="I377" s="34" t="s">
        <v>334</v>
      </c>
      <c r="J377" s="8" t="s">
        <v>112</v>
      </c>
      <c r="K377" s="69" t="s">
        <v>335</v>
      </c>
      <c r="L377" s="8" t="s">
        <v>75</v>
      </c>
      <c r="M377" s="8" t="s">
        <v>107</v>
      </c>
      <c r="N377" s="8" t="s">
        <v>306</v>
      </c>
      <c r="O377" s="8" t="s">
        <v>11</v>
      </c>
      <c r="P377" s="8" t="s">
        <v>274</v>
      </c>
      <c r="Q377" s="8" t="s">
        <v>275</v>
      </c>
      <c r="R377" s="8" t="s">
        <v>1628</v>
      </c>
      <c r="S377" s="8" t="s">
        <v>247</v>
      </c>
      <c r="T377" s="8" t="s">
        <v>202</v>
      </c>
      <c r="U377" s="8" t="s">
        <v>189</v>
      </c>
      <c r="V377" s="8">
        <v>1</v>
      </c>
      <c r="W377" s="18">
        <v>1</v>
      </c>
      <c r="X377" s="51">
        <v>45712</v>
      </c>
      <c r="Y377" s="51">
        <v>45712</v>
      </c>
      <c r="Z377" s="28">
        <v>19</v>
      </c>
      <c r="AA377" s="16" t="s">
        <v>1700</v>
      </c>
      <c r="AB377" s="8" t="s">
        <v>293</v>
      </c>
      <c r="AC377" s="8" t="s">
        <v>291</v>
      </c>
      <c r="AD377" s="8" t="s">
        <v>137</v>
      </c>
      <c r="AE377" s="8">
        <v>3102663492</v>
      </c>
      <c r="AF377" s="8" t="s">
        <v>276</v>
      </c>
      <c r="AG377" s="8" t="s">
        <v>292</v>
      </c>
      <c r="AH377" s="51">
        <v>31680</v>
      </c>
      <c r="AI377" s="28">
        <v>40</v>
      </c>
      <c r="AJ377" s="51" t="s">
        <v>1853</v>
      </c>
    </row>
    <row r="378" spans="1:36" ht="12.65" customHeight="1" x14ac:dyDescent="0.35">
      <c r="A378" s="8" t="s">
        <v>139</v>
      </c>
      <c r="B378" s="8" t="s">
        <v>136</v>
      </c>
      <c r="C378" s="8" t="s">
        <v>135</v>
      </c>
      <c r="D378" s="34" t="s">
        <v>1595</v>
      </c>
      <c r="E378" s="14" t="s">
        <v>1596</v>
      </c>
      <c r="F378" s="17" t="s">
        <v>59</v>
      </c>
      <c r="G378" s="17" t="s">
        <v>1</v>
      </c>
      <c r="H378" s="17" t="s">
        <v>9</v>
      </c>
      <c r="I378" s="34" t="s">
        <v>324</v>
      </c>
      <c r="J378" s="8" t="s">
        <v>94</v>
      </c>
      <c r="K378" s="69" t="s">
        <v>325</v>
      </c>
      <c r="L378" s="8" t="s">
        <v>75</v>
      </c>
      <c r="M378" s="8" t="s">
        <v>75</v>
      </c>
      <c r="N378" s="8" t="s">
        <v>306</v>
      </c>
      <c r="O378" s="8" t="s">
        <v>146</v>
      </c>
      <c r="P378" s="8" t="s">
        <v>283</v>
      </c>
      <c r="Q378" s="8" t="s">
        <v>326</v>
      </c>
      <c r="R378" s="8" t="s">
        <v>234</v>
      </c>
      <c r="S378" s="8" t="s">
        <v>241</v>
      </c>
      <c r="T378" s="8" t="s">
        <v>169</v>
      </c>
      <c r="U378" s="8" t="s">
        <v>189</v>
      </c>
      <c r="V378" s="8">
        <v>1</v>
      </c>
      <c r="W378" s="18">
        <v>1</v>
      </c>
      <c r="X378" s="51">
        <v>45659</v>
      </c>
      <c r="Y378" s="51">
        <v>45078</v>
      </c>
      <c r="Z378" s="28">
        <v>40</v>
      </c>
      <c r="AA378" s="16" t="s">
        <v>1701</v>
      </c>
      <c r="AB378" s="8" t="s">
        <v>291</v>
      </c>
      <c r="AC378" s="8" t="s">
        <v>291</v>
      </c>
      <c r="AD378" s="8" t="s">
        <v>134</v>
      </c>
      <c r="AE378" s="8">
        <v>3102687868</v>
      </c>
      <c r="AF378" s="8" t="s">
        <v>276</v>
      </c>
      <c r="AG378" s="8" t="s">
        <v>292</v>
      </c>
      <c r="AH378" s="51">
        <v>34632</v>
      </c>
      <c r="AI378" s="28">
        <v>31</v>
      </c>
      <c r="AJ378" s="51" t="s">
        <v>1853</v>
      </c>
    </row>
    <row r="379" spans="1:36" ht="12.65" customHeight="1" x14ac:dyDescent="0.35">
      <c r="A379" s="8" t="s">
        <v>139</v>
      </c>
      <c r="B379" s="8" t="s">
        <v>136</v>
      </c>
      <c r="C379" s="8" t="s">
        <v>135</v>
      </c>
      <c r="D379" s="34" t="s">
        <v>1597</v>
      </c>
      <c r="E379" s="14" t="s">
        <v>1598</v>
      </c>
      <c r="F379" s="14" t="s">
        <v>59</v>
      </c>
      <c r="G379" s="14" t="s">
        <v>1</v>
      </c>
      <c r="H379" s="14" t="s">
        <v>9</v>
      </c>
      <c r="I379" s="34" t="s">
        <v>737</v>
      </c>
      <c r="J379" s="8" t="s">
        <v>905</v>
      </c>
      <c r="K379" s="69" t="s">
        <v>738</v>
      </c>
      <c r="L379" s="8" t="s">
        <v>442</v>
      </c>
      <c r="M379" s="8" t="s">
        <v>598</v>
      </c>
      <c r="N379" s="8" t="s">
        <v>393</v>
      </c>
      <c r="O379" s="8" t="s">
        <v>150</v>
      </c>
      <c r="P379" s="8" t="s">
        <v>280</v>
      </c>
      <c r="Q379" s="8" t="s">
        <v>281</v>
      </c>
      <c r="R379" s="8" t="s">
        <v>222</v>
      </c>
      <c r="S379" s="8" t="s">
        <v>237</v>
      </c>
      <c r="T379" s="8" t="s">
        <v>51</v>
      </c>
      <c r="U379" s="8" t="s">
        <v>183</v>
      </c>
      <c r="V379" s="8">
        <v>1</v>
      </c>
      <c r="W379" s="18">
        <v>1</v>
      </c>
      <c r="X379" s="51">
        <v>45659</v>
      </c>
      <c r="Y379" s="51">
        <v>43019</v>
      </c>
      <c r="Z379" s="28">
        <v>108</v>
      </c>
      <c r="AA379" s="16" t="s">
        <v>1701</v>
      </c>
      <c r="AB379" s="8" t="s">
        <v>291</v>
      </c>
      <c r="AC379" s="8" t="s">
        <v>291</v>
      </c>
      <c r="AD379" s="8" t="s">
        <v>134</v>
      </c>
      <c r="AE379" s="8">
        <v>3102689163</v>
      </c>
      <c r="AF379" s="8" t="s">
        <v>276</v>
      </c>
      <c r="AG379" s="8" t="s">
        <v>292</v>
      </c>
      <c r="AH379" s="51">
        <v>32339</v>
      </c>
      <c r="AI379" s="28">
        <v>38</v>
      </c>
      <c r="AJ379" s="51" t="s">
        <v>1853</v>
      </c>
    </row>
    <row r="380" spans="1:36" ht="12.65" customHeight="1" x14ac:dyDescent="0.35">
      <c r="A380" s="8" t="s">
        <v>139</v>
      </c>
      <c r="B380" s="8" t="s">
        <v>136</v>
      </c>
      <c r="C380" s="8" t="s">
        <v>135</v>
      </c>
      <c r="D380" s="34" t="s">
        <v>1599</v>
      </c>
      <c r="E380" s="14" t="s">
        <v>1600</v>
      </c>
      <c r="F380" s="14" t="s">
        <v>59</v>
      </c>
      <c r="G380" s="14" t="s">
        <v>1</v>
      </c>
      <c r="H380" s="14" t="s">
        <v>9</v>
      </c>
      <c r="I380" s="34" t="s">
        <v>338</v>
      </c>
      <c r="J380" s="8" t="s">
        <v>99</v>
      </c>
      <c r="K380" s="69" t="s">
        <v>339</v>
      </c>
      <c r="L380" s="8" t="s">
        <v>75</v>
      </c>
      <c r="M380" s="8" t="s">
        <v>75</v>
      </c>
      <c r="N380" s="8" t="s">
        <v>306</v>
      </c>
      <c r="O380" s="8" t="s">
        <v>151</v>
      </c>
      <c r="P380" s="8" t="s">
        <v>289</v>
      </c>
      <c r="Q380" s="8" t="s">
        <v>331</v>
      </c>
      <c r="R380" s="8" t="s">
        <v>222</v>
      </c>
      <c r="S380" s="8" t="s">
        <v>237</v>
      </c>
      <c r="T380" s="8" t="s">
        <v>56</v>
      </c>
      <c r="U380" s="8" t="s">
        <v>189</v>
      </c>
      <c r="V380" s="8">
        <v>1</v>
      </c>
      <c r="W380" s="18">
        <v>1</v>
      </c>
      <c r="X380" s="51">
        <v>45659</v>
      </c>
      <c r="Y380" s="51">
        <v>44827</v>
      </c>
      <c r="Z380" s="28">
        <v>48</v>
      </c>
      <c r="AA380" s="16" t="s">
        <v>1701</v>
      </c>
      <c r="AB380" s="8" t="s">
        <v>291</v>
      </c>
      <c r="AC380" s="8" t="s">
        <v>291</v>
      </c>
      <c r="AD380" s="8" t="s">
        <v>134</v>
      </c>
      <c r="AE380" s="8">
        <v>3108506774</v>
      </c>
      <c r="AF380" s="8" t="s">
        <v>276</v>
      </c>
      <c r="AG380" s="8" t="s">
        <v>292</v>
      </c>
      <c r="AH380" s="51">
        <v>28211</v>
      </c>
      <c r="AI380" s="28">
        <v>49</v>
      </c>
      <c r="AJ380" s="51" t="s">
        <v>1853</v>
      </c>
    </row>
    <row r="381" spans="1:36" ht="12.65" customHeight="1" x14ac:dyDescent="0.35">
      <c r="A381" s="8" t="s">
        <v>139</v>
      </c>
      <c r="B381" s="8" t="s">
        <v>136</v>
      </c>
      <c r="C381" s="8" t="s">
        <v>135</v>
      </c>
      <c r="D381" s="33" t="s">
        <v>1601</v>
      </c>
      <c r="E381" s="14" t="s">
        <v>1602</v>
      </c>
      <c r="F381" s="14" t="s">
        <v>59</v>
      </c>
      <c r="G381" s="14" t="s">
        <v>1</v>
      </c>
      <c r="H381" s="14" t="s">
        <v>9</v>
      </c>
      <c r="I381" s="34" t="s">
        <v>716</v>
      </c>
      <c r="J381" s="8" t="s">
        <v>717</v>
      </c>
      <c r="K381" s="69" t="s">
        <v>718</v>
      </c>
      <c r="L381" s="8" t="s">
        <v>442</v>
      </c>
      <c r="M381" s="8" t="s">
        <v>661</v>
      </c>
      <c r="N381" s="8" t="s">
        <v>393</v>
      </c>
      <c r="O381" s="8" t="s">
        <v>719</v>
      </c>
      <c r="P381" s="8" t="s">
        <v>286</v>
      </c>
      <c r="Q381" s="8" t="s">
        <v>865</v>
      </c>
      <c r="R381" s="8" t="s">
        <v>1628</v>
      </c>
      <c r="S381" s="8" t="s">
        <v>247</v>
      </c>
      <c r="T381" s="17" t="s">
        <v>157</v>
      </c>
      <c r="U381" s="8" t="s">
        <v>183</v>
      </c>
      <c r="V381" s="8">
        <v>1</v>
      </c>
      <c r="W381" s="18">
        <v>1</v>
      </c>
      <c r="X381" s="51">
        <v>45659</v>
      </c>
      <c r="Y381" s="51">
        <v>43839</v>
      </c>
      <c r="Z381" s="28">
        <v>81</v>
      </c>
      <c r="AA381" s="16" t="s">
        <v>1701</v>
      </c>
      <c r="AB381" s="8" t="s">
        <v>293</v>
      </c>
      <c r="AC381" s="8" t="s">
        <v>293</v>
      </c>
      <c r="AD381" s="8" t="s">
        <v>134</v>
      </c>
      <c r="AE381" s="8">
        <v>3102700265</v>
      </c>
      <c r="AF381" s="8" t="s">
        <v>276</v>
      </c>
      <c r="AG381" s="8" t="s">
        <v>295</v>
      </c>
      <c r="AH381" s="51">
        <v>29189</v>
      </c>
      <c r="AI381" s="28">
        <v>46</v>
      </c>
      <c r="AJ381" s="51" t="s">
        <v>1853</v>
      </c>
    </row>
    <row r="382" spans="1:36" ht="12.65" customHeight="1" x14ac:dyDescent="0.35">
      <c r="A382" s="8" t="s">
        <v>139</v>
      </c>
      <c r="B382" s="8" t="s">
        <v>136</v>
      </c>
      <c r="C382" s="8" t="s">
        <v>418</v>
      </c>
      <c r="D382" s="34" t="s">
        <v>1246</v>
      </c>
      <c r="E382" s="14" t="s">
        <v>1247</v>
      </c>
      <c r="F382" s="14" t="s">
        <v>57</v>
      </c>
      <c r="G382" s="14" t="s">
        <v>1</v>
      </c>
      <c r="H382" s="14" t="s">
        <v>9</v>
      </c>
      <c r="I382" s="34" t="s">
        <v>758</v>
      </c>
      <c r="J382" s="8" t="s">
        <v>34</v>
      </c>
      <c r="K382" s="69" t="s">
        <v>759</v>
      </c>
      <c r="L382" s="8" t="s">
        <v>382</v>
      </c>
      <c r="M382" s="8" t="s">
        <v>382</v>
      </c>
      <c r="N382" s="8" t="s">
        <v>306</v>
      </c>
      <c r="O382" s="8" t="s">
        <v>11</v>
      </c>
      <c r="P382" s="8" t="s">
        <v>274</v>
      </c>
      <c r="Q382" s="8" t="s">
        <v>275</v>
      </c>
      <c r="R382" s="8" t="s">
        <v>1628</v>
      </c>
      <c r="S382" s="8" t="s">
        <v>247</v>
      </c>
      <c r="T382" s="8" t="s">
        <v>163</v>
      </c>
      <c r="U382" s="8" t="s">
        <v>192</v>
      </c>
      <c r="V382" s="8">
        <v>1</v>
      </c>
      <c r="W382" s="18">
        <v>1</v>
      </c>
      <c r="X382" s="51">
        <v>46001</v>
      </c>
      <c r="Y382" s="51">
        <v>46001</v>
      </c>
      <c r="Z382" s="28">
        <v>10</v>
      </c>
      <c r="AA382" s="16" t="s">
        <v>1711</v>
      </c>
      <c r="AB382" s="8" t="s">
        <v>291</v>
      </c>
      <c r="AC382" s="8" t="s">
        <v>293</v>
      </c>
      <c r="AD382" s="19" t="s">
        <v>137</v>
      </c>
      <c r="AE382" s="19" t="s">
        <v>153</v>
      </c>
      <c r="AF382" s="19" t="s">
        <v>153</v>
      </c>
      <c r="AG382" s="8" t="s">
        <v>292</v>
      </c>
      <c r="AH382" s="51">
        <v>37974</v>
      </c>
      <c r="AI382" s="28">
        <v>22</v>
      </c>
      <c r="AJ382" s="19" t="s">
        <v>1853</v>
      </c>
    </row>
    <row r="383" spans="1:36" ht="12.65" customHeight="1" x14ac:dyDescent="0.35">
      <c r="A383" s="8" t="s">
        <v>139</v>
      </c>
      <c r="B383" s="8" t="s">
        <v>1243</v>
      </c>
      <c r="C383" s="8" t="s">
        <v>135</v>
      </c>
      <c r="D383" s="34" t="s">
        <v>1603</v>
      </c>
      <c r="E383" s="14" t="s">
        <v>1604</v>
      </c>
      <c r="F383" s="14" t="s">
        <v>60</v>
      </c>
      <c r="G383" s="14" t="s">
        <v>1</v>
      </c>
      <c r="H383" s="14" t="s">
        <v>9</v>
      </c>
      <c r="I383" s="34" t="s">
        <v>770</v>
      </c>
      <c r="J383" s="8" t="s">
        <v>33</v>
      </c>
      <c r="K383" s="69" t="s">
        <v>771</v>
      </c>
      <c r="L383" s="8" t="s">
        <v>382</v>
      </c>
      <c r="M383" s="8" t="s">
        <v>382</v>
      </c>
      <c r="N383" s="8" t="s">
        <v>306</v>
      </c>
      <c r="O383" s="8" t="s">
        <v>11</v>
      </c>
      <c r="P383" s="8" t="s">
        <v>274</v>
      </c>
      <c r="Q383" s="8" t="s">
        <v>275</v>
      </c>
      <c r="R383" s="8" t="s">
        <v>1628</v>
      </c>
      <c r="S383" s="8" t="s">
        <v>247</v>
      </c>
      <c r="T383" s="8" t="s">
        <v>163</v>
      </c>
      <c r="U383" s="8" t="s">
        <v>192</v>
      </c>
      <c r="V383" s="8">
        <v>1</v>
      </c>
      <c r="W383" s="18">
        <v>1</v>
      </c>
      <c r="X383" s="51">
        <v>45659</v>
      </c>
      <c r="Y383" s="51">
        <v>43357</v>
      </c>
      <c r="Z383" s="28">
        <v>97</v>
      </c>
      <c r="AA383" s="16" t="s">
        <v>1701</v>
      </c>
      <c r="AB383" s="8" t="s">
        <v>293</v>
      </c>
      <c r="AC383" s="8" t="s">
        <v>293</v>
      </c>
      <c r="AD383" s="19" t="s">
        <v>134</v>
      </c>
      <c r="AE383" s="19">
        <v>3102614016</v>
      </c>
      <c r="AF383" s="19" t="s">
        <v>276</v>
      </c>
      <c r="AG383" s="8" t="s">
        <v>292</v>
      </c>
      <c r="AH383" s="51">
        <v>33371</v>
      </c>
      <c r="AI383" s="28">
        <v>35</v>
      </c>
      <c r="AJ383" s="19" t="s">
        <v>1852</v>
      </c>
    </row>
    <row r="384" spans="1:36" ht="12.65" customHeight="1" x14ac:dyDescent="0.35">
      <c r="A384" s="8" t="s">
        <v>139</v>
      </c>
      <c r="B384" s="8" t="s">
        <v>136</v>
      </c>
      <c r="C384" s="8" t="s">
        <v>135</v>
      </c>
      <c r="D384" s="34" t="s">
        <v>1605</v>
      </c>
      <c r="E384" s="14" t="s">
        <v>1606</v>
      </c>
      <c r="F384" s="14" t="s">
        <v>60</v>
      </c>
      <c r="G384" s="14" t="s">
        <v>1</v>
      </c>
      <c r="H384" s="14" t="s">
        <v>9</v>
      </c>
      <c r="I384" s="34" t="s">
        <v>625</v>
      </c>
      <c r="J384" s="8" t="s">
        <v>626</v>
      </c>
      <c r="K384" s="69" t="s">
        <v>627</v>
      </c>
      <c r="L384" s="8" t="s">
        <v>382</v>
      </c>
      <c r="M384" s="8" t="s">
        <v>382</v>
      </c>
      <c r="N384" s="8" t="s">
        <v>306</v>
      </c>
      <c r="O384" s="8" t="s">
        <v>13</v>
      </c>
      <c r="P384" s="8" t="s">
        <v>285</v>
      </c>
      <c r="Q384" s="8" t="s">
        <v>285</v>
      </c>
      <c r="R384" s="8" t="s">
        <v>225</v>
      </c>
      <c r="S384" s="8" t="s">
        <v>237</v>
      </c>
      <c r="T384" s="8" t="s">
        <v>216</v>
      </c>
      <c r="U384" s="8" t="s">
        <v>192</v>
      </c>
      <c r="V384" s="8">
        <v>1</v>
      </c>
      <c r="W384" s="18">
        <v>1</v>
      </c>
      <c r="X384" s="51">
        <v>45659</v>
      </c>
      <c r="Y384" s="51">
        <v>42072</v>
      </c>
      <c r="Z384" s="28">
        <v>139</v>
      </c>
      <c r="AA384" s="16" t="s">
        <v>1701</v>
      </c>
      <c r="AB384" s="8" t="s">
        <v>291</v>
      </c>
      <c r="AC384" s="8" t="s">
        <v>293</v>
      </c>
      <c r="AD384" s="8" t="s">
        <v>134</v>
      </c>
      <c r="AE384" s="8">
        <v>3102678219</v>
      </c>
      <c r="AF384" s="8" t="s">
        <v>276</v>
      </c>
      <c r="AG384" s="8" t="s">
        <v>292</v>
      </c>
      <c r="AH384" s="51">
        <v>33621</v>
      </c>
      <c r="AI384" s="28">
        <v>34</v>
      </c>
      <c r="AJ384" s="51" t="s">
        <v>1852</v>
      </c>
    </row>
    <row r="385" spans="1:36" ht="12.65" customHeight="1" x14ac:dyDescent="0.35">
      <c r="A385" s="8" t="s">
        <v>139</v>
      </c>
      <c r="B385" s="8" t="s">
        <v>136</v>
      </c>
      <c r="C385" s="8" t="s">
        <v>135</v>
      </c>
      <c r="D385" s="34" t="s">
        <v>1607</v>
      </c>
      <c r="E385" s="14" t="s">
        <v>1608</v>
      </c>
      <c r="F385" s="14" t="s">
        <v>60</v>
      </c>
      <c r="G385" s="14" t="s">
        <v>1</v>
      </c>
      <c r="H385" s="14" t="s">
        <v>9</v>
      </c>
      <c r="I385" s="34" t="s">
        <v>383</v>
      </c>
      <c r="J385" s="8" t="s">
        <v>41</v>
      </c>
      <c r="K385" s="69" t="s">
        <v>384</v>
      </c>
      <c r="L385" s="8" t="s">
        <v>75</v>
      </c>
      <c r="M385" s="8" t="s">
        <v>76</v>
      </c>
      <c r="N385" s="8" t="s">
        <v>306</v>
      </c>
      <c r="O385" s="8" t="s">
        <v>36</v>
      </c>
      <c r="P385" s="8" t="s">
        <v>282</v>
      </c>
      <c r="Q385" s="8" t="s">
        <v>543</v>
      </c>
      <c r="R385" s="8" t="s">
        <v>222</v>
      </c>
      <c r="S385" s="8" t="s">
        <v>237</v>
      </c>
      <c r="T385" s="17" t="s">
        <v>199</v>
      </c>
      <c r="U385" s="8" t="s">
        <v>189</v>
      </c>
      <c r="V385" s="8">
        <v>1</v>
      </c>
      <c r="W385" s="18">
        <v>1</v>
      </c>
      <c r="X385" s="51">
        <v>45659</v>
      </c>
      <c r="Y385" s="51">
        <v>41607</v>
      </c>
      <c r="Z385" s="28">
        <v>154</v>
      </c>
      <c r="AA385" s="16" t="s">
        <v>1701</v>
      </c>
      <c r="AB385" s="8" t="s">
        <v>294</v>
      </c>
      <c r="AC385" s="8" t="s">
        <v>294</v>
      </c>
      <c r="AD385" s="19" t="s">
        <v>134</v>
      </c>
      <c r="AE385" s="19">
        <v>3102672263</v>
      </c>
      <c r="AF385" s="19" t="s">
        <v>276</v>
      </c>
      <c r="AG385" s="8" t="s">
        <v>292</v>
      </c>
      <c r="AH385" s="51">
        <v>33069</v>
      </c>
      <c r="AI385" s="28">
        <v>36</v>
      </c>
      <c r="AJ385" s="51" t="s">
        <v>1853</v>
      </c>
    </row>
    <row r="386" spans="1:36" ht="12.65" customHeight="1" x14ac:dyDescent="0.35">
      <c r="A386" s="8" t="s">
        <v>139</v>
      </c>
      <c r="B386" s="8" t="s">
        <v>136</v>
      </c>
      <c r="C386" s="8" t="s">
        <v>135</v>
      </c>
      <c r="D386" s="33" t="s">
        <v>1795</v>
      </c>
      <c r="E386" s="14" t="s">
        <v>1792</v>
      </c>
      <c r="F386" s="14" t="s">
        <v>57</v>
      </c>
      <c r="G386" s="14" t="s">
        <v>1</v>
      </c>
      <c r="H386" s="14" t="s">
        <v>9</v>
      </c>
      <c r="I386" s="34" t="s">
        <v>1611</v>
      </c>
      <c r="J386" s="8" t="s">
        <v>1612</v>
      </c>
      <c r="K386" s="69" t="s">
        <v>1613</v>
      </c>
      <c r="L386" s="8" t="s">
        <v>1614</v>
      </c>
      <c r="M386" s="8" t="s">
        <v>1573</v>
      </c>
      <c r="N386" s="8" t="s">
        <v>393</v>
      </c>
      <c r="O386" s="8" t="s">
        <v>1615</v>
      </c>
      <c r="P386" s="8" t="s">
        <v>274</v>
      </c>
      <c r="Q386" s="8" t="s">
        <v>275</v>
      </c>
      <c r="R386" s="8" t="s">
        <v>231</v>
      </c>
      <c r="S386" s="8" t="s">
        <v>247</v>
      </c>
      <c r="T386" s="8" t="s">
        <v>255</v>
      </c>
      <c r="U386" s="8" t="s">
        <v>54</v>
      </c>
      <c r="V386" s="8">
        <v>1</v>
      </c>
      <c r="W386" s="18">
        <v>1</v>
      </c>
      <c r="X386" s="54">
        <v>46204</v>
      </c>
      <c r="Y386" s="54">
        <v>46204</v>
      </c>
      <c r="Z386" s="28">
        <v>3</v>
      </c>
      <c r="AA386" s="16" t="s">
        <v>1699</v>
      </c>
      <c r="AB386" s="8" t="s">
        <v>291</v>
      </c>
      <c r="AC386" s="8" t="s">
        <v>291</v>
      </c>
      <c r="AD386" s="54" t="s">
        <v>137</v>
      </c>
      <c r="AE386" s="41" t="s">
        <v>153</v>
      </c>
      <c r="AF386" s="54" t="s">
        <v>153</v>
      </c>
      <c r="AG386" s="8" t="s">
        <v>295</v>
      </c>
      <c r="AH386" s="51">
        <v>34159</v>
      </c>
      <c r="AI386" s="28">
        <v>33</v>
      </c>
      <c r="AJ386" s="51" t="s">
        <v>1853</v>
      </c>
    </row>
    <row r="387" spans="1:36" ht="12.65" customHeight="1" x14ac:dyDescent="0.35">
      <c r="A387" s="8" t="s">
        <v>139</v>
      </c>
      <c r="B387" s="8" t="s">
        <v>136</v>
      </c>
      <c r="C387" s="8" t="s">
        <v>135</v>
      </c>
      <c r="D387" s="34" t="s">
        <v>1616</v>
      </c>
      <c r="E387" s="8" t="s">
        <v>1617</v>
      </c>
      <c r="F387" s="14" t="s">
        <v>60</v>
      </c>
      <c r="G387" s="14" t="s">
        <v>1</v>
      </c>
      <c r="H387" s="14" t="s">
        <v>9</v>
      </c>
      <c r="I387" s="34" t="s">
        <v>616</v>
      </c>
      <c r="J387" s="8" t="s">
        <v>617</v>
      </c>
      <c r="K387" s="69" t="s">
        <v>618</v>
      </c>
      <c r="L387" s="8" t="s">
        <v>299</v>
      </c>
      <c r="M387" s="8" t="s">
        <v>299</v>
      </c>
      <c r="N387" s="8" t="s">
        <v>306</v>
      </c>
      <c r="O387" s="8" t="s">
        <v>11</v>
      </c>
      <c r="P387" s="8" t="s">
        <v>274</v>
      </c>
      <c r="Q387" s="8" t="s">
        <v>275</v>
      </c>
      <c r="R387" s="8" t="s">
        <v>231</v>
      </c>
      <c r="S387" s="8" t="s">
        <v>247</v>
      </c>
      <c r="T387" s="8" t="s">
        <v>208</v>
      </c>
      <c r="U387" s="14" t="s">
        <v>194</v>
      </c>
      <c r="V387" s="8">
        <v>1</v>
      </c>
      <c r="W387" s="18">
        <v>1</v>
      </c>
      <c r="X387" s="51">
        <v>45659</v>
      </c>
      <c r="Y387" s="51">
        <v>40566</v>
      </c>
      <c r="Z387" s="28">
        <v>188</v>
      </c>
      <c r="AA387" s="16" t="s">
        <v>1701</v>
      </c>
      <c r="AB387" s="8" t="s">
        <v>291</v>
      </c>
      <c r="AC387" s="8" t="s">
        <v>291</v>
      </c>
      <c r="AD387" s="8" t="s">
        <v>134</v>
      </c>
      <c r="AE387" s="8">
        <v>3102609890</v>
      </c>
      <c r="AF387" s="8" t="s">
        <v>276</v>
      </c>
      <c r="AG387" s="8" t="s">
        <v>292</v>
      </c>
      <c r="AH387" s="51">
        <v>30330</v>
      </c>
      <c r="AI387" s="28">
        <v>43</v>
      </c>
      <c r="AJ387" s="51" t="s">
        <v>1853</v>
      </c>
    </row>
    <row r="388" spans="1:36" ht="12.65" customHeight="1" x14ac:dyDescent="0.35">
      <c r="A388" s="8" t="s">
        <v>139</v>
      </c>
      <c r="B388" s="8" t="s">
        <v>136</v>
      </c>
      <c r="C388" s="8" t="s">
        <v>135</v>
      </c>
      <c r="D388" s="34" t="s">
        <v>1618</v>
      </c>
      <c r="E388" s="8" t="s">
        <v>1619</v>
      </c>
      <c r="F388" s="14" t="s">
        <v>60</v>
      </c>
      <c r="G388" s="14" t="s">
        <v>1</v>
      </c>
      <c r="H388" s="14" t="s">
        <v>9</v>
      </c>
      <c r="I388" s="34" t="s">
        <v>1620</v>
      </c>
      <c r="J388" s="8" t="s">
        <v>1621</v>
      </c>
      <c r="K388" s="69" t="s">
        <v>1622</v>
      </c>
      <c r="L388" s="8" t="s">
        <v>1614</v>
      </c>
      <c r="M388" s="8" t="s">
        <v>1573</v>
      </c>
      <c r="N388" s="8" t="s">
        <v>393</v>
      </c>
      <c r="O388" s="8" t="s">
        <v>13</v>
      </c>
      <c r="P388" s="8" t="s">
        <v>285</v>
      </c>
      <c r="Q388" s="8" t="s">
        <v>285</v>
      </c>
      <c r="R388" s="8" t="s">
        <v>225</v>
      </c>
      <c r="S388" s="8" t="s">
        <v>237</v>
      </c>
      <c r="T388" s="8" t="s">
        <v>255</v>
      </c>
      <c r="U388" s="8" t="s">
        <v>54</v>
      </c>
      <c r="V388" s="8">
        <v>1</v>
      </c>
      <c r="W388" s="18">
        <v>1</v>
      </c>
      <c r="X388" s="51">
        <v>46059</v>
      </c>
      <c r="Y388" s="51">
        <v>46059</v>
      </c>
      <c r="Z388" s="28">
        <v>8</v>
      </c>
      <c r="AA388" s="16" t="s">
        <v>1710</v>
      </c>
      <c r="AB388" s="8" t="s">
        <v>291</v>
      </c>
      <c r="AC388" s="8" t="s">
        <v>291</v>
      </c>
      <c r="AD388" s="8" t="s">
        <v>137</v>
      </c>
      <c r="AE388" s="8">
        <v>3102627604</v>
      </c>
      <c r="AF388" s="8" t="s">
        <v>276</v>
      </c>
      <c r="AG388" s="8" t="s">
        <v>295</v>
      </c>
      <c r="AH388" s="51">
        <v>38370</v>
      </c>
      <c r="AI388" s="28">
        <v>21</v>
      </c>
      <c r="AJ388" s="51" t="s">
        <v>1852</v>
      </c>
    </row>
    <row r="389" spans="1:36" ht="12.65" customHeight="1" x14ac:dyDescent="0.35">
      <c r="A389" s="8" t="s">
        <v>139</v>
      </c>
      <c r="B389" s="8" t="s">
        <v>136</v>
      </c>
      <c r="C389" s="8" t="s">
        <v>135</v>
      </c>
      <c r="D389" s="34" t="s">
        <v>1623</v>
      </c>
      <c r="E389" s="14" t="s">
        <v>1624</v>
      </c>
      <c r="F389" s="14" t="s">
        <v>60</v>
      </c>
      <c r="G389" s="14" t="s">
        <v>1</v>
      </c>
      <c r="H389" s="14" t="s">
        <v>9</v>
      </c>
      <c r="I389" s="34" t="s">
        <v>619</v>
      </c>
      <c r="J389" s="8" t="s">
        <v>620</v>
      </c>
      <c r="K389" s="69" t="s">
        <v>621</v>
      </c>
      <c r="L389" s="8" t="s">
        <v>299</v>
      </c>
      <c r="M389" s="8" t="s">
        <v>299</v>
      </c>
      <c r="N389" s="8" t="s">
        <v>306</v>
      </c>
      <c r="O389" s="8" t="s">
        <v>13</v>
      </c>
      <c r="P389" s="8" t="s">
        <v>285</v>
      </c>
      <c r="Q389" s="8" t="s">
        <v>285</v>
      </c>
      <c r="R389" s="8" t="s">
        <v>225</v>
      </c>
      <c r="S389" s="8" t="s">
        <v>237</v>
      </c>
      <c r="T389" s="8" t="s">
        <v>175</v>
      </c>
      <c r="U389" s="14" t="s">
        <v>194</v>
      </c>
      <c r="V389" s="8">
        <v>1</v>
      </c>
      <c r="W389" s="18">
        <v>1</v>
      </c>
      <c r="X389" s="51">
        <v>45659</v>
      </c>
      <c r="Y389" s="51">
        <v>42264</v>
      </c>
      <c r="Z389" s="28">
        <v>132</v>
      </c>
      <c r="AA389" s="16" t="s">
        <v>1701</v>
      </c>
      <c r="AB389" s="8" t="s">
        <v>294</v>
      </c>
      <c r="AC389" s="8" t="s">
        <v>291</v>
      </c>
      <c r="AD389" s="19" t="s">
        <v>134</v>
      </c>
      <c r="AE389" s="19">
        <v>3102631535</v>
      </c>
      <c r="AF389" s="19" t="s">
        <v>276</v>
      </c>
      <c r="AG389" s="8" t="s">
        <v>292</v>
      </c>
      <c r="AH389" s="51">
        <v>33466</v>
      </c>
      <c r="AI389" s="28">
        <v>35</v>
      </c>
      <c r="AJ389" s="51" t="s">
        <v>1852</v>
      </c>
    </row>
    <row r="390" spans="1:36" ht="12.65" customHeight="1" x14ac:dyDescent="0.35">
      <c r="A390" s="8" t="s">
        <v>139</v>
      </c>
      <c r="B390" s="8" t="s">
        <v>1243</v>
      </c>
      <c r="C390" s="8" t="s">
        <v>135</v>
      </c>
      <c r="D390" s="33" t="s">
        <v>1764</v>
      </c>
      <c r="E390" s="14" t="s">
        <v>1763</v>
      </c>
      <c r="F390" s="14" t="s">
        <v>57</v>
      </c>
      <c r="G390" s="14" t="s">
        <v>1</v>
      </c>
      <c r="H390" s="14" t="s">
        <v>9</v>
      </c>
      <c r="I390" s="34" t="s">
        <v>332</v>
      </c>
      <c r="J390" s="8" t="s">
        <v>101</v>
      </c>
      <c r="K390" s="69" t="s">
        <v>333</v>
      </c>
      <c r="L390" s="8" t="s">
        <v>75</v>
      </c>
      <c r="M390" s="8" t="s">
        <v>75</v>
      </c>
      <c r="N390" s="8" t="s">
        <v>306</v>
      </c>
      <c r="O390" s="8" t="s">
        <v>11</v>
      </c>
      <c r="P390" s="8" t="s">
        <v>274</v>
      </c>
      <c r="Q390" s="8" t="s">
        <v>275</v>
      </c>
      <c r="R390" s="8" t="s">
        <v>1628</v>
      </c>
      <c r="S390" s="8" t="s">
        <v>247</v>
      </c>
      <c r="T390" s="8" t="s">
        <v>172</v>
      </c>
      <c r="U390" s="8" t="s">
        <v>189</v>
      </c>
      <c r="V390" s="8">
        <v>1</v>
      </c>
      <c r="W390" s="18">
        <v>1</v>
      </c>
      <c r="X390" s="51">
        <v>46233</v>
      </c>
      <c r="Y390" s="51">
        <v>46233</v>
      </c>
      <c r="Z390" s="28">
        <v>2</v>
      </c>
      <c r="AA390" s="16" t="s">
        <v>1698</v>
      </c>
      <c r="AB390" s="8" t="s">
        <v>294</v>
      </c>
      <c r="AC390" s="8" t="s">
        <v>294</v>
      </c>
      <c r="AD390" s="19" t="s">
        <v>137</v>
      </c>
      <c r="AE390" s="19" t="s">
        <v>153</v>
      </c>
      <c r="AF390" s="19" t="s">
        <v>153</v>
      </c>
      <c r="AG390" s="8" t="s">
        <v>292</v>
      </c>
      <c r="AH390" s="51">
        <v>37391</v>
      </c>
      <c r="AI390" s="28">
        <v>24</v>
      </c>
      <c r="AJ390" s="51" t="s">
        <v>1852</v>
      </c>
    </row>
    <row r="391" spans="1:36" ht="12.65" customHeight="1" x14ac:dyDescent="0.35">
      <c r="A391" s="8" t="s">
        <v>4</v>
      </c>
      <c r="B391" s="8" t="s">
        <v>136</v>
      </c>
      <c r="C391" s="8" t="s">
        <v>135</v>
      </c>
      <c r="D391" s="33" t="s">
        <v>1914</v>
      </c>
      <c r="E391" s="14" t="s">
        <v>4</v>
      </c>
      <c r="F391" s="14" t="s">
        <v>60</v>
      </c>
      <c r="G391" s="14" t="s">
        <v>1</v>
      </c>
      <c r="H391" s="14" t="s">
        <v>9</v>
      </c>
      <c r="I391" s="34" t="s">
        <v>1611</v>
      </c>
      <c r="J391" s="8" t="s">
        <v>1612</v>
      </c>
      <c r="K391" s="69" t="s">
        <v>1613</v>
      </c>
      <c r="L391" s="8" t="s">
        <v>1614</v>
      </c>
      <c r="M391" s="8" t="s">
        <v>1573</v>
      </c>
      <c r="N391" s="8" t="s">
        <v>393</v>
      </c>
      <c r="O391" s="8" t="s">
        <v>1615</v>
      </c>
      <c r="P391" s="8" t="s">
        <v>274</v>
      </c>
      <c r="Q391" s="8" t="s">
        <v>275</v>
      </c>
      <c r="R391" s="8" t="s">
        <v>231</v>
      </c>
      <c r="S391" s="8" t="s">
        <v>247</v>
      </c>
      <c r="T391" s="8" t="s">
        <v>255</v>
      </c>
      <c r="U391" s="8" t="s">
        <v>54</v>
      </c>
      <c r="V391" s="8">
        <v>1</v>
      </c>
      <c r="W391" s="18">
        <v>1</v>
      </c>
      <c r="X391" s="54" t="s">
        <v>4</v>
      </c>
      <c r="Y391" s="54" t="s">
        <v>14</v>
      </c>
      <c r="Z391" s="28" t="s">
        <v>14</v>
      </c>
      <c r="AA391" s="16" t="s">
        <v>14</v>
      </c>
      <c r="AB391" s="8" t="s">
        <v>291</v>
      </c>
      <c r="AC391" s="8" t="s">
        <v>291</v>
      </c>
      <c r="AD391" s="8" t="s">
        <v>4</v>
      </c>
      <c r="AE391" s="8" t="s">
        <v>4</v>
      </c>
      <c r="AF391" s="8" t="s">
        <v>4</v>
      </c>
      <c r="AG391" s="8" t="s">
        <v>295</v>
      </c>
      <c r="AH391" s="51" t="s">
        <v>4</v>
      </c>
      <c r="AI391" s="28" t="s">
        <v>4</v>
      </c>
      <c r="AJ391" s="51" t="s">
        <v>4</v>
      </c>
    </row>
    <row r="392" spans="1:36" ht="12.65" customHeight="1" x14ac:dyDescent="0.35">
      <c r="A392" s="8" t="s">
        <v>139</v>
      </c>
      <c r="B392" s="8" t="s">
        <v>136</v>
      </c>
      <c r="C392" s="8" t="s">
        <v>50</v>
      </c>
      <c r="D392" s="34" t="s">
        <v>1843</v>
      </c>
      <c r="E392" s="14" t="s">
        <v>1841</v>
      </c>
      <c r="F392" s="14" t="s">
        <v>57</v>
      </c>
      <c r="G392" s="14" t="s">
        <v>1</v>
      </c>
      <c r="H392" s="14" t="s">
        <v>9</v>
      </c>
      <c r="I392" s="34" t="s">
        <v>449</v>
      </c>
      <c r="J392" s="8" t="s">
        <v>97</v>
      </c>
      <c r="K392" s="69" t="s">
        <v>450</v>
      </c>
      <c r="L392" s="8" t="s">
        <v>75</v>
      </c>
      <c r="M392" s="8" t="s">
        <v>75</v>
      </c>
      <c r="N392" s="8" t="s">
        <v>306</v>
      </c>
      <c r="O392" s="8" t="s">
        <v>11</v>
      </c>
      <c r="P392" s="8" t="s">
        <v>274</v>
      </c>
      <c r="Q392" s="8" t="s">
        <v>275</v>
      </c>
      <c r="R392" s="8" t="s">
        <v>1628</v>
      </c>
      <c r="S392" s="8" t="s">
        <v>247</v>
      </c>
      <c r="T392" s="8" t="s">
        <v>172</v>
      </c>
      <c r="U392" s="8" t="s">
        <v>189</v>
      </c>
      <c r="V392" s="8">
        <v>1</v>
      </c>
      <c r="W392" s="18">
        <v>1</v>
      </c>
      <c r="X392" s="51">
        <v>46248</v>
      </c>
      <c r="Y392" s="51">
        <v>46248</v>
      </c>
      <c r="Z392" s="28">
        <v>2</v>
      </c>
      <c r="AA392" s="16" t="s">
        <v>1698</v>
      </c>
      <c r="AB392" s="8" t="s">
        <v>294</v>
      </c>
      <c r="AC392" s="8" t="s">
        <v>294</v>
      </c>
      <c r="AD392" s="51" t="s">
        <v>137</v>
      </c>
      <c r="AE392" s="19" t="s">
        <v>153</v>
      </c>
      <c r="AF392" s="51" t="s">
        <v>153</v>
      </c>
      <c r="AG392" s="8" t="s">
        <v>292</v>
      </c>
      <c r="AH392" s="51">
        <v>34292</v>
      </c>
      <c r="AI392" s="28">
        <v>32</v>
      </c>
      <c r="AJ392" s="51" t="s">
        <v>1853</v>
      </c>
    </row>
    <row r="393" spans="1:36" ht="12.65" customHeight="1" x14ac:dyDescent="0.35">
      <c r="A393" s="8" t="s">
        <v>139</v>
      </c>
      <c r="B393" s="8" t="s">
        <v>136</v>
      </c>
      <c r="C393" s="8" t="s">
        <v>135</v>
      </c>
      <c r="D393" s="34" t="s">
        <v>1629</v>
      </c>
      <c r="E393" s="14" t="s">
        <v>1630</v>
      </c>
      <c r="F393" s="14" t="s">
        <v>60</v>
      </c>
      <c r="G393" s="14" t="s">
        <v>1</v>
      </c>
      <c r="H393" s="14" t="s">
        <v>9</v>
      </c>
      <c r="I393" s="34" t="s">
        <v>1339</v>
      </c>
      <c r="J393" s="8" t="s">
        <v>1340</v>
      </c>
      <c r="K393" s="69" t="s">
        <v>781</v>
      </c>
      <c r="L393" s="8" t="s">
        <v>548</v>
      </c>
      <c r="M393" s="8" t="s">
        <v>548</v>
      </c>
      <c r="N393" s="8" t="s">
        <v>306</v>
      </c>
      <c r="O393" s="8" t="s">
        <v>15</v>
      </c>
      <c r="P393" s="8" t="s">
        <v>288</v>
      </c>
      <c r="Q393" s="8" t="s">
        <v>326</v>
      </c>
      <c r="R393" s="8" t="s">
        <v>234</v>
      </c>
      <c r="S393" s="8" t="s">
        <v>241</v>
      </c>
      <c r="T393" s="8" t="s">
        <v>160</v>
      </c>
      <c r="U393" s="8" t="s">
        <v>186</v>
      </c>
      <c r="V393" s="8">
        <v>1</v>
      </c>
      <c r="W393" s="18">
        <v>1</v>
      </c>
      <c r="X393" s="51">
        <v>45659</v>
      </c>
      <c r="Y393" s="51">
        <v>40913</v>
      </c>
      <c r="Z393" s="28">
        <v>177</v>
      </c>
      <c r="AA393" s="16" t="s">
        <v>1701</v>
      </c>
      <c r="AB393" s="8" t="s">
        <v>291</v>
      </c>
      <c r="AC393" s="8" t="s">
        <v>291</v>
      </c>
      <c r="AD393" s="8" t="s">
        <v>134</v>
      </c>
      <c r="AE393" s="8">
        <v>3102687059</v>
      </c>
      <c r="AF393" s="8" t="s">
        <v>276</v>
      </c>
      <c r="AG393" s="8" t="s">
        <v>292</v>
      </c>
      <c r="AH393" s="51">
        <v>29425</v>
      </c>
      <c r="AI393" s="28">
        <v>46</v>
      </c>
      <c r="AJ393" s="51" t="s">
        <v>1853</v>
      </c>
    </row>
    <row r="394" spans="1:36" ht="12.65" customHeight="1" x14ac:dyDescent="0.35">
      <c r="A394" s="8" t="s">
        <v>139</v>
      </c>
      <c r="B394" s="8" t="s">
        <v>136</v>
      </c>
      <c r="C394" s="8" t="s">
        <v>135</v>
      </c>
      <c r="D394" s="34" t="s">
        <v>1631</v>
      </c>
      <c r="E394" s="14" t="s">
        <v>1632</v>
      </c>
      <c r="F394" s="14" t="s">
        <v>60</v>
      </c>
      <c r="G394" s="14" t="s">
        <v>1</v>
      </c>
      <c r="H394" s="14" t="s">
        <v>9</v>
      </c>
      <c r="I394" s="34" t="s">
        <v>1633</v>
      </c>
      <c r="J394" s="8" t="s">
        <v>1634</v>
      </c>
      <c r="K394" s="69" t="s">
        <v>1635</v>
      </c>
      <c r="L394" s="8" t="s">
        <v>1614</v>
      </c>
      <c r="M394" s="8" t="s">
        <v>1573</v>
      </c>
      <c r="N394" s="8" t="s">
        <v>393</v>
      </c>
      <c r="O394" s="8" t="s">
        <v>151</v>
      </c>
      <c r="P394" s="8" t="s">
        <v>289</v>
      </c>
      <c r="Q394" s="8" t="s">
        <v>331</v>
      </c>
      <c r="R394" s="8" t="s">
        <v>222</v>
      </c>
      <c r="S394" s="8" t="s">
        <v>237</v>
      </c>
      <c r="T394" s="8" t="s">
        <v>255</v>
      </c>
      <c r="U394" s="8" t="s">
        <v>54</v>
      </c>
      <c r="V394" s="8">
        <v>1</v>
      </c>
      <c r="W394" s="18">
        <v>1</v>
      </c>
      <c r="X394" s="51">
        <v>45898</v>
      </c>
      <c r="Y394" s="51">
        <v>45898</v>
      </c>
      <c r="Z394" s="28">
        <v>13</v>
      </c>
      <c r="AA394" s="16" t="s">
        <v>1700</v>
      </c>
      <c r="AB394" s="8" t="s">
        <v>307</v>
      </c>
      <c r="AC394" s="8" t="s">
        <v>307</v>
      </c>
      <c r="AD394" s="8" t="s">
        <v>137</v>
      </c>
      <c r="AE394" s="8">
        <v>3043709955</v>
      </c>
      <c r="AF394" s="8" t="s">
        <v>276</v>
      </c>
      <c r="AG394" s="8" t="s">
        <v>295</v>
      </c>
      <c r="AH394" s="51">
        <v>38160</v>
      </c>
      <c r="AI394" s="28">
        <v>22</v>
      </c>
      <c r="AJ394" s="51" t="s">
        <v>1852</v>
      </c>
    </row>
    <row r="395" spans="1:36" ht="12.65" customHeight="1" x14ac:dyDescent="0.35">
      <c r="A395" s="8" t="s">
        <v>139</v>
      </c>
      <c r="B395" s="8" t="s">
        <v>136</v>
      </c>
      <c r="C395" s="8" t="s">
        <v>135</v>
      </c>
      <c r="D395" s="34" t="s">
        <v>1636</v>
      </c>
      <c r="E395" s="14" t="s">
        <v>1637</v>
      </c>
      <c r="F395" s="14" t="s">
        <v>60</v>
      </c>
      <c r="G395" s="14" t="s">
        <v>1</v>
      </c>
      <c r="H395" s="14" t="s">
        <v>9</v>
      </c>
      <c r="I395" s="34" t="s">
        <v>1638</v>
      </c>
      <c r="J395" s="8" t="s">
        <v>1639</v>
      </c>
      <c r="K395" s="69" t="s">
        <v>1640</v>
      </c>
      <c r="L395" s="8" t="s">
        <v>1614</v>
      </c>
      <c r="M395" s="8" t="s">
        <v>1641</v>
      </c>
      <c r="N395" s="8" t="s">
        <v>393</v>
      </c>
      <c r="O395" s="8" t="s">
        <v>11</v>
      </c>
      <c r="P395" s="8" t="s">
        <v>274</v>
      </c>
      <c r="Q395" s="8" t="s">
        <v>275</v>
      </c>
      <c r="R395" s="8" t="s">
        <v>231</v>
      </c>
      <c r="S395" s="8" t="s">
        <v>247</v>
      </c>
      <c r="T395" s="8" t="s">
        <v>255</v>
      </c>
      <c r="U395" s="8" t="s">
        <v>54</v>
      </c>
      <c r="V395" s="8">
        <v>1</v>
      </c>
      <c r="W395" s="18">
        <v>1</v>
      </c>
      <c r="X395" s="51">
        <v>45678</v>
      </c>
      <c r="Y395" s="51">
        <v>45678</v>
      </c>
      <c r="Z395" s="28">
        <v>20</v>
      </c>
      <c r="AA395" s="16" t="s">
        <v>1700</v>
      </c>
      <c r="AB395" s="8" t="s">
        <v>307</v>
      </c>
      <c r="AC395" s="8" t="s">
        <v>307</v>
      </c>
      <c r="AD395" s="8" t="s">
        <v>134</v>
      </c>
      <c r="AE395" s="8">
        <v>3102676856</v>
      </c>
      <c r="AF395" s="8" t="s">
        <v>276</v>
      </c>
      <c r="AG395" s="8" t="s">
        <v>295</v>
      </c>
      <c r="AH395" s="51">
        <v>31055</v>
      </c>
      <c r="AI395" s="28">
        <v>41</v>
      </c>
      <c r="AJ395" s="51" t="s">
        <v>1853</v>
      </c>
    </row>
    <row r="396" spans="1:36" ht="12.65" customHeight="1" x14ac:dyDescent="0.35">
      <c r="A396" s="8" t="s">
        <v>139</v>
      </c>
      <c r="B396" s="8" t="s">
        <v>136</v>
      </c>
      <c r="C396" s="8" t="s">
        <v>135</v>
      </c>
      <c r="D396" s="33" t="s">
        <v>1697</v>
      </c>
      <c r="E396" s="14" t="s">
        <v>1905</v>
      </c>
      <c r="F396" s="14" t="s">
        <v>61</v>
      </c>
      <c r="G396" s="14" t="s">
        <v>1</v>
      </c>
      <c r="H396" s="14" t="s">
        <v>9</v>
      </c>
      <c r="I396" s="34" t="s">
        <v>297</v>
      </c>
      <c r="J396" s="8" t="s">
        <v>902</v>
      </c>
      <c r="K396" s="69" t="s">
        <v>298</v>
      </c>
      <c r="L396" s="8" t="s">
        <v>299</v>
      </c>
      <c r="M396" s="8" t="s">
        <v>299</v>
      </c>
      <c r="N396" s="8" t="s">
        <v>306</v>
      </c>
      <c r="O396" s="8" t="s">
        <v>13</v>
      </c>
      <c r="P396" s="8" t="s">
        <v>285</v>
      </c>
      <c r="Q396" s="8" t="s">
        <v>285</v>
      </c>
      <c r="R396" s="8" t="s">
        <v>225</v>
      </c>
      <c r="S396" s="8" t="s">
        <v>237</v>
      </c>
      <c r="T396" s="8" t="s">
        <v>175</v>
      </c>
      <c r="U396" s="8" t="s">
        <v>194</v>
      </c>
      <c r="V396" s="8">
        <v>1</v>
      </c>
      <c r="W396" s="18">
        <v>1</v>
      </c>
      <c r="X396" s="51">
        <v>46310</v>
      </c>
      <c r="Y396" s="51">
        <v>46310</v>
      </c>
      <c r="Z396" s="28">
        <v>0</v>
      </c>
      <c r="AA396" s="16" t="s">
        <v>1698</v>
      </c>
      <c r="AB396" s="8" t="s">
        <v>291</v>
      </c>
      <c r="AC396" s="8" t="s">
        <v>291</v>
      </c>
      <c r="AD396" s="51" t="s">
        <v>137</v>
      </c>
      <c r="AE396" s="19" t="s">
        <v>153</v>
      </c>
      <c r="AF396" s="51" t="s">
        <v>153</v>
      </c>
      <c r="AG396" s="8" t="s">
        <v>292</v>
      </c>
      <c r="AH396" s="51" t="s">
        <v>4</v>
      </c>
      <c r="AI396" s="28" t="s">
        <v>4</v>
      </c>
      <c r="AJ396" s="51" t="s">
        <v>4</v>
      </c>
    </row>
    <row r="397" spans="1:36" ht="12.65" customHeight="1" x14ac:dyDescent="0.35">
      <c r="A397" s="8" t="s">
        <v>139</v>
      </c>
      <c r="B397" s="8" t="s">
        <v>1243</v>
      </c>
      <c r="C397" s="8" t="s">
        <v>135</v>
      </c>
      <c r="D397" s="35" t="s">
        <v>1644</v>
      </c>
      <c r="E397" s="14" t="s">
        <v>1645</v>
      </c>
      <c r="F397" s="14" t="s">
        <v>60</v>
      </c>
      <c r="G397" s="14" t="s">
        <v>1</v>
      </c>
      <c r="H397" s="14" t="s">
        <v>9</v>
      </c>
      <c r="I397" s="34" t="s">
        <v>368</v>
      </c>
      <c r="J397" s="8" t="s">
        <v>102</v>
      </c>
      <c r="K397" s="69" t="s">
        <v>369</v>
      </c>
      <c r="L397" s="8" t="s">
        <v>75</v>
      </c>
      <c r="M397" s="8" t="s">
        <v>75</v>
      </c>
      <c r="N397" s="8" t="s">
        <v>306</v>
      </c>
      <c r="O397" s="8" t="s">
        <v>29</v>
      </c>
      <c r="P397" s="8" t="s">
        <v>277</v>
      </c>
      <c r="Q397" s="8" t="s">
        <v>278</v>
      </c>
      <c r="R397" s="8" t="s">
        <v>231</v>
      </c>
      <c r="S397" s="8" t="s">
        <v>247</v>
      </c>
      <c r="T397" s="8" t="s">
        <v>211</v>
      </c>
      <c r="U397" s="8" t="s">
        <v>189</v>
      </c>
      <c r="V397" s="8">
        <v>1</v>
      </c>
      <c r="W397" s="18">
        <v>1</v>
      </c>
      <c r="X397" s="51">
        <v>45659</v>
      </c>
      <c r="Y397" s="51">
        <v>44316</v>
      </c>
      <c r="Z397" s="28">
        <v>65</v>
      </c>
      <c r="AA397" s="16" t="s">
        <v>1701</v>
      </c>
      <c r="AB397" s="8" t="s">
        <v>291</v>
      </c>
      <c r="AC397" s="8" t="s">
        <v>291</v>
      </c>
      <c r="AD397" s="8" t="s">
        <v>134</v>
      </c>
      <c r="AE397" s="8">
        <v>3102614673</v>
      </c>
      <c r="AF397" s="8" t="s">
        <v>276</v>
      </c>
      <c r="AG397" s="8" t="s">
        <v>292</v>
      </c>
      <c r="AH397" s="51">
        <v>33064</v>
      </c>
      <c r="AI397" s="28">
        <v>36</v>
      </c>
      <c r="AJ397" s="51" t="s">
        <v>1853</v>
      </c>
    </row>
    <row r="398" spans="1:36" ht="12.65" customHeight="1" x14ac:dyDescent="0.35">
      <c r="A398" s="8" t="s">
        <v>139</v>
      </c>
      <c r="B398" s="8" t="s">
        <v>1243</v>
      </c>
      <c r="C398" s="8" t="s">
        <v>135</v>
      </c>
      <c r="D398" s="34" t="s">
        <v>1646</v>
      </c>
      <c r="E398" s="14" t="s">
        <v>1647</v>
      </c>
      <c r="F398" s="14" t="s">
        <v>60</v>
      </c>
      <c r="G398" s="14" t="s">
        <v>1</v>
      </c>
      <c r="H398" s="14" t="s">
        <v>9</v>
      </c>
      <c r="I398" s="34" t="s">
        <v>592</v>
      </c>
      <c r="J398" s="8" t="s">
        <v>593</v>
      </c>
      <c r="K398" s="69" t="s">
        <v>594</v>
      </c>
      <c r="L398" s="8" t="s">
        <v>382</v>
      </c>
      <c r="M398" s="8" t="s">
        <v>382</v>
      </c>
      <c r="N398" s="8" t="s">
        <v>306</v>
      </c>
      <c r="O398" s="8" t="s">
        <v>13</v>
      </c>
      <c r="P398" s="8" t="s">
        <v>285</v>
      </c>
      <c r="Q398" s="8" t="s">
        <v>285</v>
      </c>
      <c r="R398" s="8" t="s">
        <v>225</v>
      </c>
      <c r="S398" s="8" t="s">
        <v>237</v>
      </c>
      <c r="T398" s="8" t="s">
        <v>216</v>
      </c>
      <c r="U398" s="8" t="s">
        <v>192</v>
      </c>
      <c r="V398" s="8">
        <v>1</v>
      </c>
      <c r="W398" s="18">
        <v>1</v>
      </c>
      <c r="X398" s="51">
        <v>45659</v>
      </c>
      <c r="Y398" s="51">
        <v>43532</v>
      </c>
      <c r="Z398" s="28">
        <v>91</v>
      </c>
      <c r="AA398" s="16" t="s">
        <v>1701</v>
      </c>
      <c r="AB398" s="8" t="s">
        <v>291</v>
      </c>
      <c r="AC398" s="8" t="s">
        <v>293</v>
      </c>
      <c r="AD398" s="8" t="s">
        <v>134</v>
      </c>
      <c r="AE398" s="8">
        <v>3102655210</v>
      </c>
      <c r="AF398" s="8" t="s">
        <v>276</v>
      </c>
      <c r="AG398" s="8" t="s">
        <v>292</v>
      </c>
      <c r="AH398" s="51">
        <v>34856</v>
      </c>
      <c r="AI398" s="28">
        <v>31</v>
      </c>
      <c r="AJ398" s="51" t="s">
        <v>1853</v>
      </c>
    </row>
    <row r="399" spans="1:36" ht="12.65" customHeight="1" x14ac:dyDescent="0.35">
      <c r="A399" s="8" t="s">
        <v>139</v>
      </c>
      <c r="B399" s="8" t="s">
        <v>136</v>
      </c>
      <c r="C399" s="8" t="s">
        <v>135</v>
      </c>
      <c r="D399" s="35" t="s">
        <v>1563</v>
      </c>
      <c r="E399" s="14" t="s">
        <v>1564</v>
      </c>
      <c r="F399" s="14" t="s">
        <v>59</v>
      </c>
      <c r="G399" s="14" t="s">
        <v>1</v>
      </c>
      <c r="H399" s="14" t="s">
        <v>9</v>
      </c>
      <c r="I399" s="34" t="s">
        <v>366</v>
      </c>
      <c r="J399" s="8" t="s">
        <v>105</v>
      </c>
      <c r="K399" s="69" t="s">
        <v>367</v>
      </c>
      <c r="L399" s="8" t="s">
        <v>75</v>
      </c>
      <c r="M399" s="8" t="s">
        <v>75</v>
      </c>
      <c r="N399" s="8" t="s">
        <v>306</v>
      </c>
      <c r="O399" s="8" t="s">
        <v>11</v>
      </c>
      <c r="P399" s="8" t="s">
        <v>274</v>
      </c>
      <c r="Q399" s="8" t="s">
        <v>275</v>
      </c>
      <c r="R399" s="8" t="s">
        <v>1628</v>
      </c>
      <c r="S399" s="8" t="s">
        <v>247</v>
      </c>
      <c r="T399" s="8" t="s">
        <v>202</v>
      </c>
      <c r="U399" s="8" t="s">
        <v>189</v>
      </c>
      <c r="V399" s="8">
        <v>1</v>
      </c>
      <c r="W399" s="18">
        <v>1</v>
      </c>
      <c r="X399" s="51">
        <v>45659</v>
      </c>
      <c r="Y399" s="51">
        <v>43388</v>
      </c>
      <c r="Z399" s="28">
        <v>96</v>
      </c>
      <c r="AA399" s="16" t="s">
        <v>1701</v>
      </c>
      <c r="AB399" s="8" t="s">
        <v>291</v>
      </c>
      <c r="AC399" s="8" t="s">
        <v>291</v>
      </c>
      <c r="AD399" s="8" t="s">
        <v>134</v>
      </c>
      <c r="AE399" s="8">
        <v>3102616545</v>
      </c>
      <c r="AF399" s="8" t="s">
        <v>276</v>
      </c>
      <c r="AG399" s="8" t="s">
        <v>292</v>
      </c>
      <c r="AH399" s="51">
        <v>29750</v>
      </c>
      <c r="AI399" s="28">
        <v>45</v>
      </c>
      <c r="AJ399" s="51" t="s">
        <v>1853</v>
      </c>
    </row>
    <row r="400" spans="1:36" ht="12.65" customHeight="1" x14ac:dyDescent="0.35">
      <c r="A400" s="8" t="s">
        <v>139</v>
      </c>
      <c r="B400" s="8" t="s">
        <v>136</v>
      </c>
      <c r="C400" s="8" t="s">
        <v>135</v>
      </c>
      <c r="D400" s="33" t="s">
        <v>1758</v>
      </c>
      <c r="E400" s="14" t="s">
        <v>1757</v>
      </c>
      <c r="F400" s="14" t="s">
        <v>61</v>
      </c>
      <c r="G400" s="14" t="s">
        <v>1</v>
      </c>
      <c r="H400" s="14" t="s">
        <v>9</v>
      </c>
      <c r="I400" s="34" t="s">
        <v>329</v>
      </c>
      <c r="J400" s="8" t="s">
        <v>95</v>
      </c>
      <c r="K400" s="69" t="s">
        <v>330</v>
      </c>
      <c r="L400" s="8" t="s">
        <v>75</v>
      </c>
      <c r="M400" s="8" t="s">
        <v>75</v>
      </c>
      <c r="N400" s="8" t="s">
        <v>306</v>
      </c>
      <c r="O400" s="8" t="s">
        <v>36</v>
      </c>
      <c r="P400" s="8" t="s">
        <v>282</v>
      </c>
      <c r="Q400" s="8" t="s">
        <v>543</v>
      </c>
      <c r="R400" s="8" t="s">
        <v>222</v>
      </c>
      <c r="S400" s="8" t="s">
        <v>237</v>
      </c>
      <c r="T400" s="8" t="s">
        <v>199</v>
      </c>
      <c r="U400" s="8" t="s">
        <v>189</v>
      </c>
      <c r="V400" s="8">
        <v>1</v>
      </c>
      <c r="W400" s="18">
        <v>1</v>
      </c>
      <c r="X400" s="51">
        <v>46174</v>
      </c>
      <c r="Y400" s="51">
        <v>46174</v>
      </c>
      <c r="Z400" s="28">
        <v>4</v>
      </c>
      <c r="AA400" s="16" t="s">
        <v>1699</v>
      </c>
      <c r="AB400" s="8" t="s">
        <v>291</v>
      </c>
      <c r="AC400" s="8" t="s">
        <v>291</v>
      </c>
      <c r="AD400" s="51" t="s">
        <v>137</v>
      </c>
      <c r="AE400" s="19" t="s">
        <v>153</v>
      </c>
      <c r="AF400" s="19" t="s">
        <v>153</v>
      </c>
      <c r="AG400" s="8" t="s">
        <v>292</v>
      </c>
      <c r="AH400" s="51">
        <v>35723</v>
      </c>
      <c r="AI400" s="28">
        <v>28</v>
      </c>
      <c r="AJ400" s="19" t="s">
        <v>1853</v>
      </c>
    </row>
    <row r="401" spans="1:36" ht="12.65" customHeight="1" x14ac:dyDescent="0.35">
      <c r="A401" s="8" t="s">
        <v>139</v>
      </c>
      <c r="B401" s="8" t="s">
        <v>136</v>
      </c>
      <c r="C401" s="8" t="s">
        <v>135</v>
      </c>
      <c r="D401" s="34" t="s">
        <v>1652</v>
      </c>
      <c r="E401" s="14" t="s">
        <v>1653</v>
      </c>
      <c r="F401" s="14" t="s">
        <v>60</v>
      </c>
      <c r="G401" s="14" t="s">
        <v>1</v>
      </c>
      <c r="H401" s="14" t="s">
        <v>9</v>
      </c>
      <c r="I401" s="34" t="s">
        <v>1611</v>
      </c>
      <c r="J401" s="8" t="s">
        <v>1612</v>
      </c>
      <c r="K401" s="69" t="s">
        <v>1613</v>
      </c>
      <c r="L401" s="8" t="s">
        <v>1614</v>
      </c>
      <c r="M401" s="8" t="s">
        <v>1573</v>
      </c>
      <c r="N401" s="8" t="s">
        <v>393</v>
      </c>
      <c r="O401" s="8" t="s">
        <v>1615</v>
      </c>
      <c r="P401" s="8" t="s">
        <v>274</v>
      </c>
      <c r="Q401" s="8" t="s">
        <v>275</v>
      </c>
      <c r="R401" s="8" t="s">
        <v>231</v>
      </c>
      <c r="S401" s="8" t="s">
        <v>247</v>
      </c>
      <c r="T401" s="8" t="s">
        <v>255</v>
      </c>
      <c r="U401" s="8" t="s">
        <v>54</v>
      </c>
      <c r="V401" s="8">
        <v>1</v>
      </c>
      <c r="W401" s="18">
        <v>1</v>
      </c>
      <c r="X401" s="51">
        <v>45659</v>
      </c>
      <c r="Y401" s="51">
        <v>45659</v>
      </c>
      <c r="Z401" s="28">
        <v>21</v>
      </c>
      <c r="AA401" s="16" t="s">
        <v>1700</v>
      </c>
      <c r="AB401" s="8" t="s">
        <v>291</v>
      </c>
      <c r="AC401" s="8" t="s">
        <v>291</v>
      </c>
      <c r="AD401" s="8" t="s">
        <v>134</v>
      </c>
      <c r="AE401" s="8">
        <v>3102702803</v>
      </c>
      <c r="AF401" s="8" t="s">
        <v>276</v>
      </c>
      <c r="AG401" s="8" t="s">
        <v>295</v>
      </c>
      <c r="AH401" s="51">
        <v>33494</v>
      </c>
      <c r="AI401" s="28">
        <v>35</v>
      </c>
      <c r="AJ401" s="51" t="s">
        <v>1852</v>
      </c>
    </row>
    <row r="402" spans="1:36" ht="12.65" customHeight="1" x14ac:dyDescent="0.35">
      <c r="A402" s="8" t="s">
        <v>139</v>
      </c>
      <c r="B402" s="8" t="s">
        <v>136</v>
      </c>
      <c r="C402" s="8" t="s">
        <v>135</v>
      </c>
      <c r="D402" s="34" t="s">
        <v>1654</v>
      </c>
      <c r="E402" s="14" t="s">
        <v>1655</v>
      </c>
      <c r="F402" s="14" t="s">
        <v>60</v>
      </c>
      <c r="G402" s="14" t="s">
        <v>1</v>
      </c>
      <c r="H402" s="14" t="s">
        <v>9</v>
      </c>
      <c r="I402" s="34" t="s">
        <v>1487</v>
      </c>
      <c r="J402" s="8" t="s">
        <v>1488</v>
      </c>
      <c r="K402" s="69" t="s">
        <v>1489</v>
      </c>
      <c r="L402" s="8" t="s">
        <v>406</v>
      </c>
      <c r="M402" s="8" t="s">
        <v>456</v>
      </c>
      <c r="N402" s="8" t="s">
        <v>393</v>
      </c>
      <c r="O402" s="8" t="s">
        <v>11</v>
      </c>
      <c r="P402" s="8" t="s">
        <v>274</v>
      </c>
      <c r="Q402" s="8" t="s">
        <v>275</v>
      </c>
      <c r="R402" s="8" t="s">
        <v>231</v>
      </c>
      <c r="S402" s="8" t="s">
        <v>247</v>
      </c>
      <c r="T402" s="8" t="s">
        <v>163</v>
      </c>
      <c r="U402" s="8" t="s">
        <v>192</v>
      </c>
      <c r="V402" s="8">
        <v>1</v>
      </c>
      <c r="W402" s="18">
        <v>1</v>
      </c>
      <c r="X402" s="51">
        <v>45659</v>
      </c>
      <c r="Y402" s="51">
        <v>45659</v>
      </c>
      <c r="Z402" s="28">
        <v>21</v>
      </c>
      <c r="AA402" s="16" t="s">
        <v>1700</v>
      </c>
      <c r="AB402" s="8" t="s">
        <v>294</v>
      </c>
      <c r="AC402" s="8" t="s">
        <v>294</v>
      </c>
      <c r="AD402" s="19" t="s">
        <v>134</v>
      </c>
      <c r="AE402" s="19">
        <v>3102703433</v>
      </c>
      <c r="AF402" s="19" t="s">
        <v>276</v>
      </c>
      <c r="AG402" s="8" t="s">
        <v>295</v>
      </c>
      <c r="AH402" s="51">
        <v>31685</v>
      </c>
      <c r="AI402" s="28">
        <v>40</v>
      </c>
      <c r="AJ402" s="51" t="s">
        <v>1852</v>
      </c>
    </row>
    <row r="403" spans="1:36" ht="12.65" customHeight="1" x14ac:dyDescent="0.35">
      <c r="A403" s="8" t="s">
        <v>139</v>
      </c>
      <c r="B403" s="8" t="s">
        <v>136</v>
      </c>
      <c r="C403" s="8" t="s">
        <v>135</v>
      </c>
      <c r="D403" s="34" t="s">
        <v>1656</v>
      </c>
      <c r="E403" s="14" t="s">
        <v>1657</v>
      </c>
      <c r="F403" s="14" t="s">
        <v>60</v>
      </c>
      <c r="G403" s="14" t="s">
        <v>1</v>
      </c>
      <c r="H403" s="14" t="s">
        <v>9</v>
      </c>
      <c r="I403" s="34" t="s">
        <v>1658</v>
      </c>
      <c r="J403" s="8" t="s">
        <v>1659</v>
      </c>
      <c r="K403" s="69" t="s">
        <v>1660</v>
      </c>
      <c r="L403" s="8" t="s">
        <v>1614</v>
      </c>
      <c r="M403" s="8" t="s">
        <v>1573</v>
      </c>
      <c r="N403" s="8" t="s">
        <v>393</v>
      </c>
      <c r="O403" s="8" t="s">
        <v>146</v>
      </c>
      <c r="P403" s="8" t="s">
        <v>283</v>
      </c>
      <c r="Q403" s="8" t="s">
        <v>326</v>
      </c>
      <c r="R403" s="8" t="s">
        <v>234</v>
      </c>
      <c r="S403" s="8" t="s">
        <v>241</v>
      </c>
      <c r="T403" s="8" t="s">
        <v>255</v>
      </c>
      <c r="U403" s="8" t="s">
        <v>54</v>
      </c>
      <c r="V403" s="8">
        <v>1</v>
      </c>
      <c r="W403" s="18">
        <v>1</v>
      </c>
      <c r="X403" s="51">
        <v>45659</v>
      </c>
      <c r="Y403" s="51">
        <v>45659</v>
      </c>
      <c r="Z403" s="28">
        <v>21</v>
      </c>
      <c r="AA403" s="16" t="s">
        <v>1700</v>
      </c>
      <c r="AB403" s="8" t="s">
        <v>395</v>
      </c>
      <c r="AC403" s="8" t="s">
        <v>395</v>
      </c>
      <c r="AD403" s="8" t="s">
        <v>134</v>
      </c>
      <c r="AE403" s="8">
        <v>3102708762</v>
      </c>
      <c r="AF403" s="8" t="s">
        <v>276</v>
      </c>
      <c r="AG403" s="8" t="s">
        <v>295</v>
      </c>
      <c r="AH403" s="51">
        <v>32209</v>
      </c>
      <c r="AI403" s="28">
        <v>38</v>
      </c>
      <c r="AJ403" s="51" t="s">
        <v>1853</v>
      </c>
    </row>
    <row r="404" spans="1:36" ht="12.65" customHeight="1" x14ac:dyDescent="0.35">
      <c r="A404" s="8" t="s">
        <v>139</v>
      </c>
      <c r="B404" s="8" t="s">
        <v>136</v>
      </c>
      <c r="C404" s="8" t="s">
        <v>135</v>
      </c>
      <c r="D404" s="34" t="s">
        <v>1661</v>
      </c>
      <c r="E404" s="14" t="s">
        <v>1662</v>
      </c>
      <c r="F404" s="14" t="s">
        <v>60</v>
      </c>
      <c r="G404" s="14" t="s">
        <v>1</v>
      </c>
      <c r="H404" s="14" t="s">
        <v>9</v>
      </c>
      <c r="I404" s="34" t="s">
        <v>435</v>
      </c>
      <c r="J404" s="8" t="s">
        <v>436</v>
      </c>
      <c r="K404" s="69" t="s">
        <v>437</v>
      </c>
      <c r="L404" s="8" t="s">
        <v>299</v>
      </c>
      <c r="M404" s="8" t="s">
        <v>299</v>
      </c>
      <c r="N404" s="8" t="s">
        <v>306</v>
      </c>
      <c r="O404" s="8" t="s">
        <v>400</v>
      </c>
      <c r="P404" s="8" t="s">
        <v>285</v>
      </c>
      <c r="Q404" s="8" t="s">
        <v>285</v>
      </c>
      <c r="R404" s="8" t="s">
        <v>225</v>
      </c>
      <c r="S404" s="8" t="s">
        <v>237</v>
      </c>
      <c r="T404" s="8" t="s">
        <v>175</v>
      </c>
      <c r="U404" s="8" t="s">
        <v>194</v>
      </c>
      <c r="V404" s="8">
        <v>1</v>
      </c>
      <c r="W404" s="18">
        <v>1</v>
      </c>
      <c r="X404" s="51">
        <v>45659</v>
      </c>
      <c r="Y404" s="51">
        <v>43360</v>
      </c>
      <c r="Z404" s="28">
        <v>96</v>
      </c>
      <c r="AA404" s="16" t="s">
        <v>1701</v>
      </c>
      <c r="AB404" s="8" t="s">
        <v>291</v>
      </c>
      <c r="AC404" s="8" t="s">
        <v>291</v>
      </c>
      <c r="AD404" s="19" t="s">
        <v>134</v>
      </c>
      <c r="AE404" s="19">
        <v>3102681766</v>
      </c>
      <c r="AF404" s="19" t="s">
        <v>276</v>
      </c>
      <c r="AG404" s="8" t="s">
        <v>292</v>
      </c>
      <c r="AH404" s="51">
        <v>34743</v>
      </c>
      <c r="AI404" s="28">
        <v>31</v>
      </c>
      <c r="AJ404" s="51" t="s">
        <v>1853</v>
      </c>
    </row>
    <row r="405" spans="1:36" ht="12.65" customHeight="1" x14ac:dyDescent="0.35">
      <c r="A405" s="8" t="s">
        <v>139</v>
      </c>
      <c r="B405" s="8" t="s">
        <v>136</v>
      </c>
      <c r="C405" s="8" t="s">
        <v>135</v>
      </c>
      <c r="D405" s="34" t="s">
        <v>1663</v>
      </c>
      <c r="E405" s="14" t="s">
        <v>1664</v>
      </c>
      <c r="F405" s="14" t="s">
        <v>60</v>
      </c>
      <c r="G405" s="14" t="s">
        <v>1</v>
      </c>
      <c r="H405" s="14" t="s">
        <v>9</v>
      </c>
      <c r="I405" s="34" t="s">
        <v>616</v>
      </c>
      <c r="J405" s="8" t="s">
        <v>617</v>
      </c>
      <c r="K405" s="69" t="s">
        <v>618</v>
      </c>
      <c r="L405" s="8" t="s">
        <v>299</v>
      </c>
      <c r="M405" s="8" t="s">
        <v>299</v>
      </c>
      <c r="N405" s="8" t="s">
        <v>306</v>
      </c>
      <c r="O405" s="8" t="s">
        <v>11</v>
      </c>
      <c r="P405" s="8" t="s">
        <v>274</v>
      </c>
      <c r="Q405" s="8" t="s">
        <v>275</v>
      </c>
      <c r="R405" s="8" t="s">
        <v>231</v>
      </c>
      <c r="S405" s="8" t="s">
        <v>247</v>
      </c>
      <c r="T405" s="8" t="s">
        <v>208</v>
      </c>
      <c r="U405" s="8" t="s">
        <v>194</v>
      </c>
      <c r="V405" s="8">
        <v>1</v>
      </c>
      <c r="W405" s="18">
        <v>1</v>
      </c>
      <c r="X405" s="51">
        <v>45659</v>
      </c>
      <c r="Y405" s="51">
        <v>43042</v>
      </c>
      <c r="Z405" s="28">
        <v>107</v>
      </c>
      <c r="AA405" s="16" t="s">
        <v>1701</v>
      </c>
      <c r="AB405" s="8" t="s">
        <v>291</v>
      </c>
      <c r="AC405" s="8" t="s">
        <v>291</v>
      </c>
      <c r="AD405" s="8" t="s">
        <v>134</v>
      </c>
      <c r="AE405" s="8">
        <v>3102610434</v>
      </c>
      <c r="AF405" s="8" t="s">
        <v>276</v>
      </c>
      <c r="AG405" s="8" t="s">
        <v>292</v>
      </c>
      <c r="AH405" s="51">
        <v>32733</v>
      </c>
      <c r="AI405" s="28">
        <v>37</v>
      </c>
      <c r="AJ405" s="51" t="s">
        <v>1853</v>
      </c>
    </row>
    <row r="406" spans="1:36" ht="12.65" customHeight="1" x14ac:dyDescent="0.35">
      <c r="A406" s="8" t="s">
        <v>139</v>
      </c>
      <c r="B406" s="8" t="s">
        <v>136</v>
      </c>
      <c r="C406" s="8" t="s">
        <v>135</v>
      </c>
      <c r="D406" s="34" t="s">
        <v>1715</v>
      </c>
      <c r="E406" s="14" t="s">
        <v>1907</v>
      </c>
      <c r="F406" s="14" t="s">
        <v>57</v>
      </c>
      <c r="G406" s="14" t="s">
        <v>1</v>
      </c>
      <c r="H406" s="14" t="s">
        <v>9</v>
      </c>
      <c r="I406" s="34" t="s">
        <v>318</v>
      </c>
      <c r="J406" s="8" t="s">
        <v>104</v>
      </c>
      <c r="K406" s="69" t="s">
        <v>319</v>
      </c>
      <c r="L406" s="8" t="s">
        <v>75</v>
      </c>
      <c r="M406" s="8" t="s">
        <v>75</v>
      </c>
      <c r="N406" s="8" t="s">
        <v>306</v>
      </c>
      <c r="O406" s="8" t="s">
        <v>11</v>
      </c>
      <c r="P406" s="8" t="s">
        <v>274</v>
      </c>
      <c r="Q406" s="8" t="s">
        <v>275</v>
      </c>
      <c r="R406" s="8" t="s">
        <v>1628</v>
      </c>
      <c r="S406" s="8" t="s">
        <v>247</v>
      </c>
      <c r="T406" s="8" t="s">
        <v>202</v>
      </c>
      <c r="U406" s="8" t="s">
        <v>189</v>
      </c>
      <c r="V406" s="8">
        <v>1</v>
      </c>
      <c r="W406" s="18">
        <v>1</v>
      </c>
      <c r="X406" s="51">
        <v>46311</v>
      </c>
      <c r="Y406" s="51">
        <v>46311</v>
      </c>
      <c r="Z406" s="28">
        <v>0</v>
      </c>
      <c r="AA406" s="16" t="s">
        <v>1698</v>
      </c>
      <c r="AB406" s="8" t="s">
        <v>291</v>
      </c>
      <c r="AC406" s="8" t="s">
        <v>291</v>
      </c>
      <c r="AD406" s="8" t="s">
        <v>137</v>
      </c>
      <c r="AE406" s="8" t="s">
        <v>153</v>
      </c>
      <c r="AF406" s="8" t="s">
        <v>153</v>
      </c>
      <c r="AG406" s="8" t="s">
        <v>292</v>
      </c>
      <c r="AH406" s="51" t="s">
        <v>4</v>
      </c>
      <c r="AI406" s="28" t="s">
        <v>4</v>
      </c>
      <c r="AJ406" s="51" t="s">
        <v>4</v>
      </c>
    </row>
    <row r="407" spans="1:36" ht="12.65" customHeight="1" x14ac:dyDescent="0.35">
      <c r="A407" s="8" t="s">
        <v>139</v>
      </c>
      <c r="B407" s="8" t="s">
        <v>136</v>
      </c>
      <c r="C407" s="8" t="s">
        <v>135</v>
      </c>
      <c r="D407" s="34" t="s">
        <v>1667</v>
      </c>
      <c r="E407" s="14" t="s">
        <v>1668</v>
      </c>
      <c r="F407" s="14" t="s">
        <v>60</v>
      </c>
      <c r="G407" s="14" t="s">
        <v>1</v>
      </c>
      <c r="H407" s="14" t="s">
        <v>9</v>
      </c>
      <c r="I407" s="34" t="s">
        <v>440</v>
      </c>
      <c r="J407" s="8" t="s">
        <v>1520</v>
      </c>
      <c r="K407" s="69" t="s">
        <v>441</v>
      </c>
      <c r="L407" s="8" t="s">
        <v>442</v>
      </c>
      <c r="M407" s="8" t="s">
        <v>443</v>
      </c>
      <c r="N407" s="8" t="s">
        <v>393</v>
      </c>
      <c r="O407" s="8" t="s">
        <v>36</v>
      </c>
      <c r="P407" s="8" t="s">
        <v>282</v>
      </c>
      <c r="Q407" s="8" t="s">
        <v>543</v>
      </c>
      <c r="R407" s="8" t="s">
        <v>222</v>
      </c>
      <c r="S407" s="8" t="s">
        <v>237</v>
      </c>
      <c r="T407" s="8" t="s">
        <v>244</v>
      </c>
      <c r="U407" s="8" t="s">
        <v>183</v>
      </c>
      <c r="V407" s="8">
        <v>1</v>
      </c>
      <c r="W407" s="18">
        <v>0.5</v>
      </c>
      <c r="X407" s="51">
        <v>45659</v>
      </c>
      <c r="Y407" s="51">
        <v>38033</v>
      </c>
      <c r="Z407" s="28">
        <v>272</v>
      </c>
      <c r="AA407" s="16" t="s">
        <v>1701</v>
      </c>
      <c r="AB407" s="8" t="s">
        <v>395</v>
      </c>
      <c r="AC407" s="8" t="s">
        <v>395</v>
      </c>
      <c r="AD407" s="8" t="s">
        <v>134</v>
      </c>
      <c r="AE407" s="8">
        <v>3102690181</v>
      </c>
      <c r="AF407" s="8" t="s">
        <v>276</v>
      </c>
      <c r="AG407" s="8" t="s">
        <v>295</v>
      </c>
      <c r="AH407" s="51">
        <v>30120</v>
      </c>
      <c r="AI407" s="28">
        <v>44</v>
      </c>
      <c r="AJ407" s="51" t="s">
        <v>1852</v>
      </c>
    </row>
    <row r="408" spans="1:36" ht="12.65" customHeight="1" x14ac:dyDescent="0.35">
      <c r="A408" s="8" t="s">
        <v>139</v>
      </c>
      <c r="B408" s="8" t="s">
        <v>136</v>
      </c>
      <c r="C408" s="8" t="s">
        <v>135</v>
      </c>
      <c r="D408" s="34" t="s">
        <v>1667</v>
      </c>
      <c r="E408" s="14" t="s">
        <v>1668</v>
      </c>
      <c r="F408" s="14" t="s">
        <v>60</v>
      </c>
      <c r="G408" s="14" t="s">
        <v>1</v>
      </c>
      <c r="H408" s="14" t="s">
        <v>9</v>
      </c>
      <c r="I408" s="34" t="s">
        <v>1669</v>
      </c>
      <c r="J408" s="8" t="s">
        <v>1670</v>
      </c>
      <c r="K408" s="69" t="s">
        <v>1671</v>
      </c>
      <c r="L408" s="8" t="s">
        <v>442</v>
      </c>
      <c r="M408" s="8" t="s">
        <v>1672</v>
      </c>
      <c r="N408" s="8" t="s">
        <v>393</v>
      </c>
      <c r="O408" s="8" t="s">
        <v>36</v>
      </c>
      <c r="P408" s="8" t="s">
        <v>282</v>
      </c>
      <c r="Q408" s="8" t="s">
        <v>543</v>
      </c>
      <c r="R408" s="8" t="s">
        <v>222</v>
      </c>
      <c r="S408" s="8" t="s">
        <v>237</v>
      </c>
      <c r="T408" s="8" t="s">
        <v>244</v>
      </c>
      <c r="U408" s="8" t="s">
        <v>183</v>
      </c>
      <c r="V408" s="8">
        <v>0</v>
      </c>
      <c r="W408" s="18">
        <v>0.5</v>
      </c>
      <c r="X408" s="51">
        <v>45659</v>
      </c>
      <c r="Y408" s="51">
        <v>38033</v>
      </c>
      <c r="Z408" s="28">
        <v>272</v>
      </c>
      <c r="AA408" s="16" t="s">
        <v>1701</v>
      </c>
      <c r="AB408" s="8" t="s">
        <v>395</v>
      </c>
      <c r="AC408" s="8" t="s">
        <v>395</v>
      </c>
      <c r="AD408" s="8" t="s">
        <v>134</v>
      </c>
      <c r="AE408" s="8">
        <v>3102690181</v>
      </c>
      <c r="AF408" s="8" t="s">
        <v>276</v>
      </c>
      <c r="AG408" s="8" t="s">
        <v>295</v>
      </c>
      <c r="AH408" s="51">
        <v>30120</v>
      </c>
      <c r="AI408" s="28">
        <v>44</v>
      </c>
      <c r="AJ408" s="51" t="s">
        <v>1852</v>
      </c>
    </row>
    <row r="409" spans="1:36" ht="12.65" customHeight="1" x14ac:dyDescent="0.35">
      <c r="A409" s="8" t="s">
        <v>139</v>
      </c>
      <c r="B409" s="8" t="s">
        <v>136</v>
      </c>
      <c r="C409" s="8" t="s">
        <v>418</v>
      </c>
      <c r="D409" s="34" t="s">
        <v>1516</v>
      </c>
      <c r="E409" s="8" t="s">
        <v>1517</v>
      </c>
      <c r="F409" s="14" t="s">
        <v>57</v>
      </c>
      <c r="G409" s="14" t="s">
        <v>1</v>
      </c>
      <c r="H409" s="14" t="s">
        <v>9</v>
      </c>
      <c r="I409" s="34" t="s">
        <v>619</v>
      </c>
      <c r="J409" s="8" t="s">
        <v>620</v>
      </c>
      <c r="K409" s="69" t="s">
        <v>621</v>
      </c>
      <c r="L409" s="8" t="s">
        <v>299</v>
      </c>
      <c r="M409" s="8" t="s">
        <v>299</v>
      </c>
      <c r="N409" s="8" t="s">
        <v>306</v>
      </c>
      <c r="O409" s="8" t="s">
        <v>13</v>
      </c>
      <c r="P409" s="8" t="s">
        <v>285</v>
      </c>
      <c r="Q409" s="8" t="s">
        <v>285</v>
      </c>
      <c r="R409" s="8" t="s">
        <v>225</v>
      </c>
      <c r="S409" s="8" t="s">
        <v>237</v>
      </c>
      <c r="T409" s="8" t="s">
        <v>175</v>
      </c>
      <c r="U409" s="8" t="s">
        <v>194</v>
      </c>
      <c r="V409" s="8">
        <v>1</v>
      </c>
      <c r="W409" s="18">
        <v>1</v>
      </c>
      <c r="X409" s="51">
        <v>45923</v>
      </c>
      <c r="Y409" s="51">
        <v>45923</v>
      </c>
      <c r="Z409" s="28">
        <v>12</v>
      </c>
      <c r="AA409" s="16" t="s">
        <v>1700</v>
      </c>
      <c r="AB409" s="8" t="s">
        <v>294</v>
      </c>
      <c r="AC409" s="8" t="s">
        <v>291</v>
      </c>
      <c r="AD409" s="19" t="s">
        <v>137</v>
      </c>
      <c r="AE409" s="19" t="s">
        <v>153</v>
      </c>
      <c r="AF409" s="19" t="s">
        <v>153</v>
      </c>
      <c r="AG409" s="8" t="s">
        <v>292</v>
      </c>
      <c r="AH409" s="51">
        <v>34271</v>
      </c>
      <c r="AI409" s="28">
        <v>32</v>
      </c>
      <c r="AJ409" s="51" t="s">
        <v>1853</v>
      </c>
    </row>
    <row r="410" spans="1:36" ht="12.65" customHeight="1" x14ac:dyDescent="0.35">
      <c r="A410" s="8" t="s">
        <v>139</v>
      </c>
      <c r="B410" s="8" t="s">
        <v>136</v>
      </c>
      <c r="C410" s="8" t="s">
        <v>135</v>
      </c>
      <c r="D410" s="34" t="s">
        <v>1676</v>
      </c>
      <c r="E410" s="14" t="s">
        <v>1677</v>
      </c>
      <c r="F410" s="14" t="s">
        <v>61</v>
      </c>
      <c r="G410" s="14" t="s">
        <v>1</v>
      </c>
      <c r="H410" s="14" t="s">
        <v>9</v>
      </c>
      <c r="I410" s="34" t="s">
        <v>385</v>
      </c>
      <c r="J410" s="8" t="s">
        <v>386</v>
      </c>
      <c r="K410" s="69" t="s">
        <v>387</v>
      </c>
      <c r="L410" s="8" t="s">
        <v>299</v>
      </c>
      <c r="M410" s="8" t="s">
        <v>299</v>
      </c>
      <c r="N410" s="8" t="s">
        <v>306</v>
      </c>
      <c r="O410" s="8" t="s">
        <v>13</v>
      </c>
      <c r="P410" s="8" t="s">
        <v>285</v>
      </c>
      <c r="Q410" s="8" t="s">
        <v>285</v>
      </c>
      <c r="R410" s="8" t="s">
        <v>225</v>
      </c>
      <c r="S410" s="8" t="s">
        <v>237</v>
      </c>
      <c r="T410" s="8" t="s">
        <v>175</v>
      </c>
      <c r="U410" s="8" t="s">
        <v>194</v>
      </c>
      <c r="V410" s="8">
        <v>1</v>
      </c>
      <c r="W410" s="18">
        <v>1</v>
      </c>
      <c r="X410" s="51">
        <v>46148</v>
      </c>
      <c r="Y410" s="51">
        <v>46148</v>
      </c>
      <c r="Z410" s="28">
        <v>5</v>
      </c>
      <c r="AA410" s="16" t="s">
        <v>1699</v>
      </c>
      <c r="AB410" s="8" t="s">
        <v>291</v>
      </c>
      <c r="AC410" s="8" t="s">
        <v>291</v>
      </c>
      <c r="AD410" s="19" t="s">
        <v>137</v>
      </c>
      <c r="AE410" s="19" t="s">
        <v>153</v>
      </c>
      <c r="AF410" s="19" t="s">
        <v>153</v>
      </c>
      <c r="AG410" s="8" t="s">
        <v>292</v>
      </c>
      <c r="AH410" s="51">
        <v>37481</v>
      </c>
      <c r="AI410" s="28">
        <v>24</v>
      </c>
      <c r="AJ410" s="51" t="s">
        <v>1853</v>
      </c>
    </row>
    <row r="411" spans="1:36" ht="12.65" customHeight="1" x14ac:dyDescent="0.35">
      <c r="A411" s="8" t="s">
        <v>139</v>
      </c>
      <c r="B411" s="8" t="s">
        <v>136</v>
      </c>
      <c r="C411" s="8" t="s">
        <v>135</v>
      </c>
      <c r="D411" s="33" t="s">
        <v>934</v>
      </c>
      <c r="E411" s="14" t="s">
        <v>935</v>
      </c>
      <c r="F411" s="14" t="s">
        <v>57</v>
      </c>
      <c r="G411" s="14" t="s">
        <v>1</v>
      </c>
      <c r="H411" s="14" t="s">
        <v>9</v>
      </c>
      <c r="I411" s="34" t="s">
        <v>366</v>
      </c>
      <c r="J411" s="8" t="s">
        <v>105</v>
      </c>
      <c r="K411" s="69" t="s">
        <v>367</v>
      </c>
      <c r="L411" s="8" t="s">
        <v>75</v>
      </c>
      <c r="M411" s="8" t="s">
        <v>75</v>
      </c>
      <c r="N411" s="8" t="s">
        <v>306</v>
      </c>
      <c r="O411" s="8" t="s">
        <v>11</v>
      </c>
      <c r="P411" s="8" t="s">
        <v>274</v>
      </c>
      <c r="Q411" s="8" t="s">
        <v>275</v>
      </c>
      <c r="R411" s="8" t="s">
        <v>1628</v>
      </c>
      <c r="S411" s="8" t="s">
        <v>247</v>
      </c>
      <c r="T411" s="8" t="s">
        <v>202</v>
      </c>
      <c r="U411" s="8" t="s">
        <v>189</v>
      </c>
      <c r="V411" s="8">
        <v>1</v>
      </c>
      <c r="W411" s="18">
        <v>1</v>
      </c>
      <c r="X411" s="51">
        <v>46122</v>
      </c>
      <c r="Y411" s="51">
        <v>46122</v>
      </c>
      <c r="Z411" s="28">
        <v>6</v>
      </c>
      <c r="AA411" s="16" t="s">
        <v>1710</v>
      </c>
      <c r="AB411" s="8" t="s">
        <v>291</v>
      </c>
      <c r="AC411" s="8" t="s">
        <v>291</v>
      </c>
      <c r="AD411" s="19" t="s">
        <v>137</v>
      </c>
      <c r="AE411" s="19" t="s">
        <v>153</v>
      </c>
      <c r="AF411" s="19" t="s">
        <v>153</v>
      </c>
      <c r="AG411" s="8" t="s">
        <v>292</v>
      </c>
      <c r="AH411" s="51">
        <v>36794</v>
      </c>
      <c r="AI411" s="28">
        <v>26</v>
      </c>
      <c r="AJ411" s="51" t="s">
        <v>1853</v>
      </c>
    </row>
    <row r="412" spans="1:36" ht="12.65" customHeight="1" x14ac:dyDescent="0.35">
      <c r="A412" s="8" t="s">
        <v>139</v>
      </c>
      <c r="B412" s="8" t="s">
        <v>136</v>
      </c>
      <c r="C412" s="8" t="s">
        <v>418</v>
      </c>
      <c r="D412" s="34" t="s">
        <v>1680</v>
      </c>
      <c r="E412" s="14" t="s">
        <v>1681</v>
      </c>
      <c r="F412" s="14" t="s">
        <v>61</v>
      </c>
      <c r="G412" s="14" t="s">
        <v>1</v>
      </c>
      <c r="H412" s="14" t="s">
        <v>9</v>
      </c>
      <c r="I412" s="34" t="s">
        <v>630</v>
      </c>
      <c r="J412" s="8" t="s">
        <v>631</v>
      </c>
      <c r="K412" s="69" t="s">
        <v>632</v>
      </c>
      <c r="L412" s="8" t="s">
        <v>299</v>
      </c>
      <c r="M412" s="8" t="s">
        <v>299</v>
      </c>
      <c r="N412" s="8" t="s">
        <v>306</v>
      </c>
      <c r="O412" s="8" t="s">
        <v>148</v>
      </c>
      <c r="P412" s="8" t="s">
        <v>279</v>
      </c>
      <c r="Q412" s="8" t="s">
        <v>279</v>
      </c>
      <c r="R412" s="8" t="s">
        <v>225</v>
      </c>
      <c r="S412" s="8" t="s">
        <v>241</v>
      </c>
      <c r="T412" s="8" t="s">
        <v>166</v>
      </c>
      <c r="U412" s="8" t="s">
        <v>194</v>
      </c>
      <c r="V412" s="8">
        <v>1</v>
      </c>
      <c r="W412" s="18">
        <v>1</v>
      </c>
      <c r="X412" s="51">
        <v>46151</v>
      </c>
      <c r="Y412" s="51">
        <v>46151</v>
      </c>
      <c r="Z412" s="28">
        <v>5</v>
      </c>
      <c r="AA412" s="16" t="s">
        <v>1699</v>
      </c>
      <c r="AB412" s="8" t="s">
        <v>291</v>
      </c>
      <c r="AC412" s="8" t="s">
        <v>291</v>
      </c>
      <c r="AD412" s="8" t="s">
        <v>137</v>
      </c>
      <c r="AE412" s="8" t="s">
        <v>153</v>
      </c>
      <c r="AF412" s="8" t="s">
        <v>153</v>
      </c>
      <c r="AG412" s="8" t="s">
        <v>292</v>
      </c>
      <c r="AH412" s="51">
        <v>35284</v>
      </c>
      <c r="AI412" s="28">
        <v>30</v>
      </c>
      <c r="AJ412" s="51" t="s">
        <v>1853</v>
      </c>
    </row>
    <row r="413" spans="1:36" ht="12.65" customHeight="1" x14ac:dyDescent="0.35">
      <c r="A413" s="8" t="s">
        <v>139</v>
      </c>
      <c r="B413" s="8" t="s">
        <v>136</v>
      </c>
      <c r="C413" s="8" t="s">
        <v>135</v>
      </c>
      <c r="D413" s="34" t="s">
        <v>1650</v>
      </c>
      <c r="E413" s="14" t="s">
        <v>1651</v>
      </c>
      <c r="F413" s="14" t="s">
        <v>60</v>
      </c>
      <c r="G413" s="14" t="s">
        <v>1</v>
      </c>
      <c r="H413" s="14" t="s">
        <v>9</v>
      </c>
      <c r="I413" s="34" t="s">
        <v>575</v>
      </c>
      <c r="J413" s="8" t="s">
        <v>576</v>
      </c>
      <c r="K413" s="69" t="s">
        <v>577</v>
      </c>
      <c r="L413" s="8" t="s">
        <v>382</v>
      </c>
      <c r="M413" s="8" t="s">
        <v>382</v>
      </c>
      <c r="N413" s="8" t="s">
        <v>306</v>
      </c>
      <c r="O413" s="8" t="s">
        <v>36</v>
      </c>
      <c r="P413" s="8" t="s">
        <v>282</v>
      </c>
      <c r="Q413" s="8" t="s">
        <v>543</v>
      </c>
      <c r="R413" s="8" t="s">
        <v>222</v>
      </c>
      <c r="S413" s="8" t="s">
        <v>237</v>
      </c>
      <c r="T413" s="14" t="s">
        <v>199</v>
      </c>
      <c r="U413" s="8" t="s">
        <v>192</v>
      </c>
      <c r="V413" s="8">
        <v>1</v>
      </c>
      <c r="W413" s="18">
        <v>1</v>
      </c>
      <c r="X413" s="51">
        <v>45659</v>
      </c>
      <c r="Y413" s="51">
        <v>41708</v>
      </c>
      <c r="Z413" s="28">
        <v>151</v>
      </c>
      <c r="AA413" s="16" t="s">
        <v>1701</v>
      </c>
      <c r="AB413" s="8" t="s">
        <v>291</v>
      </c>
      <c r="AC413" s="8" t="s">
        <v>293</v>
      </c>
      <c r="AD413" s="51" t="s">
        <v>134</v>
      </c>
      <c r="AE413" s="19">
        <v>3102695225</v>
      </c>
      <c r="AF413" s="19" t="s">
        <v>276</v>
      </c>
      <c r="AG413" s="8" t="s">
        <v>292</v>
      </c>
      <c r="AH413" s="51">
        <v>31690</v>
      </c>
      <c r="AI413" s="28">
        <v>40</v>
      </c>
      <c r="AJ413" s="19" t="s">
        <v>1853</v>
      </c>
    </row>
    <row r="414" spans="1:36" ht="12.65" customHeight="1" x14ac:dyDescent="0.35">
      <c r="A414" s="8" t="s">
        <v>139</v>
      </c>
      <c r="B414" s="8" t="s">
        <v>136</v>
      </c>
      <c r="C414" s="8" t="s">
        <v>135</v>
      </c>
      <c r="D414" s="34" t="s">
        <v>1828</v>
      </c>
      <c r="E414" s="14" t="s">
        <v>1898</v>
      </c>
      <c r="F414" s="14" t="s">
        <v>57</v>
      </c>
      <c r="G414" s="14" t="s">
        <v>1</v>
      </c>
      <c r="H414" s="14" t="s">
        <v>9</v>
      </c>
      <c r="I414" s="34" t="s">
        <v>368</v>
      </c>
      <c r="J414" s="8" t="s">
        <v>102</v>
      </c>
      <c r="K414" s="69" t="s">
        <v>369</v>
      </c>
      <c r="L414" s="8" t="s">
        <v>75</v>
      </c>
      <c r="M414" s="8" t="s">
        <v>75</v>
      </c>
      <c r="N414" s="8" t="s">
        <v>306</v>
      </c>
      <c r="O414" s="8" t="s">
        <v>29</v>
      </c>
      <c r="P414" s="8" t="s">
        <v>277</v>
      </c>
      <c r="Q414" s="8" t="s">
        <v>278</v>
      </c>
      <c r="R414" s="8" t="s">
        <v>231</v>
      </c>
      <c r="S414" s="8" t="s">
        <v>247</v>
      </c>
      <c r="T414" s="14" t="s">
        <v>211</v>
      </c>
      <c r="U414" s="8" t="s">
        <v>189</v>
      </c>
      <c r="V414" s="8">
        <v>1</v>
      </c>
      <c r="W414" s="18">
        <v>1</v>
      </c>
      <c r="X414" s="51">
        <v>46304</v>
      </c>
      <c r="Y414" s="51">
        <v>46304</v>
      </c>
      <c r="Z414" s="28">
        <v>0</v>
      </c>
      <c r="AA414" s="16" t="s">
        <v>1698</v>
      </c>
      <c r="AB414" s="8" t="s">
        <v>291</v>
      </c>
      <c r="AC414" s="8" t="s">
        <v>291</v>
      </c>
      <c r="AD414" s="8" t="s">
        <v>137</v>
      </c>
      <c r="AE414" s="8" t="s">
        <v>153</v>
      </c>
      <c r="AF414" s="8" t="s">
        <v>153</v>
      </c>
      <c r="AG414" s="8" t="s">
        <v>292</v>
      </c>
      <c r="AH414" s="51" t="s">
        <v>4</v>
      </c>
      <c r="AI414" s="28" t="s">
        <v>4</v>
      </c>
      <c r="AJ414" s="51" t="s">
        <v>4</v>
      </c>
    </row>
    <row r="415" spans="1:36" ht="12.65" customHeight="1" x14ac:dyDescent="0.35">
      <c r="A415" s="8" t="s">
        <v>139</v>
      </c>
      <c r="B415" s="8" t="s">
        <v>136</v>
      </c>
      <c r="C415" s="8" t="s">
        <v>135</v>
      </c>
      <c r="D415" s="34" t="s">
        <v>1682</v>
      </c>
      <c r="E415" s="14" t="s">
        <v>1683</v>
      </c>
      <c r="F415" s="14" t="s">
        <v>61</v>
      </c>
      <c r="G415" s="14" t="s">
        <v>1</v>
      </c>
      <c r="H415" s="14" t="s">
        <v>9</v>
      </c>
      <c r="I415" s="34" t="s">
        <v>332</v>
      </c>
      <c r="J415" s="8" t="s">
        <v>101</v>
      </c>
      <c r="K415" s="69" t="s">
        <v>333</v>
      </c>
      <c r="L415" s="8" t="s">
        <v>75</v>
      </c>
      <c r="M415" s="8" t="s">
        <v>75</v>
      </c>
      <c r="N415" s="8" t="s">
        <v>306</v>
      </c>
      <c r="O415" s="8" t="s">
        <v>11</v>
      </c>
      <c r="P415" s="8" t="s">
        <v>274</v>
      </c>
      <c r="Q415" s="8" t="s">
        <v>275</v>
      </c>
      <c r="R415" s="8" t="s">
        <v>1628</v>
      </c>
      <c r="S415" s="8" t="s">
        <v>247</v>
      </c>
      <c r="T415" s="8" t="s">
        <v>172</v>
      </c>
      <c r="U415" s="8" t="s">
        <v>189</v>
      </c>
      <c r="V415" s="8">
        <v>1</v>
      </c>
      <c r="W415" s="18">
        <v>1</v>
      </c>
      <c r="X415" s="51">
        <v>46164</v>
      </c>
      <c r="Y415" s="51">
        <v>46164</v>
      </c>
      <c r="Z415" s="28">
        <v>4</v>
      </c>
      <c r="AA415" s="16" t="s">
        <v>1699</v>
      </c>
      <c r="AB415" s="8" t="s">
        <v>294</v>
      </c>
      <c r="AC415" s="8" t="s">
        <v>294</v>
      </c>
      <c r="AD415" s="19" t="s">
        <v>137</v>
      </c>
      <c r="AE415" s="19" t="s">
        <v>153</v>
      </c>
      <c r="AF415" s="19" t="s">
        <v>153</v>
      </c>
      <c r="AG415" s="8" t="s">
        <v>292</v>
      </c>
      <c r="AH415" s="51">
        <v>37650</v>
      </c>
      <c r="AI415" s="28">
        <v>23</v>
      </c>
      <c r="AJ415" s="51" t="s">
        <v>1852</v>
      </c>
    </row>
    <row r="416" spans="1:36" ht="12.65" customHeight="1" x14ac:dyDescent="0.35">
      <c r="A416" s="8" t="s">
        <v>139</v>
      </c>
      <c r="B416" s="8" t="s">
        <v>136</v>
      </c>
      <c r="C416" s="8" t="s">
        <v>135</v>
      </c>
      <c r="D416" s="33" t="s">
        <v>1553</v>
      </c>
      <c r="E416" s="14" t="s">
        <v>1554</v>
      </c>
      <c r="F416" s="14" t="s">
        <v>59</v>
      </c>
      <c r="G416" s="14" t="s">
        <v>1</v>
      </c>
      <c r="H416" s="14" t="s">
        <v>9</v>
      </c>
      <c r="I416" s="34" t="s">
        <v>318</v>
      </c>
      <c r="J416" s="8" t="s">
        <v>104</v>
      </c>
      <c r="K416" s="69" t="s">
        <v>319</v>
      </c>
      <c r="L416" s="8" t="s">
        <v>75</v>
      </c>
      <c r="M416" s="8" t="s">
        <v>75</v>
      </c>
      <c r="N416" s="8" t="s">
        <v>306</v>
      </c>
      <c r="O416" s="8" t="s">
        <v>11</v>
      </c>
      <c r="P416" s="8" t="s">
        <v>274</v>
      </c>
      <c r="Q416" s="8" t="s">
        <v>275</v>
      </c>
      <c r="R416" s="8" t="s">
        <v>1628</v>
      </c>
      <c r="S416" s="8" t="s">
        <v>247</v>
      </c>
      <c r="T416" s="14" t="s">
        <v>202</v>
      </c>
      <c r="U416" s="8" t="s">
        <v>189</v>
      </c>
      <c r="V416" s="8">
        <v>1</v>
      </c>
      <c r="W416" s="18">
        <v>1</v>
      </c>
      <c r="X416" s="51">
        <v>46184</v>
      </c>
      <c r="Y416" s="51">
        <v>46184</v>
      </c>
      <c r="Z416" s="28">
        <v>4</v>
      </c>
      <c r="AA416" s="16" t="s">
        <v>1699</v>
      </c>
      <c r="AB416" s="8" t="s">
        <v>291</v>
      </c>
      <c r="AC416" s="8" t="s">
        <v>291</v>
      </c>
      <c r="AD416" s="8" t="s">
        <v>134</v>
      </c>
      <c r="AE416" s="8">
        <v>3045518089</v>
      </c>
      <c r="AF416" s="8" t="s">
        <v>276</v>
      </c>
      <c r="AG416" s="8" t="s">
        <v>292</v>
      </c>
      <c r="AH416" s="51">
        <v>33535</v>
      </c>
      <c r="AI416" s="28">
        <v>34</v>
      </c>
      <c r="AJ416" s="51" t="s">
        <v>1853</v>
      </c>
    </row>
    <row r="417" spans="1:36" ht="12.65" customHeight="1" x14ac:dyDescent="0.35">
      <c r="A417" s="8" t="s">
        <v>139</v>
      </c>
      <c r="B417" s="8" t="s">
        <v>136</v>
      </c>
      <c r="C417" s="8" t="s">
        <v>418</v>
      </c>
      <c r="D417" s="34" t="s">
        <v>1684</v>
      </c>
      <c r="E417" s="14" t="s">
        <v>1685</v>
      </c>
      <c r="F417" s="14" t="s">
        <v>61</v>
      </c>
      <c r="G417" s="14" t="s">
        <v>1</v>
      </c>
      <c r="H417" s="14" t="s">
        <v>9</v>
      </c>
      <c r="I417" s="34" t="s">
        <v>435</v>
      </c>
      <c r="J417" s="8" t="s">
        <v>436</v>
      </c>
      <c r="K417" s="69" t="s">
        <v>437</v>
      </c>
      <c r="L417" s="8" t="s">
        <v>299</v>
      </c>
      <c r="M417" s="8" t="s">
        <v>299</v>
      </c>
      <c r="N417" s="8" t="s">
        <v>306</v>
      </c>
      <c r="O417" s="8" t="s">
        <v>400</v>
      </c>
      <c r="P417" s="8" t="s">
        <v>285</v>
      </c>
      <c r="Q417" s="8" t="s">
        <v>285</v>
      </c>
      <c r="R417" s="8" t="s">
        <v>225</v>
      </c>
      <c r="S417" s="8" t="s">
        <v>237</v>
      </c>
      <c r="T417" s="14" t="s">
        <v>175</v>
      </c>
      <c r="U417" s="14" t="s">
        <v>194</v>
      </c>
      <c r="V417" s="8">
        <v>1</v>
      </c>
      <c r="W417" s="18">
        <v>1</v>
      </c>
      <c r="X417" s="51">
        <v>46148</v>
      </c>
      <c r="Y417" s="51">
        <v>46148</v>
      </c>
      <c r="Z417" s="28">
        <v>5</v>
      </c>
      <c r="AA417" s="16" t="s">
        <v>1699</v>
      </c>
      <c r="AB417" s="8" t="s">
        <v>291</v>
      </c>
      <c r="AC417" s="8" t="s">
        <v>291</v>
      </c>
      <c r="AD417" s="19" t="s">
        <v>137</v>
      </c>
      <c r="AE417" s="19" t="s">
        <v>153</v>
      </c>
      <c r="AF417" s="19" t="s">
        <v>153</v>
      </c>
      <c r="AG417" s="8" t="s">
        <v>292</v>
      </c>
      <c r="AH417" s="51">
        <v>32862</v>
      </c>
      <c r="AI417" s="28">
        <v>36</v>
      </c>
      <c r="AJ417" s="51" t="s">
        <v>1853</v>
      </c>
    </row>
    <row r="418" spans="1:36" ht="12.65" customHeight="1" x14ac:dyDescent="0.35">
      <c r="A418" s="8" t="s">
        <v>4</v>
      </c>
      <c r="B418" s="8" t="s">
        <v>136</v>
      </c>
      <c r="C418" s="8" t="s">
        <v>135</v>
      </c>
      <c r="D418" s="34" t="s">
        <v>1895</v>
      </c>
      <c r="E418" s="14" t="s">
        <v>4</v>
      </c>
      <c r="F418" s="14" t="s">
        <v>61</v>
      </c>
      <c r="G418" s="14" t="s">
        <v>1</v>
      </c>
      <c r="H418" s="14" t="s">
        <v>9</v>
      </c>
      <c r="I418" s="34" t="s">
        <v>340</v>
      </c>
      <c r="J418" s="8" t="s">
        <v>43</v>
      </c>
      <c r="K418" s="69" t="s">
        <v>341</v>
      </c>
      <c r="L418" s="8" t="s">
        <v>75</v>
      </c>
      <c r="M418" s="8" t="s">
        <v>107</v>
      </c>
      <c r="N418" s="8" t="s">
        <v>306</v>
      </c>
      <c r="O418" s="8" t="s">
        <v>13</v>
      </c>
      <c r="P418" s="8" t="s">
        <v>285</v>
      </c>
      <c r="Q418" s="8" t="s">
        <v>285</v>
      </c>
      <c r="R418" s="8" t="s">
        <v>225</v>
      </c>
      <c r="S418" s="8" t="s">
        <v>237</v>
      </c>
      <c r="T418" s="8" t="s">
        <v>175</v>
      </c>
      <c r="U418" s="8" t="s">
        <v>189</v>
      </c>
      <c r="V418" s="8">
        <v>1</v>
      </c>
      <c r="W418" s="18">
        <v>1</v>
      </c>
      <c r="X418" s="51" t="s">
        <v>4</v>
      </c>
      <c r="Y418" s="51" t="s">
        <v>14</v>
      </c>
      <c r="Z418" s="28" t="s">
        <v>14</v>
      </c>
      <c r="AA418" s="16" t="s">
        <v>14</v>
      </c>
      <c r="AB418" s="8" t="s">
        <v>395</v>
      </c>
      <c r="AC418" s="8" t="s">
        <v>294</v>
      </c>
      <c r="AD418" s="19" t="s">
        <v>4</v>
      </c>
      <c r="AE418" s="19" t="s">
        <v>4</v>
      </c>
      <c r="AF418" s="19" t="s">
        <v>4</v>
      </c>
      <c r="AG418" s="8" t="s">
        <v>292</v>
      </c>
      <c r="AH418" s="51" t="s">
        <v>4</v>
      </c>
      <c r="AI418" s="28" t="s">
        <v>4</v>
      </c>
      <c r="AJ418" s="51" t="s">
        <v>4</v>
      </c>
    </row>
    <row r="419" spans="1:36" ht="12.65" customHeight="1" x14ac:dyDescent="0.35">
      <c r="A419" s="8" t="s">
        <v>139</v>
      </c>
      <c r="B419" s="8" t="s">
        <v>136</v>
      </c>
      <c r="C419" s="8" t="s">
        <v>135</v>
      </c>
      <c r="D419" s="33" t="s">
        <v>1794</v>
      </c>
      <c r="E419" s="33" t="s">
        <v>1791</v>
      </c>
      <c r="F419" s="14" t="s">
        <v>57</v>
      </c>
      <c r="G419" s="14" t="s">
        <v>1</v>
      </c>
      <c r="H419" s="14" t="s">
        <v>9</v>
      </c>
      <c r="I419" s="34" t="s">
        <v>320</v>
      </c>
      <c r="J419" s="8" t="s">
        <v>42</v>
      </c>
      <c r="K419" s="69" t="s">
        <v>321</v>
      </c>
      <c r="L419" s="8" t="s">
        <v>75</v>
      </c>
      <c r="M419" s="8" t="s">
        <v>107</v>
      </c>
      <c r="N419" s="8" t="s">
        <v>306</v>
      </c>
      <c r="O419" s="8" t="s">
        <v>13</v>
      </c>
      <c r="P419" s="8" t="s">
        <v>285</v>
      </c>
      <c r="Q419" s="8" t="s">
        <v>285</v>
      </c>
      <c r="R419" s="8" t="s">
        <v>225</v>
      </c>
      <c r="S419" s="8" t="s">
        <v>237</v>
      </c>
      <c r="T419" s="8" t="s">
        <v>175</v>
      </c>
      <c r="U419" s="8" t="s">
        <v>189</v>
      </c>
      <c r="V419" s="8">
        <v>1</v>
      </c>
      <c r="W419" s="18">
        <v>1</v>
      </c>
      <c r="X419" s="51">
        <v>46239</v>
      </c>
      <c r="Y419" s="51">
        <v>46204</v>
      </c>
      <c r="Z419" s="28">
        <v>3</v>
      </c>
      <c r="AA419" s="16" t="s">
        <v>1699</v>
      </c>
      <c r="AB419" s="8" t="s">
        <v>293</v>
      </c>
      <c r="AC419" s="8" t="s">
        <v>291</v>
      </c>
      <c r="AD419" s="8" t="s">
        <v>137</v>
      </c>
      <c r="AE419" s="8" t="s">
        <v>153</v>
      </c>
      <c r="AF419" s="8" t="s">
        <v>153</v>
      </c>
      <c r="AG419" s="8" t="s">
        <v>292</v>
      </c>
      <c r="AH419" s="51">
        <v>38691</v>
      </c>
      <c r="AI419" s="28">
        <v>20</v>
      </c>
      <c r="AJ419" s="51" t="s">
        <v>1853</v>
      </c>
    </row>
    <row r="420" spans="1:36" ht="12.65" customHeight="1" x14ac:dyDescent="0.35">
      <c r="A420" s="8" t="s">
        <v>139</v>
      </c>
      <c r="B420" s="8" t="s">
        <v>136</v>
      </c>
      <c r="C420" s="8" t="s">
        <v>135</v>
      </c>
      <c r="D420" s="34" t="s">
        <v>182</v>
      </c>
      <c r="E420" s="14" t="s">
        <v>183</v>
      </c>
      <c r="F420" s="14" t="s">
        <v>63</v>
      </c>
      <c r="G420" s="14" t="s">
        <v>145</v>
      </c>
      <c r="H420" s="14" t="s">
        <v>9</v>
      </c>
      <c r="I420" s="34" t="s">
        <v>14</v>
      </c>
      <c r="J420" s="8" t="s">
        <v>14</v>
      </c>
      <c r="K420" s="69" t="s">
        <v>14</v>
      </c>
      <c r="L420" s="8" t="s">
        <v>14</v>
      </c>
      <c r="M420" s="8" t="s">
        <v>14</v>
      </c>
      <c r="N420" s="8" t="s">
        <v>14</v>
      </c>
      <c r="O420" s="8" t="s">
        <v>13</v>
      </c>
      <c r="P420" s="8" t="s">
        <v>285</v>
      </c>
      <c r="Q420" s="8" t="s">
        <v>285</v>
      </c>
      <c r="R420" s="8" t="s">
        <v>14</v>
      </c>
      <c r="S420" s="8" t="s">
        <v>237</v>
      </c>
      <c r="T420" s="8" t="s">
        <v>219</v>
      </c>
      <c r="U420" s="8" t="s">
        <v>219</v>
      </c>
      <c r="V420" s="8">
        <v>1</v>
      </c>
      <c r="W420" s="18">
        <v>1</v>
      </c>
      <c r="X420" s="51">
        <v>45659</v>
      </c>
      <c r="Y420" s="51">
        <v>39717</v>
      </c>
      <c r="Z420" s="28">
        <v>216</v>
      </c>
      <c r="AA420" s="16" t="s">
        <v>1701</v>
      </c>
      <c r="AB420" s="8" t="s">
        <v>14</v>
      </c>
      <c r="AC420" s="8" t="s">
        <v>14</v>
      </c>
      <c r="AD420" s="8" t="s">
        <v>134</v>
      </c>
      <c r="AE420" s="8">
        <v>3102711709</v>
      </c>
      <c r="AF420" s="8" t="s">
        <v>276</v>
      </c>
      <c r="AG420" s="19" t="s">
        <v>14</v>
      </c>
      <c r="AH420" s="51">
        <v>30912</v>
      </c>
      <c r="AI420" s="28">
        <v>42</v>
      </c>
      <c r="AJ420" s="51" t="s">
        <v>1853</v>
      </c>
    </row>
    <row r="421" spans="1:36" ht="12.65" customHeight="1" x14ac:dyDescent="0.35">
      <c r="A421" s="8" t="s">
        <v>139</v>
      </c>
      <c r="B421" s="8" t="s">
        <v>136</v>
      </c>
      <c r="C421" s="8" t="s">
        <v>135</v>
      </c>
      <c r="D421" s="34" t="s">
        <v>191</v>
      </c>
      <c r="E421" s="14" t="s">
        <v>192</v>
      </c>
      <c r="F421" s="14" t="s">
        <v>63</v>
      </c>
      <c r="G421" s="14" t="s">
        <v>145</v>
      </c>
      <c r="H421" s="14" t="s">
        <v>9</v>
      </c>
      <c r="I421" s="34" t="s">
        <v>14</v>
      </c>
      <c r="J421" s="8" t="s">
        <v>14</v>
      </c>
      <c r="K421" s="69" t="s">
        <v>14</v>
      </c>
      <c r="L421" s="8" t="s">
        <v>14</v>
      </c>
      <c r="M421" s="8" t="s">
        <v>14</v>
      </c>
      <c r="N421" s="8" t="s">
        <v>14</v>
      </c>
      <c r="O421" s="8" t="s">
        <v>11</v>
      </c>
      <c r="P421" s="8" t="s">
        <v>274</v>
      </c>
      <c r="Q421" s="8" t="s">
        <v>275</v>
      </c>
      <c r="R421" s="8" t="s">
        <v>14</v>
      </c>
      <c r="S421" s="8" t="s">
        <v>247</v>
      </c>
      <c r="T421" s="8" t="s">
        <v>219</v>
      </c>
      <c r="U421" s="8" t="s">
        <v>219</v>
      </c>
      <c r="V421" s="8">
        <v>1</v>
      </c>
      <c r="W421" s="18">
        <v>1</v>
      </c>
      <c r="X421" s="51">
        <v>46164</v>
      </c>
      <c r="Y421" s="51">
        <v>46164</v>
      </c>
      <c r="Z421" s="28">
        <v>4</v>
      </c>
      <c r="AA421" s="16" t="s">
        <v>1699</v>
      </c>
      <c r="AB421" s="8" t="s">
        <v>14</v>
      </c>
      <c r="AC421" s="8" t="s">
        <v>14</v>
      </c>
      <c r="AD421" s="8" t="s">
        <v>137</v>
      </c>
      <c r="AE421" s="8" t="s">
        <v>153</v>
      </c>
      <c r="AF421" s="8" t="s">
        <v>153</v>
      </c>
      <c r="AG421" s="19" t="s">
        <v>14</v>
      </c>
      <c r="AH421" s="51">
        <v>33584</v>
      </c>
      <c r="AI421" s="28">
        <v>34</v>
      </c>
      <c r="AJ421" s="51" t="s">
        <v>1853</v>
      </c>
    </row>
    <row r="422" spans="1:36" ht="12.65" customHeight="1" x14ac:dyDescent="0.35">
      <c r="A422" s="8" t="s">
        <v>139</v>
      </c>
      <c r="B422" s="8" t="s">
        <v>136</v>
      </c>
      <c r="C422" s="8" t="s">
        <v>135</v>
      </c>
      <c r="D422" s="34" t="s">
        <v>196</v>
      </c>
      <c r="E422" s="14" t="s">
        <v>54</v>
      </c>
      <c r="F422" s="14" t="s">
        <v>63</v>
      </c>
      <c r="G422" s="14" t="s">
        <v>145</v>
      </c>
      <c r="H422" s="14" t="s">
        <v>9</v>
      </c>
      <c r="I422" s="34" t="s">
        <v>14</v>
      </c>
      <c r="J422" s="8" t="s">
        <v>14</v>
      </c>
      <c r="K422" s="69" t="s">
        <v>14</v>
      </c>
      <c r="L422" s="8" t="s">
        <v>14</v>
      </c>
      <c r="M422" s="8" t="s">
        <v>14</v>
      </c>
      <c r="N422" s="8" t="s">
        <v>14</v>
      </c>
      <c r="O422" s="8" t="s">
        <v>11</v>
      </c>
      <c r="P422" s="8" t="s">
        <v>274</v>
      </c>
      <c r="Q422" s="8" t="s">
        <v>275</v>
      </c>
      <c r="R422" s="8" t="s">
        <v>14</v>
      </c>
      <c r="S422" s="8" t="s">
        <v>237</v>
      </c>
      <c r="T422" s="8" t="s">
        <v>219</v>
      </c>
      <c r="U422" s="8" t="s">
        <v>219</v>
      </c>
      <c r="V422" s="8">
        <v>1</v>
      </c>
      <c r="W422" s="18">
        <v>1</v>
      </c>
      <c r="X422" s="51">
        <v>45975</v>
      </c>
      <c r="Y422" s="51">
        <v>43635</v>
      </c>
      <c r="Z422" s="28">
        <v>87</v>
      </c>
      <c r="AA422" s="16" t="s">
        <v>1701</v>
      </c>
      <c r="AB422" s="8" t="s">
        <v>14</v>
      </c>
      <c r="AC422" s="8" t="s">
        <v>14</v>
      </c>
      <c r="AD422" s="8" t="s">
        <v>134</v>
      </c>
      <c r="AE422" s="8">
        <v>3102712380</v>
      </c>
      <c r="AF422" s="8" t="s">
        <v>276</v>
      </c>
      <c r="AG422" s="19" t="s">
        <v>14</v>
      </c>
      <c r="AH422" s="51">
        <v>31375</v>
      </c>
      <c r="AI422" s="28">
        <v>40</v>
      </c>
      <c r="AJ422" s="51" t="s">
        <v>1852</v>
      </c>
    </row>
    <row r="423" spans="1:36" ht="12.65" customHeight="1" x14ac:dyDescent="0.35">
      <c r="A423" s="8" t="s">
        <v>139</v>
      </c>
      <c r="B423" s="8" t="s">
        <v>136</v>
      </c>
      <c r="C423" s="8" t="s">
        <v>135</v>
      </c>
      <c r="D423" s="34" t="s">
        <v>188</v>
      </c>
      <c r="E423" s="14" t="s">
        <v>189</v>
      </c>
      <c r="F423" s="14" t="s">
        <v>63</v>
      </c>
      <c r="G423" s="14" t="s">
        <v>145</v>
      </c>
      <c r="H423" s="14" t="s">
        <v>9</v>
      </c>
      <c r="I423" s="34" t="s">
        <v>14</v>
      </c>
      <c r="J423" s="8" t="s">
        <v>14</v>
      </c>
      <c r="K423" s="69" t="s">
        <v>14</v>
      </c>
      <c r="L423" s="8" t="s">
        <v>14</v>
      </c>
      <c r="M423" s="8" t="s">
        <v>14</v>
      </c>
      <c r="N423" s="8" t="s">
        <v>14</v>
      </c>
      <c r="O423" s="8" t="s">
        <v>11</v>
      </c>
      <c r="P423" s="8" t="s">
        <v>274</v>
      </c>
      <c r="Q423" s="8" t="s">
        <v>275</v>
      </c>
      <c r="R423" s="8" t="s">
        <v>14</v>
      </c>
      <c r="S423" s="8" t="s">
        <v>247</v>
      </c>
      <c r="T423" s="8" t="s">
        <v>219</v>
      </c>
      <c r="U423" s="8" t="s">
        <v>219</v>
      </c>
      <c r="V423" s="8">
        <v>1</v>
      </c>
      <c r="W423" s="18">
        <v>1</v>
      </c>
      <c r="X423" s="51">
        <v>45854</v>
      </c>
      <c r="Y423" s="51">
        <v>42755</v>
      </c>
      <c r="Z423" s="28">
        <v>116</v>
      </c>
      <c r="AA423" s="16" t="s">
        <v>1701</v>
      </c>
      <c r="AB423" s="8" t="s">
        <v>14</v>
      </c>
      <c r="AC423" s="8" t="s">
        <v>14</v>
      </c>
      <c r="AD423" s="8" t="s">
        <v>134</v>
      </c>
      <c r="AE423" s="8">
        <v>3102716340</v>
      </c>
      <c r="AF423" s="8" t="s">
        <v>276</v>
      </c>
      <c r="AG423" s="19" t="s">
        <v>14</v>
      </c>
      <c r="AH423" s="51">
        <v>33731</v>
      </c>
      <c r="AI423" s="28">
        <v>34</v>
      </c>
      <c r="AJ423" s="51" t="s">
        <v>1852</v>
      </c>
    </row>
    <row r="424" spans="1:36" ht="12.65" customHeight="1" x14ac:dyDescent="0.35">
      <c r="A424" s="8" t="s">
        <v>139</v>
      </c>
      <c r="B424" s="8" t="s">
        <v>136</v>
      </c>
      <c r="C424" s="8" t="s">
        <v>135</v>
      </c>
      <c r="D424" s="34" t="s">
        <v>185</v>
      </c>
      <c r="E424" s="14" t="s">
        <v>186</v>
      </c>
      <c r="F424" s="14" t="s">
        <v>63</v>
      </c>
      <c r="G424" s="14" t="s">
        <v>145</v>
      </c>
      <c r="H424" s="14" t="s">
        <v>9</v>
      </c>
      <c r="I424" s="34" t="s">
        <v>14</v>
      </c>
      <c r="J424" s="8" t="s">
        <v>14</v>
      </c>
      <c r="K424" s="69" t="s">
        <v>14</v>
      </c>
      <c r="L424" s="8" t="s">
        <v>14</v>
      </c>
      <c r="M424" s="8" t="s">
        <v>14</v>
      </c>
      <c r="N424" s="8" t="s">
        <v>14</v>
      </c>
      <c r="O424" s="8" t="s">
        <v>146</v>
      </c>
      <c r="P424" s="8" t="s">
        <v>283</v>
      </c>
      <c r="Q424" s="8" t="s">
        <v>326</v>
      </c>
      <c r="R424" s="8" t="s">
        <v>14</v>
      </c>
      <c r="S424" s="8" t="s">
        <v>241</v>
      </c>
      <c r="T424" s="8" t="s">
        <v>219</v>
      </c>
      <c r="U424" s="8" t="s">
        <v>219</v>
      </c>
      <c r="V424" s="8">
        <v>1</v>
      </c>
      <c r="W424" s="18">
        <v>1</v>
      </c>
      <c r="X424" s="51">
        <v>45952</v>
      </c>
      <c r="Y424" s="51">
        <v>45952</v>
      </c>
      <c r="Z424" s="28">
        <v>11</v>
      </c>
      <c r="AA424" s="16" t="s">
        <v>1711</v>
      </c>
      <c r="AB424" s="8" t="s">
        <v>14</v>
      </c>
      <c r="AC424" s="8" t="s">
        <v>14</v>
      </c>
      <c r="AD424" s="8" t="s">
        <v>137</v>
      </c>
      <c r="AE424" s="8">
        <v>3102717335</v>
      </c>
      <c r="AF424" s="8" t="s">
        <v>276</v>
      </c>
      <c r="AG424" s="19" t="s">
        <v>14</v>
      </c>
      <c r="AH424" s="51">
        <v>35395</v>
      </c>
      <c r="AI424" s="28">
        <v>29</v>
      </c>
      <c r="AJ424" s="51" t="s">
        <v>1852</v>
      </c>
    </row>
    <row r="425" spans="1:36" ht="12.65" customHeight="1" x14ac:dyDescent="0.35">
      <c r="A425" s="8" t="s">
        <v>139</v>
      </c>
      <c r="B425" s="8" t="s">
        <v>136</v>
      </c>
      <c r="C425" s="8" t="s">
        <v>135</v>
      </c>
      <c r="D425" s="34" t="s">
        <v>193</v>
      </c>
      <c r="E425" s="14" t="s">
        <v>194</v>
      </c>
      <c r="F425" s="8" t="s">
        <v>65</v>
      </c>
      <c r="G425" s="14" t="s">
        <v>145</v>
      </c>
      <c r="H425" s="14" t="s">
        <v>9</v>
      </c>
      <c r="I425" s="34" t="s">
        <v>14</v>
      </c>
      <c r="J425" s="8" t="s">
        <v>14</v>
      </c>
      <c r="K425" s="69" t="s">
        <v>14</v>
      </c>
      <c r="L425" s="8" t="s">
        <v>14</v>
      </c>
      <c r="M425" s="8" t="s">
        <v>14</v>
      </c>
      <c r="N425" s="8" t="s">
        <v>14</v>
      </c>
      <c r="O425" s="8" t="s">
        <v>13</v>
      </c>
      <c r="P425" s="8" t="s">
        <v>285</v>
      </c>
      <c r="Q425" s="8" t="s">
        <v>285</v>
      </c>
      <c r="R425" s="8" t="s">
        <v>14</v>
      </c>
      <c r="S425" s="8" t="s">
        <v>237</v>
      </c>
      <c r="T425" s="8" t="s">
        <v>219</v>
      </c>
      <c r="U425" s="8" t="s">
        <v>219</v>
      </c>
      <c r="V425" s="8">
        <v>1</v>
      </c>
      <c r="W425" s="18">
        <v>1</v>
      </c>
      <c r="X425" s="51">
        <v>45811</v>
      </c>
      <c r="Y425" s="51">
        <v>40970</v>
      </c>
      <c r="Z425" s="28">
        <v>175</v>
      </c>
      <c r="AA425" s="16" t="s">
        <v>1701</v>
      </c>
      <c r="AB425" s="8" t="s">
        <v>14</v>
      </c>
      <c r="AC425" s="8" t="s">
        <v>14</v>
      </c>
      <c r="AD425" s="8" t="s">
        <v>134</v>
      </c>
      <c r="AE425" s="8">
        <v>3102714520</v>
      </c>
      <c r="AF425" s="8" t="s">
        <v>276</v>
      </c>
      <c r="AG425" s="19" t="s">
        <v>14</v>
      </c>
      <c r="AH425" s="51">
        <v>33929</v>
      </c>
      <c r="AI425" s="28">
        <v>33</v>
      </c>
      <c r="AJ425" s="51" t="s">
        <v>1853</v>
      </c>
    </row>
    <row r="426" spans="1:36" ht="12.65" customHeight="1" x14ac:dyDescent="0.35">
      <c r="A426" s="8" t="s">
        <v>139</v>
      </c>
      <c r="B426" s="8" t="s">
        <v>136</v>
      </c>
      <c r="C426" s="8" t="s">
        <v>135</v>
      </c>
      <c r="D426" s="34" t="s">
        <v>218</v>
      </c>
      <c r="E426" s="14" t="s">
        <v>219</v>
      </c>
      <c r="F426" s="14" t="s">
        <v>58</v>
      </c>
      <c r="G426" s="14" t="s">
        <v>144</v>
      </c>
      <c r="H426" s="14" t="s">
        <v>9</v>
      </c>
      <c r="I426" s="34" t="s">
        <v>14</v>
      </c>
      <c r="J426" s="8" t="s">
        <v>14</v>
      </c>
      <c r="K426" s="69" t="s">
        <v>14</v>
      </c>
      <c r="L426" s="8" t="s">
        <v>14</v>
      </c>
      <c r="M426" s="8" t="s">
        <v>14</v>
      </c>
      <c r="N426" s="8" t="s">
        <v>14</v>
      </c>
      <c r="O426" s="8" t="s">
        <v>11</v>
      </c>
      <c r="P426" s="8" t="s">
        <v>274</v>
      </c>
      <c r="Q426" s="8" t="s">
        <v>275</v>
      </c>
      <c r="R426" s="8" t="s">
        <v>14</v>
      </c>
      <c r="S426" s="8" t="s">
        <v>247</v>
      </c>
      <c r="T426" s="14" t="s">
        <v>219</v>
      </c>
      <c r="U426" s="8" t="s">
        <v>14</v>
      </c>
      <c r="V426" s="8">
        <v>1</v>
      </c>
      <c r="W426" s="18">
        <v>1</v>
      </c>
      <c r="X426" s="51">
        <v>45659</v>
      </c>
      <c r="Y426" s="51">
        <v>45659</v>
      </c>
      <c r="Z426" s="28">
        <v>21</v>
      </c>
      <c r="AA426" s="16" t="s">
        <v>1700</v>
      </c>
      <c r="AB426" s="8" t="s">
        <v>14</v>
      </c>
      <c r="AC426" s="8" t="s">
        <v>14</v>
      </c>
      <c r="AD426" s="8" t="s">
        <v>134</v>
      </c>
      <c r="AE426" s="8">
        <v>3102710737</v>
      </c>
      <c r="AF426" s="8" t="s">
        <v>276</v>
      </c>
      <c r="AG426" s="19" t="s">
        <v>14</v>
      </c>
      <c r="AH426" s="51" t="s">
        <v>14</v>
      </c>
      <c r="AI426" s="51" t="s">
        <v>14</v>
      </c>
      <c r="AJ426" s="51" t="s">
        <v>1852</v>
      </c>
    </row>
    <row r="427" spans="1:36" ht="12.65" customHeight="1" x14ac:dyDescent="0.35">
      <c r="A427" s="8" t="s">
        <v>139</v>
      </c>
      <c r="B427" s="8" t="s">
        <v>136</v>
      </c>
      <c r="C427" s="8" t="s">
        <v>135</v>
      </c>
      <c r="D427" s="34" t="s">
        <v>1627</v>
      </c>
      <c r="E427" s="14" t="s">
        <v>1628</v>
      </c>
      <c r="F427" s="14" t="s">
        <v>64</v>
      </c>
      <c r="G427" s="14" t="s">
        <v>152</v>
      </c>
      <c r="H427" s="14" t="s">
        <v>9</v>
      </c>
      <c r="I427" s="34" t="s">
        <v>14</v>
      </c>
      <c r="J427" s="8" t="s">
        <v>14</v>
      </c>
      <c r="K427" s="69" t="s">
        <v>14</v>
      </c>
      <c r="L427" s="8" t="s">
        <v>14</v>
      </c>
      <c r="M427" s="8" t="s">
        <v>14</v>
      </c>
      <c r="N427" s="8" t="s">
        <v>14</v>
      </c>
      <c r="O427" s="8" t="s">
        <v>11</v>
      </c>
      <c r="P427" s="8" t="s">
        <v>274</v>
      </c>
      <c r="Q427" s="8" t="s">
        <v>275</v>
      </c>
      <c r="R427" s="8" t="s">
        <v>14</v>
      </c>
      <c r="S427" s="8" t="s">
        <v>247</v>
      </c>
      <c r="T427" s="14" t="s">
        <v>219</v>
      </c>
      <c r="U427" s="8" t="s">
        <v>219</v>
      </c>
      <c r="V427" s="8">
        <v>1</v>
      </c>
      <c r="W427" s="18">
        <v>1</v>
      </c>
      <c r="X427" s="51">
        <v>46248</v>
      </c>
      <c r="Y427" s="51">
        <v>44433</v>
      </c>
      <c r="Z427" s="28">
        <v>61</v>
      </c>
      <c r="AA427" s="16" t="s">
        <v>1701</v>
      </c>
      <c r="AB427" s="8" t="s">
        <v>14</v>
      </c>
      <c r="AC427" s="8" t="s">
        <v>14</v>
      </c>
      <c r="AD427" s="19" t="s">
        <v>134</v>
      </c>
      <c r="AE427" s="19">
        <v>3102691909</v>
      </c>
      <c r="AF427" s="19" t="s">
        <v>276</v>
      </c>
      <c r="AG427" s="19" t="s">
        <v>14</v>
      </c>
      <c r="AH427" s="51">
        <v>36368</v>
      </c>
      <c r="AI427" s="28">
        <v>27</v>
      </c>
      <c r="AJ427" s="51" t="s">
        <v>1853</v>
      </c>
    </row>
    <row r="428" spans="1:36" ht="12.65" customHeight="1" x14ac:dyDescent="0.35">
      <c r="A428" s="8" t="s">
        <v>139</v>
      </c>
      <c r="B428" s="8" t="s">
        <v>136</v>
      </c>
      <c r="C428" s="8" t="s">
        <v>135</v>
      </c>
      <c r="D428" s="34" t="s">
        <v>224</v>
      </c>
      <c r="E428" s="14" t="s">
        <v>225</v>
      </c>
      <c r="F428" s="14" t="s">
        <v>64</v>
      </c>
      <c r="G428" s="14" t="s">
        <v>152</v>
      </c>
      <c r="H428" s="14" t="s">
        <v>9</v>
      </c>
      <c r="I428" s="34" t="s">
        <v>14</v>
      </c>
      <c r="J428" s="8" t="s">
        <v>14</v>
      </c>
      <c r="K428" s="69" t="s">
        <v>14</v>
      </c>
      <c r="L428" s="8" t="s">
        <v>14</v>
      </c>
      <c r="M428" s="8" t="s">
        <v>14</v>
      </c>
      <c r="N428" s="8" t="s">
        <v>14</v>
      </c>
      <c r="O428" s="8" t="s">
        <v>13</v>
      </c>
      <c r="P428" s="8" t="s">
        <v>285</v>
      </c>
      <c r="Q428" s="8" t="s">
        <v>285</v>
      </c>
      <c r="R428" s="8" t="s">
        <v>14</v>
      </c>
      <c r="S428" s="8" t="s">
        <v>237</v>
      </c>
      <c r="T428" s="14" t="s">
        <v>219</v>
      </c>
      <c r="U428" s="8" t="s">
        <v>219</v>
      </c>
      <c r="V428" s="8">
        <v>1</v>
      </c>
      <c r="W428" s="18">
        <v>1</v>
      </c>
      <c r="X428" s="51">
        <v>45659</v>
      </c>
      <c r="Y428" s="51">
        <v>45659</v>
      </c>
      <c r="Z428" s="28">
        <v>21</v>
      </c>
      <c r="AA428" s="16" t="s">
        <v>1700</v>
      </c>
      <c r="AB428" s="8" t="s">
        <v>14</v>
      </c>
      <c r="AC428" s="8" t="s">
        <v>14</v>
      </c>
      <c r="AD428" s="8" t="s">
        <v>137</v>
      </c>
      <c r="AE428" s="8">
        <v>3102712400</v>
      </c>
      <c r="AF428" s="8" t="s">
        <v>276</v>
      </c>
      <c r="AG428" s="19" t="s">
        <v>14</v>
      </c>
      <c r="AH428" s="51">
        <v>32372</v>
      </c>
      <c r="AI428" s="28">
        <v>38</v>
      </c>
      <c r="AJ428" s="51" t="s">
        <v>1853</v>
      </c>
    </row>
    <row r="429" spans="1:36" ht="12.65" customHeight="1" x14ac:dyDescent="0.35">
      <c r="A429" s="8" t="s">
        <v>139</v>
      </c>
      <c r="B429" s="8" t="s">
        <v>136</v>
      </c>
      <c r="C429" s="8" t="s">
        <v>135</v>
      </c>
      <c r="D429" s="34" t="s">
        <v>230</v>
      </c>
      <c r="E429" s="14" t="s">
        <v>231</v>
      </c>
      <c r="F429" s="14" t="s">
        <v>64</v>
      </c>
      <c r="G429" s="14" t="s">
        <v>152</v>
      </c>
      <c r="H429" s="14" t="s">
        <v>9</v>
      </c>
      <c r="I429" s="34" t="s">
        <v>14</v>
      </c>
      <c r="J429" s="8" t="s">
        <v>14</v>
      </c>
      <c r="K429" s="69" t="s">
        <v>14</v>
      </c>
      <c r="L429" s="8" t="s">
        <v>14</v>
      </c>
      <c r="M429" s="8" t="s">
        <v>14</v>
      </c>
      <c r="N429" s="8" t="s">
        <v>14</v>
      </c>
      <c r="O429" s="8" t="s">
        <v>11</v>
      </c>
      <c r="P429" s="8" t="s">
        <v>274</v>
      </c>
      <c r="Q429" s="8" t="s">
        <v>275</v>
      </c>
      <c r="R429" s="8" t="s">
        <v>14</v>
      </c>
      <c r="S429" s="8" t="s">
        <v>247</v>
      </c>
      <c r="T429" s="14" t="s">
        <v>219</v>
      </c>
      <c r="U429" s="8" t="s">
        <v>219</v>
      </c>
      <c r="V429" s="8">
        <v>1</v>
      </c>
      <c r="W429" s="18">
        <v>1</v>
      </c>
      <c r="X429" s="51">
        <v>45771</v>
      </c>
      <c r="Y429" s="51">
        <v>45659</v>
      </c>
      <c r="Z429" s="28">
        <v>21</v>
      </c>
      <c r="AA429" s="16" t="s">
        <v>1700</v>
      </c>
      <c r="AB429" s="8" t="s">
        <v>14</v>
      </c>
      <c r="AC429" s="8" t="s">
        <v>14</v>
      </c>
      <c r="AD429" s="8" t="s">
        <v>137</v>
      </c>
      <c r="AE429" s="8">
        <v>3102639803</v>
      </c>
      <c r="AF429" s="8" t="s">
        <v>276</v>
      </c>
      <c r="AG429" s="19" t="s">
        <v>14</v>
      </c>
      <c r="AH429" s="51">
        <v>30665</v>
      </c>
      <c r="AI429" s="28">
        <v>42</v>
      </c>
      <c r="AJ429" s="51" t="s">
        <v>1853</v>
      </c>
    </row>
    <row r="430" spans="1:36" ht="12.65" customHeight="1" x14ac:dyDescent="0.35">
      <c r="A430" s="8" t="s">
        <v>139</v>
      </c>
      <c r="B430" s="8" t="s">
        <v>136</v>
      </c>
      <c r="C430" s="8" t="s">
        <v>135</v>
      </c>
      <c r="D430" s="34" t="s">
        <v>233</v>
      </c>
      <c r="E430" s="14" t="s">
        <v>234</v>
      </c>
      <c r="F430" s="14" t="s">
        <v>66</v>
      </c>
      <c r="G430" s="14" t="s">
        <v>152</v>
      </c>
      <c r="H430" s="14" t="s">
        <v>9</v>
      </c>
      <c r="I430" s="34" t="s">
        <v>14</v>
      </c>
      <c r="J430" s="8" t="s">
        <v>14</v>
      </c>
      <c r="K430" s="69" t="s">
        <v>14</v>
      </c>
      <c r="L430" s="8" t="s">
        <v>14</v>
      </c>
      <c r="M430" s="8" t="s">
        <v>14</v>
      </c>
      <c r="N430" s="8" t="s">
        <v>14</v>
      </c>
      <c r="O430" s="8" t="s">
        <v>146</v>
      </c>
      <c r="P430" s="8" t="s">
        <v>283</v>
      </c>
      <c r="Q430" s="8" t="s">
        <v>326</v>
      </c>
      <c r="R430" s="8" t="s">
        <v>14</v>
      </c>
      <c r="S430" s="8" t="s">
        <v>241</v>
      </c>
      <c r="T430" s="14" t="s">
        <v>219</v>
      </c>
      <c r="U430" s="8" t="s">
        <v>219</v>
      </c>
      <c r="V430" s="8">
        <v>1</v>
      </c>
      <c r="W430" s="18">
        <v>1</v>
      </c>
      <c r="X430" s="51">
        <v>45659</v>
      </c>
      <c r="Y430" s="51">
        <v>45659</v>
      </c>
      <c r="Z430" s="28">
        <v>21</v>
      </c>
      <c r="AA430" s="16" t="s">
        <v>1700</v>
      </c>
      <c r="AB430" s="8" t="s">
        <v>14</v>
      </c>
      <c r="AC430" s="8" t="s">
        <v>14</v>
      </c>
      <c r="AD430" s="8" t="s">
        <v>137</v>
      </c>
      <c r="AE430" s="8">
        <v>3102718034</v>
      </c>
      <c r="AF430" s="8" t="s">
        <v>276</v>
      </c>
      <c r="AG430" s="19" t="s">
        <v>14</v>
      </c>
      <c r="AH430" s="51">
        <v>30181</v>
      </c>
      <c r="AI430" s="28">
        <v>44</v>
      </c>
      <c r="AJ430" s="51" t="s">
        <v>1853</v>
      </c>
    </row>
    <row r="431" spans="1:36" ht="12.65" customHeight="1" x14ac:dyDescent="0.35">
      <c r="A431" s="8" t="s">
        <v>139</v>
      </c>
      <c r="B431" s="8" t="s">
        <v>136</v>
      </c>
      <c r="C431" s="8" t="s">
        <v>135</v>
      </c>
      <c r="D431" s="34" t="s">
        <v>221</v>
      </c>
      <c r="E431" s="14" t="s">
        <v>222</v>
      </c>
      <c r="F431" s="14" t="s">
        <v>67</v>
      </c>
      <c r="G431" s="14" t="s">
        <v>152</v>
      </c>
      <c r="H431" s="14" t="s">
        <v>9</v>
      </c>
      <c r="I431" s="34" t="s">
        <v>14</v>
      </c>
      <c r="J431" s="8" t="s">
        <v>14</v>
      </c>
      <c r="K431" s="69" t="s">
        <v>14</v>
      </c>
      <c r="L431" s="8" t="s">
        <v>14</v>
      </c>
      <c r="M431" s="8" t="s">
        <v>14</v>
      </c>
      <c r="N431" s="8" t="s">
        <v>14</v>
      </c>
      <c r="O431" s="8" t="s">
        <v>36</v>
      </c>
      <c r="P431" s="8" t="s">
        <v>282</v>
      </c>
      <c r="Q431" s="8" t="s">
        <v>543</v>
      </c>
      <c r="R431" s="8" t="s">
        <v>14</v>
      </c>
      <c r="S431" s="8" t="s">
        <v>237</v>
      </c>
      <c r="T431" s="14" t="s">
        <v>219</v>
      </c>
      <c r="U431" s="8" t="s">
        <v>219</v>
      </c>
      <c r="V431" s="8">
        <v>1</v>
      </c>
      <c r="W431" s="18">
        <v>1</v>
      </c>
      <c r="X431" s="51">
        <v>45659</v>
      </c>
      <c r="Y431" s="51">
        <v>45659</v>
      </c>
      <c r="Z431" s="28">
        <v>21</v>
      </c>
      <c r="AA431" s="16" t="s">
        <v>1700</v>
      </c>
      <c r="AB431" s="8" t="s">
        <v>14</v>
      </c>
      <c r="AC431" s="8" t="s">
        <v>14</v>
      </c>
      <c r="AD431" s="8" t="s">
        <v>137</v>
      </c>
      <c r="AE431" s="8">
        <v>3102628927</v>
      </c>
      <c r="AF431" s="8" t="s">
        <v>276</v>
      </c>
      <c r="AG431" s="19" t="s">
        <v>14</v>
      </c>
      <c r="AH431" s="51">
        <v>33723</v>
      </c>
      <c r="AI431" s="28">
        <v>34</v>
      </c>
      <c r="AJ431" s="51" t="s">
        <v>1853</v>
      </c>
    </row>
    <row r="432" spans="1:36" ht="12.65" customHeight="1" x14ac:dyDescent="0.35">
      <c r="A432" s="8" t="s">
        <v>139</v>
      </c>
      <c r="B432" s="8" t="s">
        <v>136</v>
      </c>
      <c r="C432" s="8" t="s">
        <v>135</v>
      </c>
      <c r="D432" s="34" t="s">
        <v>227</v>
      </c>
      <c r="E432" s="14" t="s">
        <v>228</v>
      </c>
      <c r="F432" s="14" t="s">
        <v>68</v>
      </c>
      <c r="G432" s="14" t="s">
        <v>152</v>
      </c>
      <c r="H432" s="14" t="s">
        <v>9</v>
      </c>
      <c r="I432" s="34" t="s">
        <v>14</v>
      </c>
      <c r="J432" s="8" t="s">
        <v>14</v>
      </c>
      <c r="K432" s="69" t="s">
        <v>14</v>
      </c>
      <c r="L432" s="8" t="s">
        <v>14</v>
      </c>
      <c r="M432" s="8" t="s">
        <v>14</v>
      </c>
      <c r="N432" s="8" t="s">
        <v>14</v>
      </c>
      <c r="O432" s="8" t="s">
        <v>11</v>
      </c>
      <c r="P432" s="8" t="s">
        <v>274</v>
      </c>
      <c r="Q432" s="8" t="s">
        <v>275</v>
      </c>
      <c r="R432" s="8" t="s">
        <v>14</v>
      </c>
      <c r="S432" s="8" t="s">
        <v>247</v>
      </c>
      <c r="T432" s="14" t="s">
        <v>219</v>
      </c>
      <c r="U432" s="8" t="s">
        <v>219</v>
      </c>
      <c r="V432" s="8">
        <v>1</v>
      </c>
      <c r="W432" s="18">
        <v>1</v>
      </c>
      <c r="X432" s="51">
        <v>45659</v>
      </c>
      <c r="Y432" s="51">
        <v>45659</v>
      </c>
      <c r="Z432" s="28">
        <v>21</v>
      </c>
      <c r="AA432" s="16" t="s">
        <v>1700</v>
      </c>
      <c r="AB432" s="8" t="s">
        <v>14</v>
      </c>
      <c r="AC432" s="8" t="s">
        <v>14</v>
      </c>
      <c r="AD432" s="8" t="s">
        <v>137</v>
      </c>
      <c r="AE432" s="8">
        <v>3102712755</v>
      </c>
      <c r="AF432" s="8" t="s">
        <v>276</v>
      </c>
      <c r="AG432" s="19" t="s">
        <v>14</v>
      </c>
      <c r="AH432" s="51">
        <v>34217</v>
      </c>
      <c r="AI432" s="28">
        <v>33</v>
      </c>
      <c r="AJ432" s="51" t="s">
        <v>1853</v>
      </c>
    </row>
    <row r="433" spans="1:36" ht="12.65" customHeight="1" x14ac:dyDescent="0.35">
      <c r="A433" s="8" t="s">
        <v>139</v>
      </c>
      <c r="B433" s="8" t="s">
        <v>136</v>
      </c>
      <c r="C433" s="8" t="s">
        <v>135</v>
      </c>
      <c r="D433" s="34" t="s">
        <v>177</v>
      </c>
      <c r="E433" s="14" t="s">
        <v>56</v>
      </c>
      <c r="F433" s="28" t="s">
        <v>69</v>
      </c>
      <c r="G433" s="31" t="s">
        <v>125</v>
      </c>
      <c r="H433" s="31" t="s">
        <v>9</v>
      </c>
      <c r="I433" s="8" t="s">
        <v>494</v>
      </c>
      <c r="J433" s="8" t="s">
        <v>31</v>
      </c>
      <c r="K433" s="69" t="s">
        <v>495</v>
      </c>
      <c r="L433" s="8" t="s">
        <v>75</v>
      </c>
      <c r="M433" s="8" t="s">
        <v>76</v>
      </c>
      <c r="N433" s="8" t="s">
        <v>306</v>
      </c>
      <c r="O433" s="8" t="s">
        <v>30</v>
      </c>
      <c r="P433" s="8" t="s">
        <v>496</v>
      </c>
      <c r="Q433" s="8" t="s">
        <v>331</v>
      </c>
      <c r="R433" s="8" t="s">
        <v>222</v>
      </c>
      <c r="S433" s="8" t="s">
        <v>237</v>
      </c>
      <c r="T433" s="8" t="s">
        <v>56</v>
      </c>
      <c r="U433" s="8" t="s">
        <v>189</v>
      </c>
      <c r="V433" s="8">
        <v>1</v>
      </c>
      <c r="W433" s="18">
        <v>0.1111111111111111</v>
      </c>
      <c r="X433" s="51">
        <v>45677</v>
      </c>
      <c r="Y433" s="51">
        <v>45677</v>
      </c>
      <c r="Z433" s="28">
        <v>20</v>
      </c>
      <c r="AA433" s="16" t="s">
        <v>1700</v>
      </c>
      <c r="AB433" s="8" t="s">
        <v>291</v>
      </c>
      <c r="AC433" s="8" t="s">
        <v>294</v>
      </c>
      <c r="AD433" s="8" t="s">
        <v>137</v>
      </c>
      <c r="AE433" s="8">
        <v>3102626594</v>
      </c>
      <c r="AF433" s="8" t="s">
        <v>276</v>
      </c>
      <c r="AG433" s="8" t="s">
        <v>292</v>
      </c>
      <c r="AH433" s="51">
        <v>31056</v>
      </c>
      <c r="AI433" s="28">
        <v>41</v>
      </c>
      <c r="AJ433" s="51" t="s">
        <v>1852</v>
      </c>
    </row>
    <row r="434" spans="1:36" ht="12.65" customHeight="1" x14ac:dyDescent="0.35">
      <c r="A434" s="8" t="s">
        <v>139</v>
      </c>
      <c r="B434" s="8" t="s">
        <v>136</v>
      </c>
      <c r="C434" s="8" t="s">
        <v>135</v>
      </c>
      <c r="D434" s="34" t="s">
        <v>177</v>
      </c>
      <c r="E434" s="14" t="s">
        <v>56</v>
      </c>
      <c r="F434" s="28" t="s">
        <v>69</v>
      </c>
      <c r="G434" s="31" t="s">
        <v>125</v>
      </c>
      <c r="H434" s="14" t="s">
        <v>9</v>
      </c>
      <c r="I434" s="34" t="s">
        <v>1137</v>
      </c>
      <c r="J434" s="8" t="s">
        <v>88</v>
      </c>
      <c r="K434" s="69" t="s">
        <v>1138</v>
      </c>
      <c r="L434" s="8" t="s">
        <v>75</v>
      </c>
      <c r="M434" s="8" t="s">
        <v>76</v>
      </c>
      <c r="N434" s="8" t="s">
        <v>306</v>
      </c>
      <c r="O434" s="8" t="s">
        <v>1139</v>
      </c>
      <c r="P434" s="8" t="s">
        <v>289</v>
      </c>
      <c r="Q434" s="8" t="s">
        <v>331</v>
      </c>
      <c r="R434" s="8" t="s">
        <v>222</v>
      </c>
      <c r="S434" s="8" t="s">
        <v>237</v>
      </c>
      <c r="T434" s="8" t="s">
        <v>56</v>
      </c>
      <c r="U434" s="8" t="s">
        <v>189</v>
      </c>
      <c r="V434" s="8">
        <v>0</v>
      </c>
      <c r="W434" s="18">
        <v>0.1111111111111111</v>
      </c>
      <c r="X434" s="51">
        <v>45677</v>
      </c>
      <c r="Y434" s="51">
        <v>45677</v>
      </c>
      <c r="Z434" s="28">
        <v>20</v>
      </c>
      <c r="AA434" s="16" t="s">
        <v>1700</v>
      </c>
      <c r="AB434" s="8" t="s">
        <v>293</v>
      </c>
      <c r="AC434" s="8" t="s">
        <v>395</v>
      </c>
      <c r="AD434" s="8" t="s">
        <v>137</v>
      </c>
      <c r="AE434" s="8">
        <v>3102626594</v>
      </c>
      <c r="AF434" s="8" t="s">
        <v>276</v>
      </c>
      <c r="AG434" s="8" t="s">
        <v>292</v>
      </c>
      <c r="AH434" s="51">
        <v>31056</v>
      </c>
      <c r="AI434" s="28">
        <v>41</v>
      </c>
      <c r="AJ434" s="51" t="s">
        <v>1852</v>
      </c>
    </row>
    <row r="435" spans="1:36" ht="12.65" customHeight="1" x14ac:dyDescent="0.35">
      <c r="A435" s="8" t="s">
        <v>139</v>
      </c>
      <c r="B435" s="8" t="s">
        <v>136</v>
      </c>
      <c r="C435" s="8" t="s">
        <v>135</v>
      </c>
      <c r="D435" s="34" t="s">
        <v>177</v>
      </c>
      <c r="E435" s="14" t="s">
        <v>56</v>
      </c>
      <c r="F435" s="28" t="s">
        <v>69</v>
      </c>
      <c r="G435" s="31" t="s">
        <v>125</v>
      </c>
      <c r="H435" s="31" t="s">
        <v>9</v>
      </c>
      <c r="I435" s="8" t="s">
        <v>531</v>
      </c>
      <c r="J435" s="8" t="s">
        <v>1458</v>
      </c>
      <c r="K435" s="69" t="s">
        <v>532</v>
      </c>
      <c r="L435" s="8" t="s">
        <v>75</v>
      </c>
      <c r="M435" s="8" t="s">
        <v>76</v>
      </c>
      <c r="N435" s="8" t="s">
        <v>306</v>
      </c>
      <c r="O435" s="8" t="s">
        <v>533</v>
      </c>
      <c r="P435" s="8" t="s">
        <v>282</v>
      </c>
      <c r="Q435" s="8" t="s">
        <v>331</v>
      </c>
      <c r="R435" s="8" t="s">
        <v>222</v>
      </c>
      <c r="S435" s="8" t="s">
        <v>237</v>
      </c>
      <c r="T435" s="8" t="s">
        <v>56</v>
      </c>
      <c r="U435" s="8" t="s">
        <v>189</v>
      </c>
      <c r="V435" s="8">
        <v>0</v>
      </c>
      <c r="W435" s="18">
        <v>0.1111111111111111</v>
      </c>
      <c r="X435" s="51">
        <v>45677</v>
      </c>
      <c r="Y435" s="51">
        <v>45677</v>
      </c>
      <c r="Z435" s="28">
        <v>20</v>
      </c>
      <c r="AA435" s="16" t="s">
        <v>1700</v>
      </c>
      <c r="AB435" s="8" t="s">
        <v>293</v>
      </c>
      <c r="AC435" s="8" t="s">
        <v>294</v>
      </c>
      <c r="AD435" s="8" t="s">
        <v>137</v>
      </c>
      <c r="AE435" s="8">
        <v>3102626594</v>
      </c>
      <c r="AF435" s="8" t="s">
        <v>276</v>
      </c>
      <c r="AG435" s="8" t="s">
        <v>292</v>
      </c>
      <c r="AH435" s="51">
        <v>31056</v>
      </c>
      <c r="AI435" s="28">
        <v>41</v>
      </c>
      <c r="AJ435" s="51" t="s">
        <v>1852</v>
      </c>
    </row>
    <row r="436" spans="1:36" ht="12.65" customHeight="1" x14ac:dyDescent="0.35">
      <c r="A436" s="8" t="s">
        <v>139</v>
      </c>
      <c r="B436" s="8" t="s">
        <v>136</v>
      </c>
      <c r="C436" s="8" t="s">
        <v>135</v>
      </c>
      <c r="D436" s="34" t="s">
        <v>177</v>
      </c>
      <c r="E436" s="14" t="s">
        <v>56</v>
      </c>
      <c r="F436" s="28" t="s">
        <v>69</v>
      </c>
      <c r="G436" s="31" t="s">
        <v>125</v>
      </c>
      <c r="H436" s="31" t="s">
        <v>9</v>
      </c>
      <c r="I436" s="8" t="s">
        <v>338</v>
      </c>
      <c r="J436" s="8" t="s">
        <v>99</v>
      </c>
      <c r="K436" s="69" t="s">
        <v>339</v>
      </c>
      <c r="L436" s="8" t="s">
        <v>75</v>
      </c>
      <c r="M436" s="8" t="s">
        <v>75</v>
      </c>
      <c r="N436" s="8" t="s">
        <v>306</v>
      </c>
      <c r="O436" s="8" t="s">
        <v>151</v>
      </c>
      <c r="P436" s="8" t="s">
        <v>289</v>
      </c>
      <c r="Q436" s="8" t="s">
        <v>331</v>
      </c>
      <c r="R436" s="8" t="s">
        <v>222</v>
      </c>
      <c r="S436" s="8" t="s">
        <v>237</v>
      </c>
      <c r="T436" s="8" t="s">
        <v>56</v>
      </c>
      <c r="U436" s="8" t="s">
        <v>189</v>
      </c>
      <c r="V436" s="8">
        <v>0</v>
      </c>
      <c r="W436" s="18">
        <v>0.1111111111111111</v>
      </c>
      <c r="X436" s="51">
        <v>45677</v>
      </c>
      <c r="Y436" s="51">
        <v>45677</v>
      </c>
      <c r="Z436" s="28">
        <v>20</v>
      </c>
      <c r="AA436" s="16" t="s">
        <v>1700</v>
      </c>
      <c r="AB436" s="8" t="s">
        <v>291</v>
      </c>
      <c r="AC436" s="8" t="s">
        <v>291</v>
      </c>
      <c r="AD436" s="8" t="s">
        <v>137</v>
      </c>
      <c r="AE436" s="8">
        <v>3102626594</v>
      </c>
      <c r="AF436" s="8" t="s">
        <v>276</v>
      </c>
      <c r="AG436" s="8" t="s">
        <v>292</v>
      </c>
      <c r="AH436" s="51">
        <v>31056</v>
      </c>
      <c r="AI436" s="28">
        <v>41</v>
      </c>
      <c r="AJ436" s="51" t="s">
        <v>1852</v>
      </c>
    </row>
    <row r="437" spans="1:36" ht="12.65" customHeight="1" x14ac:dyDescent="0.35">
      <c r="A437" s="8" t="s">
        <v>139</v>
      </c>
      <c r="B437" s="8" t="s">
        <v>136</v>
      </c>
      <c r="C437" s="8" t="s">
        <v>135</v>
      </c>
      <c r="D437" s="34" t="s">
        <v>177</v>
      </c>
      <c r="E437" s="14" t="s">
        <v>56</v>
      </c>
      <c r="F437" s="28" t="s">
        <v>69</v>
      </c>
      <c r="G437" s="31" t="s">
        <v>125</v>
      </c>
      <c r="H437" s="31" t="s">
        <v>9</v>
      </c>
      <c r="I437" s="8" t="s">
        <v>692</v>
      </c>
      <c r="J437" s="8" t="s">
        <v>693</v>
      </c>
      <c r="K437" s="69" t="s">
        <v>694</v>
      </c>
      <c r="L437" s="8" t="s">
        <v>299</v>
      </c>
      <c r="M437" s="8" t="s">
        <v>299</v>
      </c>
      <c r="N437" s="8" t="s">
        <v>306</v>
      </c>
      <c r="O437" s="8" t="s">
        <v>362</v>
      </c>
      <c r="P437" s="8" t="s">
        <v>363</v>
      </c>
      <c r="Q437" s="8" t="s">
        <v>331</v>
      </c>
      <c r="R437" s="8" t="s">
        <v>222</v>
      </c>
      <c r="S437" s="8" t="s">
        <v>237</v>
      </c>
      <c r="T437" s="8" t="s">
        <v>56</v>
      </c>
      <c r="U437" s="14" t="s">
        <v>194</v>
      </c>
      <c r="V437" s="8">
        <v>0</v>
      </c>
      <c r="W437" s="18">
        <v>0.1111111111111111</v>
      </c>
      <c r="X437" s="51">
        <v>45677</v>
      </c>
      <c r="Y437" s="51">
        <v>45677</v>
      </c>
      <c r="Z437" s="28">
        <v>20</v>
      </c>
      <c r="AA437" s="16" t="s">
        <v>1700</v>
      </c>
      <c r="AB437" s="8" t="s">
        <v>291</v>
      </c>
      <c r="AC437" s="8" t="s">
        <v>291</v>
      </c>
      <c r="AD437" s="8" t="s">
        <v>137</v>
      </c>
      <c r="AE437" s="8">
        <v>3102626594</v>
      </c>
      <c r="AF437" s="8" t="s">
        <v>276</v>
      </c>
      <c r="AG437" s="8" t="s">
        <v>292</v>
      </c>
      <c r="AH437" s="51">
        <v>31056</v>
      </c>
      <c r="AI437" s="28">
        <v>41</v>
      </c>
      <c r="AJ437" s="51" t="s">
        <v>1852</v>
      </c>
    </row>
    <row r="438" spans="1:36" ht="12.65" customHeight="1" x14ac:dyDescent="0.35">
      <c r="A438" s="8" t="s">
        <v>139</v>
      </c>
      <c r="B438" s="8" t="s">
        <v>136</v>
      </c>
      <c r="C438" s="8" t="s">
        <v>135</v>
      </c>
      <c r="D438" s="34" t="s">
        <v>177</v>
      </c>
      <c r="E438" s="14" t="s">
        <v>56</v>
      </c>
      <c r="F438" s="28" t="s">
        <v>69</v>
      </c>
      <c r="G438" s="28" t="s">
        <v>125</v>
      </c>
      <c r="H438" s="31" t="s">
        <v>9</v>
      </c>
      <c r="I438" s="8" t="s">
        <v>465</v>
      </c>
      <c r="J438" s="8" t="s">
        <v>466</v>
      </c>
      <c r="K438" s="69" t="s">
        <v>467</v>
      </c>
      <c r="L438" s="8" t="s">
        <v>299</v>
      </c>
      <c r="M438" s="8" t="s">
        <v>299</v>
      </c>
      <c r="N438" s="8" t="s">
        <v>306</v>
      </c>
      <c r="O438" s="8" t="s">
        <v>151</v>
      </c>
      <c r="P438" s="8" t="s">
        <v>289</v>
      </c>
      <c r="Q438" s="8" t="s">
        <v>331</v>
      </c>
      <c r="R438" s="8" t="s">
        <v>222</v>
      </c>
      <c r="S438" s="8" t="s">
        <v>237</v>
      </c>
      <c r="T438" s="8" t="s">
        <v>56</v>
      </c>
      <c r="U438" s="8" t="s">
        <v>194</v>
      </c>
      <c r="V438" s="8">
        <v>0</v>
      </c>
      <c r="W438" s="18">
        <v>0.1111111111111111</v>
      </c>
      <c r="X438" s="51">
        <v>45677</v>
      </c>
      <c r="Y438" s="51">
        <v>45677</v>
      </c>
      <c r="Z438" s="28">
        <v>20</v>
      </c>
      <c r="AA438" s="16" t="s">
        <v>1700</v>
      </c>
      <c r="AB438" s="8" t="s">
        <v>294</v>
      </c>
      <c r="AC438" s="8" t="s">
        <v>294</v>
      </c>
      <c r="AD438" s="8" t="s">
        <v>137</v>
      </c>
      <c r="AE438" s="8">
        <v>3102626594</v>
      </c>
      <c r="AF438" s="8" t="s">
        <v>276</v>
      </c>
      <c r="AG438" s="8" t="s">
        <v>292</v>
      </c>
      <c r="AH438" s="51">
        <v>31056</v>
      </c>
      <c r="AI438" s="28">
        <v>41</v>
      </c>
      <c r="AJ438" s="51" t="s">
        <v>1852</v>
      </c>
    </row>
    <row r="439" spans="1:36" ht="12.65" customHeight="1" x14ac:dyDescent="0.35">
      <c r="A439" s="8" t="s">
        <v>139</v>
      </c>
      <c r="B439" s="8" t="s">
        <v>136</v>
      </c>
      <c r="C439" s="8" t="s">
        <v>135</v>
      </c>
      <c r="D439" s="34" t="s">
        <v>177</v>
      </c>
      <c r="E439" s="14" t="s">
        <v>56</v>
      </c>
      <c r="F439" s="28" t="s">
        <v>69</v>
      </c>
      <c r="G439" s="28" t="s">
        <v>125</v>
      </c>
      <c r="H439" s="31" t="s">
        <v>9</v>
      </c>
      <c r="I439" s="8" t="s">
        <v>534</v>
      </c>
      <c r="J439" s="8" t="s">
        <v>535</v>
      </c>
      <c r="K439" s="69" t="s">
        <v>536</v>
      </c>
      <c r="L439" s="8" t="s">
        <v>299</v>
      </c>
      <c r="M439" s="8" t="s">
        <v>299</v>
      </c>
      <c r="N439" s="8" t="s">
        <v>306</v>
      </c>
      <c r="O439" s="8" t="s">
        <v>30</v>
      </c>
      <c r="P439" s="8" t="s">
        <v>496</v>
      </c>
      <c r="Q439" s="8" t="s">
        <v>331</v>
      </c>
      <c r="R439" s="8" t="s">
        <v>222</v>
      </c>
      <c r="S439" s="8" t="s">
        <v>237</v>
      </c>
      <c r="T439" s="8" t="s">
        <v>56</v>
      </c>
      <c r="U439" s="8" t="s">
        <v>194</v>
      </c>
      <c r="V439" s="8">
        <v>0</v>
      </c>
      <c r="W439" s="18">
        <v>0.1111111111111111</v>
      </c>
      <c r="X439" s="51">
        <v>45677</v>
      </c>
      <c r="Y439" s="51">
        <v>45677</v>
      </c>
      <c r="Z439" s="28">
        <v>20</v>
      </c>
      <c r="AA439" s="16" t="s">
        <v>1700</v>
      </c>
      <c r="AB439" s="8" t="s">
        <v>291</v>
      </c>
      <c r="AC439" s="8" t="s">
        <v>291</v>
      </c>
      <c r="AD439" s="8" t="s">
        <v>137</v>
      </c>
      <c r="AE439" s="8">
        <v>3102626594</v>
      </c>
      <c r="AF439" s="8" t="s">
        <v>276</v>
      </c>
      <c r="AG439" s="8" t="s">
        <v>292</v>
      </c>
      <c r="AH439" s="51">
        <v>31056</v>
      </c>
      <c r="AI439" s="28">
        <v>41</v>
      </c>
      <c r="AJ439" s="51" t="s">
        <v>1852</v>
      </c>
    </row>
    <row r="440" spans="1:36" ht="12.65" customHeight="1" x14ac:dyDescent="0.35">
      <c r="A440" s="8" t="s">
        <v>139</v>
      </c>
      <c r="B440" s="8" t="s">
        <v>136</v>
      </c>
      <c r="C440" s="8" t="s">
        <v>135</v>
      </c>
      <c r="D440" s="34" t="s">
        <v>177</v>
      </c>
      <c r="E440" s="14" t="s">
        <v>56</v>
      </c>
      <c r="F440" s="28" t="s">
        <v>69</v>
      </c>
      <c r="G440" s="28" t="s">
        <v>125</v>
      </c>
      <c r="H440" s="31" t="s">
        <v>9</v>
      </c>
      <c r="I440" s="8" t="s">
        <v>795</v>
      </c>
      <c r="J440" s="8" t="s">
        <v>928</v>
      </c>
      <c r="K440" s="69" t="s">
        <v>796</v>
      </c>
      <c r="L440" s="8" t="s">
        <v>382</v>
      </c>
      <c r="M440" s="8" t="s">
        <v>382</v>
      </c>
      <c r="N440" s="8" t="s">
        <v>306</v>
      </c>
      <c r="O440" s="8" t="s">
        <v>362</v>
      </c>
      <c r="P440" s="8" t="s">
        <v>363</v>
      </c>
      <c r="Q440" s="8" t="s">
        <v>331</v>
      </c>
      <c r="R440" s="8" t="s">
        <v>222</v>
      </c>
      <c r="S440" s="8" t="s">
        <v>237</v>
      </c>
      <c r="T440" s="8" t="s">
        <v>56</v>
      </c>
      <c r="U440" s="8" t="s">
        <v>192</v>
      </c>
      <c r="V440" s="8">
        <v>0</v>
      </c>
      <c r="W440" s="18">
        <v>0.1111111111111111</v>
      </c>
      <c r="X440" s="51">
        <v>45677</v>
      </c>
      <c r="Y440" s="51">
        <v>45677</v>
      </c>
      <c r="Z440" s="28">
        <v>20</v>
      </c>
      <c r="AA440" s="16" t="s">
        <v>1700</v>
      </c>
      <c r="AB440" s="8" t="s">
        <v>293</v>
      </c>
      <c r="AC440" s="8" t="s">
        <v>293</v>
      </c>
      <c r="AD440" s="8" t="s">
        <v>137</v>
      </c>
      <c r="AE440" s="8">
        <v>3102626594</v>
      </c>
      <c r="AF440" s="8" t="s">
        <v>276</v>
      </c>
      <c r="AG440" s="8" t="s">
        <v>295</v>
      </c>
      <c r="AH440" s="51">
        <v>31056</v>
      </c>
      <c r="AI440" s="28">
        <v>41</v>
      </c>
      <c r="AJ440" s="51" t="s">
        <v>1852</v>
      </c>
    </row>
    <row r="441" spans="1:36" ht="12.65" customHeight="1" x14ac:dyDescent="0.35">
      <c r="A441" s="8" t="s">
        <v>139</v>
      </c>
      <c r="B441" s="8" t="s">
        <v>136</v>
      </c>
      <c r="C441" s="8" t="s">
        <v>135</v>
      </c>
      <c r="D441" s="34" t="s">
        <v>177</v>
      </c>
      <c r="E441" s="14" t="s">
        <v>56</v>
      </c>
      <c r="F441" s="28" t="s">
        <v>69</v>
      </c>
      <c r="G441" s="28" t="s">
        <v>125</v>
      </c>
      <c r="H441" s="31" t="s">
        <v>9</v>
      </c>
      <c r="I441" s="8" t="s">
        <v>360</v>
      </c>
      <c r="J441" s="8" t="s">
        <v>115</v>
      </c>
      <c r="K441" s="69" t="s">
        <v>361</v>
      </c>
      <c r="L441" s="8" t="s">
        <v>75</v>
      </c>
      <c r="M441" s="8" t="s">
        <v>107</v>
      </c>
      <c r="N441" s="8" t="s">
        <v>306</v>
      </c>
      <c r="O441" s="8" t="s">
        <v>362</v>
      </c>
      <c r="P441" s="8" t="s">
        <v>363</v>
      </c>
      <c r="Q441" s="8" t="s">
        <v>331</v>
      </c>
      <c r="R441" s="8" t="s">
        <v>222</v>
      </c>
      <c r="S441" s="8" t="s">
        <v>237</v>
      </c>
      <c r="T441" s="8" t="s">
        <v>56</v>
      </c>
      <c r="U441" s="8" t="s">
        <v>189</v>
      </c>
      <c r="V441" s="8">
        <v>0</v>
      </c>
      <c r="W441" s="18">
        <v>0.1111111111111111</v>
      </c>
      <c r="X441" s="51">
        <v>45677</v>
      </c>
      <c r="Y441" s="51">
        <v>45677</v>
      </c>
      <c r="Z441" s="28">
        <v>20</v>
      </c>
      <c r="AA441" s="16" t="s">
        <v>1700</v>
      </c>
      <c r="AB441" s="8" t="s">
        <v>293</v>
      </c>
      <c r="AC441" s="8" t="s">
        <v>291</v>
      </c>
      <c r="AD441" s="8" t="s">
        <v>137</v>
      </c>
      <c r="AE441" s="8">
        <v>3102626594</v>
      </c>
      <c r="AF441" s="8" t="s">
        <v>276</v>
      </c>
      <c r="AG441" s="8" t="s">
        <v>292</v>
      </c>
      <c r="AH441" s="51">
        <v>31056</v>
      </c>
      <c r="AI441" s="28">
        <v>41</v>
      </c>
      <c r="AJ441" s="51" t="s">
        <v>1852</v>
      </c>
    </row>
    <row r="442" spans="1:36" ht="12.65" customHeight="1" x14ac:dyDescent="0.35">
      <c r="A442" s="8" t="s">
        <v>139</v>
      </c>
      <c r="B442" s="8" t="s">
        <v>136</v>
      </c>
      <c r="C442" s="8" t="s">
        <v>135</v>
      </c>
      <c r="D442" s="34" t="s">
        <v>201</v>
      </c>
      <c r="E442" s="14" t="s">
        <v>202</v>
      </c>
      <c r="F442" s="28" t="s">
        <v>69</v>
      </c>
      <c r="G442" s="28" t="s">
        <v>125</v>
      </c>
      <c r="H442" s="31" t="s">
        <v>9</v>
      </c>
      <c r="I442" s="8" t="s">
        <v>366</v>
      </c>
      <c r="J442" s="8" t="s">
        <v>105</v>
      </c>
      <c r="K442" s="69" t="s">
        <v>367</v>
      </c>
      <c r="L442" s="8" t="s">
        <v>75</v>
      </c>
      <c r="M442" s="8" t="s">
        <v>75</v>
      </c>
      <c r="N442" s="8" t="s">
        <v>306</v>
      </c>
      <c r="O442" s="8" t="s">
        <v>11</v>
      </c>
      <c r="P442" s="8" t="s">
        <v>274</v>
      </c>
      <c r="Q442" s="8" t="s">
        <v>275</v>
      </c>
      <c r="R442" s="8" t="s">
        <v>1628</v>
      </c>
      <c r="S442" s="8" t="s">
        <v>247</v>
      </c>
      <c r="T442" s="8" t="s">
        <v>202</v>
      </c>
      <c r="U442" s="8" t="s">
        <v>189</v>
      </c>
      <c r="V442" s="8">
        <v>1</v>
      </c>
      <c r="W442" s="18">
        <v>0.1111111111111111</v>
      </c>
      <c r="X442" s="51">
        <v>45659</v>
      </c>
      <c r="Y442" s="51">
        <v>44282</v>
      </c>
      <c r="Z442" s="28">
        <v>66</v>
      </c>
      <c r="AA442" s="16" t="s">
        <v>1701</v>
      </c>
      <c r="AB442" s="8" t="s">
        <v>291</v>
      </c>
      <c r="AC442" s="8" t="s">
        <v>291</v>
      </c>
      <c r="AD442" s="8" t="s">
        <v>134</v>
      </c>
      <c r="AE442" s="8">
        <v>3102712507</v>
      </c>
      <c r="AF442" s="8" t="s">
        <v>276</v>
      </c>
      <c r="AG442" s="8" t="s">
        <v>292</v>
      </c>
      <c r="AH442" s="51">
        <v>34418</v>
      </c>
      <c r="AI442" s="28">
        <v>32</v>
      </c>
      <c r="AJ442" s="51" t="s">
        <v>1853</v>
      </c>
    </row>
    <row r="443" spans="1:36" ht="12.65" customHeight="1" x14ac:dyDescent="0.35">
      <c r="A443" s="8" t="s">
        <v>139</v>
      </c>
      <c r="B443" s="8" t="s">
        <v>136</v>
      </c>
      <c r="C443" s="8" t="s">
        <v>135</v>
      </c>
      <c r="D443" s="34" t="s">
        <v>201</v>
      </c>
      <c r="E443" s="14" t="s">
        <v>202</v>
      </c>
      <c r="F443" s="28" t="s">
        <v>69</v>
      </c>
      <c r="G443" s="28" t="s">
        <v>125</v>
      </c>
      <c r="H443" s="31" t="s">
        <v>9</v>
      </c>
      <c r="I443" s="8" t="s">
        <v>318</v>
      </c>
      <c r="J443" s="8" t="s">
        <v>104</v>
      </c>
      <c r="K443" s="69" t="s">
        <v>319</v>
      </c>
      <c r="L443" s="8" t="s">
        <v>75</v>
      </c>
      <c r="M443" s="8" t="s">
        <v>75</v>
      </c>
      <c r="N443" s="8" t="s">
        <v>306</v>
      </c>
      <c r="O443" s="8" t="s">
        <v>11</v>
      </c>
      <c r="P443" s="8" t="s">
        <v>274</v>
      </c>
      <c r="Q443" s="8" t="s">
        <v>275</v>
      </c>
      <c r="R443" s="8" t="s">
        <v>1628</v>
      </c>
      <c r="S443" s="8" t="s">
        <v>247</v>
      </c>
      <c r="T443" s="8" t="s">
        <v>202</v>
      </c>
      <c r="U443" s="8" t="s">
        <v>189</v>
      </c>
      <c r="V443" s="8">
        <v>0</v>
      </c>
      <c r="W443" s="18">
        <v>0.1111111111111111</v>
      </c>
      <c r="X443" s="51">
        <v>45659</v>
      </c>
      <c r="Y443" s="51">
        <v>44282</v>
      </c>
      <c r="Z443" s="28">
        <v>66</v>
      </c>
      <c r="AA443" s="16" t="s">
        <v>1701</v>
      </c>
      <c r="AB443" s="8" t="s">
        <v>291</v>
      </c>
      <c r="AC443" s="8" t="s">
        <v>291</v>
      </c>
      <c r="AD443" s="8" t="s">
        <v>134</v>
      </c>
      <c r="AE443" s="8">
        <v>3102712507</v>
      </c>
      <c r="AF443" s="8" t="s">
        <v>276</v>
      </c>
      <c r="AG443" s="8" t="s">
        <v>292</v>
      </c>
      <c r="AH443" s="51">
        <v>34418</v>
      </c>
      <c r="AI443" s="28">
        <v>32</v>
      </c>
      <c r="AJ443" s="51" t="s">
        <v>1853</v>
      </c>
    </row>
    <row r="444" spans="1:36" ht="12.65" customHeight="1" x14ac:dyDescent="0.35">
      <c r="A444" s="8" t="s">
        <v>139</v>
      </c>
      <c r="B444" s="8" t="s">
        <v>136</v>
      </c>
      <c r="C444" s="8" t="s">
        <v>135</v>
      </c>
      <c r="D444" s="34" t="s">
        <v>201</v>
      </c>
      <c r="E444" s="14" t="s">
        <v>202</v>
      </c>
      <c r="F444" s="28" t="s">
        <v>69</v>
      </c>
      <c r="G444" s="28" t="s">
        <v>125</v>
      </c>
      <c r="H444" s="31" t="s">
        <v>9</v>
      </c>
      <c r="I444" s="8" t="s">
        <v>821</v>
      </c>
      <c r="J444" s="8" t="s">
        <v>106</v>
      </c>
      <c r="K444" s="69" t="s">
        <v>822</v>
      </c>
      <c r="L444" s="8" t="s">
        <v>75</v>
      </c>
      <c r="M444" s="8" t="s">
        <v>75</v>
      </c>
      <c r="N444" s="8" t="s">
        <v>306</v>
      </c>
      <c r="O444" s="8" t="s">
        <v>11</v>
      </c>
      <c r="P444" s="8" t="s">
        <v>274</v>
      </c>
      <c r="Q444" s="8" t="s">
        <v>275</v>
      </c>
      <c r="R444" s="8" t="s">
        <v>1628</v>
      </c>
      <c r="S444" s="8" t="s">
        <v>247</v>
      </c>
      <c r="T444" s="8" t="s">
        <v>202</v>
      </c>
      <c r="U444" s="8" t="s">
        <v>189</v>
      </c>
      <c r="V444" s="8">
        <v>0</v>
      </c>
      <c r="W444" s="18">
        <v>0.1111111111111111</v>
      </c>
      <c r="X444" s="51">
        <v>45659</v>
      </c>
      <c r="Y444" s="51">
        <v>44282</v>
      </c>
      <c r="Z444" s="28">
        <v>66</v>
      </c>
      <c r="AA444" s="16" t="s">
        <v>1701</v>
      </c>
      <c r="AB444" s="8" t="s">
        <v>291</v>
      </c>
      <c r="AC444" s="8" t="s">
        <v>291</v>
      </c>
      <c r="AD444" s="8" t="s">
        <v>134</v>
      </c>
      <c r="AE444" s="8">
        <v>3102712507</v>
      </c>
      <c r="AF444" s="8" t="s">
        <v>276</v>
      </c>
      <c r="AG444" s="8" t="s">
        <v>292</v>
      </c>
      <c r="AH444" s="51">
        <v>34418</v>
      </c>
      <c r="AI444" s="28">
        <v>32</v>
      </c>
      <c r="AJ444" s="51" t="s">
        <v>1853</v>
      </c>
    </row>
    <row r="445" spans="1:36" ht="12.65" customHeight="1" x14ac:dyDescent="0.35">
      <c r="A445" s="8" t="s">
        <v>139</v>
      </c>
      <c r="B445" s="8" t="s">
        <v>136</v>
      </c>
      <c r="C445" s="8" t="s">
        <v>135</v>
      </c>
      <c r="D445" s="34" t="s">
        <v>201</v>
      </c>
      <c r="E445" s="14" t="s">
        <v>202</v>
      </c>
      <c r="F445" s="28" t="s">
        <v>69</v>
      </c>
      <c r="G445" s="28" t="s">
        <v>125</v>
      </c>
      <c r="H445" s="31" t="s">
        <v>9</v>
      </c>
      <c r="I445" s="8" t="s">
        <v>304</v>
      </c>
      <c r="J445" s="8" t="s">
        <v>113</v>
      </c>
      <c r="K445" s="69" t="s">
        <v>305</v>
      </c>
      <c r="L445" s="8" t="s">
        <v>75</v>
      </c>
      <c r="M445" s="8" t="s">
        <v>107</v>
      </c>
      <c r="N445" s="8" t="s">
        <v>306</v>
      </c>
      <c r="O445" s="8" t="s">
        <v>11</v>
      </c>
      <c r="P445" s="8" t="s">
        <v>274</v>
      </c>
      <c r="Q445" s="8" t="s">
        <v>275</v>
      </c>
      <c r="R445" s="8" t="s">
        <v>1628</v>
      </c>
      <c r="S445" s="8" t="s">
        <v>247</v>
      </c>
      <c r="T445" s="8" t="s">
        <v>202</v>
      </c>
      <c r="U445" s="8" t="s">
        <v>189</v>
      </c>
      <c r="V445" s="8">
        <v>0</v>
      </c>
      <c r="W445" s="18">
        <v>0.1111111111111111</v>
      </c>
      <c r="X445" s="51">
        <v>45659</v>
      </c>
      <c r="Y445" s="51">
        <v>44282</v>
      </c>
      <c r="Z445" s="28">
        <v>66</v>
      </c>
      <c r="AA445" s="16" t="s">
        <v>1701</v>
      </c>
      <c r="AB445" s="8" t="s">
        <v>293</v>
      </c>
      <c r="AC445" s="8" t="s">
        <v>293</v>
      </c>
      <c r="AD445" s="8" t="s">
        <v>134</v>
      </c>
      <c r="AE445" s="8">
        <v>3102712507</v>
      </c>
      <c r="AF445" s="8" t="s">
        <v>276</v>
      </c>
      <c r="AG445" s="8" t="s">
        <v>292</v>
      </c>
      <c r="AH445" s="51">
        <v>34418</v>
      </c>
      <c r="AI445" s="28">
        <v>32</v>
      </c>
      <c r="AJ445" s="51" t="s">
        <v>1853</v>
      </c>
    </row>
    <row r="446" spans="1:36" ht="12.65" customHeight="1" x14ac:dyDescent="0.35">
      <c r="A446" s="8" t="s">
        <v>139</v>
      </c>
      <c r="B446" s="8" t="s">
        <v>136</v>
      </c>
      <c r="C446" s="8" t="s">
        <v>135</v>
      </c>
      <c r="D446" s="34" t="s">
        <v>201</v>
      </c>
      <c r="E446" s="14" t="s">
        <v>202</v>
      </c>
      <c r="F446" s="28" t="s">
        <v>69</v>
      </c>
      <c r="G446" s="28" t="s">
        <v>125</v>
      </c>
      <c r="H446" s="31" t="s">
        <v>9</v>
      </c>
      <c r="I446" s="8" t="s">
        <v>570</v>
      </c>
      <c r="J446" s="8" t="s">
        <v>117</v>
      </c>
      <c r="K446" s="69" t="s">
        <v>571</v>
      </c>
      <c r="L446" s="8" t="s">
        <v>75</v>
      </c>
      <c r="M446" s="8" t="s">
        <v>107</v>
      </c>
      <c r="N446" s="8" t="s">
        <v>306</v>
      </c>
      <c r="O446" s="8" t="s">
        <v>11</v>
      </c>
      <c r="P446" s="8" t="s">
        <v>274</v>
      </c>
      <c r="Q446" s="8" t="s">
        <v>275</v>
      </c>
      <c r="R446" s="8" t="s">
        <v>1628</v>
      </c>
      <c r="S446" s="8" t="s">
        <v>247</v>
      </c>
      <c r="T446" s="8" t="s">
        <v>202</v>
      </c>
      <c r="U446" s="8" t="s">
        <v>189</v>
      </c>
      <c r="V446" s="8">
        <v>0</v>
      </c>
      <c r="W446" s="18">
        <v>0.1111111111111111</v>
      </c>
      <c r="X446" s="51">
        <v>45659</v>
      </c>
      <c r="Y446" s="51">
        <v>44282</v>
      </c>
      <c r="Z446" s="28">
        <v>66</v>
      </c>
      <c r="AA446" s="16" t="s">
        <v>1701</v>
      </c>
      <c r="AB446" s="8" t="s">
        <v>293</v>
      </c>
      <c r="AC446" s="8" t="s">
        <v>293</v>
      </c>
      <c r="AD446" s="8" t="s">
        <v>134</v>
      </c>
      <c r="AE446" s="8">
        <v>3102712507</v>
      </c>
      <c r="AF446" s="8" t="s">
        <v>276</v>
      </c>
      <c r="AG446" s="8" t="s">
        <v>292</v>
      </c>
      <c r="AH446" s="51">
        <v>34418</v>
      </c>
      <c r="AI446" s="28">
        <v>32</v>
      </c>
      <c r="AJ446" s="51" t="s">
        <v>1853</v>
      </c>
    </row>
    <row r="447" spans="1:36" ht="12.65" customHeight="1" x14ac:dyDescent="0.35">
      <c r="A447" s="8" t="s">
        <v>139</v>
      </c>
      <c r="B447" s="8" t="s">
        <v>136</v>
      </c>
      <c r="C447" s="8" t="s">
        <v>135</v>
      </c>
      <c r="D447" s="34" t="s">
        <v>201</v>
      </c>
      <c r="E447" s="14" t="s">
        <v>202</v>
      </c>
      <c r="F447" s="28" t="s">
        <v>69</v>
      </c>
      <c r="G447" s="28" t="s">
        <v>125</v>
      </c>
      <c r="H447" s="31" t="s">
        <v>9</v>
      </c>
      <c r="I447" s="8" t="s">
        <v>349</v>
      </c>
      <c r="J447" s="8" t="s">
        <v>116</v>
      </c>
      <c r="K447" s="69" t="s">
        <v>350</v>
      </c>
      <c r="L447" s="8" t="s">
        <v>75</v>
      </c>
      <c r="M447" s="8" t="s">
        <v>107</v>
      </c>
      <c r="N447" s="8" t="s">
        <v>306</v>
      </c>
      <c r="O447" s="8" t="s">
        <v>351</v>
      </c>
      <c r="P447" s="8" t="s">
        <v>274</v>
      </c>
      <c r="Q447" s="8" t="s">
        <v>275</v>
      </c>
      <c r="R447" s="8" t="s">
        <v>1628</v>
      </c>
      <c r="S447" s="8" t="s">
        <v>247</v>
      </c>
      <c r="T447" s="8" t="s">
        <v>202</v>
      </c>
      <c r="U447" s="8" t="s">
        <v>189</v>
      </c>
      <c r="V447" s="8">
        <v>0</v>
      </c>
      <c r="W447" s="18">
        <v>0.1111111111111111</v>
      </c>
      <c r="X447" s="51">
        <v>45659</v>
      </c>
      <c r="Y447" s="51">
        <v>44282</v>
      </c>
      <c r="Z447" s="28">
        <v>66</v>
      </c>
      <c r="AA447" s="16" t="s">
        <v>1701</v>
      </c>
      <c r="AB447" s="8" t="s">
        <v>293</v>
      </c>
      <c r="AC447" s="8" t="s">
        <v>291</v>
      </c>
      <c r="AD447" s="8" t="s">
        <v>134</v>
      </c>
      <c r="AE447" s="8">
        <v>3102712507</v>
      </c>
      <c r="AF447" s="8" t="s">
        <v>276</v>
      </c>
      <c r="AG447" s="8" t="s">
        <v>292</v>
      </c>
      <c r="AH447" s="51">
        <v>34418</v>
      </c>
      <c r="AI447" s="28">
        <v>32</v>
      </c>
      <c r="AJ447" s="51" t="s">
        <v>1853</v>
      </c>
    </row>
    <row r="448" spans="1:36" ht="12.65" customHeight="1" x14ac:dyDescent="0.35">
      <c r="A448" s="8" t="s">
        <v>139</v>
      </c>
      <c r="B448" s="8" t="s">
        <v>136</v>
      </c>
      <c r="C448" s="8" t="s">
        <v>135</v>
      </c>
      <c r="D448" s="34" t="s">
        <v>201</v>
      </c>
      <c r="E448" s="14" t="s">
        <v>202</v>
      </c>
      <c r="F448" s="28" t="s">
        <v>69</v>
      </c>
      <c r="G448" s="28" t="s">
        <v>125</v>
      </c>
      <c r="H448" s="31" t="s">
        <v>9</v>
      </c>
      <c r="I448" s="8" t="s">
        <v>310</v>
      </c>
      <c r="J448" s="8" t="s">
        <v>119</v>
      </c>
      <c r="K448" s="69" t="s">
        <v>311</v>
      </c>
      <c r="L448" s="8" t="s">
        <v>75</v>
      </c>
      <c r="M448" s="8" t="s">
        <v>107</v>
      </c>
      <c r="N448" s="8" t="s">
        <v>306</v>
      </c>
      <c r="O448" s="8" t="s">
        <v>11</v>
      </c>
      <c r="P448" s="8" t="s">
        <v>274</v>
      </c>
      <c r="Q448" s="8" t="s">
        <v>275</v>
      </c>
      <c r="R448" s="8" t="s">
        <v>1628</v>
      </c>
      <c r="S448" s="8" t="s">
        <v>247</v>
      </c>
      <c r="T448" s="8" t="s">
        <v>202</v>
      </c>
      <c r="U448" s="8" t="s">
        <v>189</v>
      </c>
      <c r="V448" s="8">
        <v>0</v>
      </c>
      <c r="W448" s="18">
        <v>0.1111111111111111</v>
      </c>
      <c r="X448" s="51">
        <v>45659</v>
      </c>
      <c r="Y448" s="51">
        <v>44282</v>
      </c>
      <c r="Z448" s="28">
        <v>66</v>
      </c>
      <c r="AA448" s="16" t="s">
        <v>1701</v>
      </c>
      <c r="AB448" s="8" t="s">
        <v>293</v>
      </c>
      <c r="AC448" s="8" t="s">
        <v>291</v>
      </c>
      <c r="AD448" s="8" t="s">
        <v>134</v>
      </c>
      <c r="AE448" s="8">
        <v>3102712507</v>
      </c>
      <c r="AF448" s="8" t="s">
        <v>276</v>
      </c>
      <c r="AG448" s="8" t="s">
        <v>292</v>
      </c>
      <c r="AH448" s="51">
        <v>34418</v>
      </c>
      <c r="AI448" s="28">
        <v>32</v>
      </c>
      <c r="AJ448" s="51" t="s">
        <v>1853</v>
      </c>
    </row>
    <row r="449" spans="1:36" ht="12.65" customHeight="1" x14ac:dyDescent="0.35">
      <c r="A449" s="8" t="s">
        <v>139</v>
      </c>
      <c r="B449" s="8" t="s">
        <v>136</v>
      </c>
      <c r="C449" s="8" t="s">
        <v>135</v>
      </c>
      <c r="D449" s="34" t="s">
        <v>201</v>
      </c>
      <c r="E449" s="14" t="s">
        <v>202</v>
      </c>
      <c r="F449" s="28" t="s">
        <v>69</v>
      </c>
      <c r="G449" s="28" t="s">
        <v>125</v>
      </c>
      <c r="H449" s="31" t="s">
        <v>9</v>
      </c>
      <c r="I449" s="8" t="s">
        <v>654</v>
      </c>
      <c r="J449" s="8" t="s">
        <v>122</v>
      </c>
      <c r="K449" s="69" t="s">
        <v>655</v>
      </c>
      <c r="L449" s="8" t="s">
        <v>75</v>
      </c>
      <c r="M449" s="8" t="s">
        <v>107</v>
      </c>
      <c r="N449" s="8" t="s">
        <v>306</v>
      </c>
      <c r="O449" s="8" t="s">
        <v>11</v>
      </c>
      <c r="P449" s="8" t="s">
        <v>274</v>
      </c>
      <c r="Q449" s="8" t="s">
        <v>275</v>
      </c>
      <c r="R449" s="8" t="s">
        <v>1628</v>
      </c>
      <c r="S449" s="8" t="s">
        <v>247</v>
      </c>
      <c r="T449" s="8" t="s">
        <v>202</v>
      </c>
      <c r="U449" s="8" t="s">
        <v>189</v>
      </c>
      <c r="V449" s="8">
        <v>0</v>
      </c>
      <c r="W449" s="18">
        <v>0.1111111111111111</v>
      </c>
      <c r="X449" s="51">
        <v>45659</v>
      </c>
      <c r="Y449" s="51">
        <v>44282</v>
      </c>
      <c r="Z449" s="28">
        <v>66</v>
      </c>
      <c r="AA449" s="16" t="s">
        <v>1701</v>
      </c>
      <c r="AB449" s="8" t="s">
        <v>395</v>
      </c>
      <c r="AC449" s="8" t="s">
        <v>294</v>
      </c>
      <c r="AD449" s="8" t="s">
        <v>134</v>
      </c>
      <c r="AE449" s="8">
        <v>3102712507</v>
      </c>
      <c r="AF449" s="8" t="s">
        <v>276</v>
      </c>
      <c r="AG449" s="8" t="s">
        <v>292</v>
      </c>
      <c r="AH449" s="51">
        <v>34418</v>
      </c>
      <c r="AI449" s="28">
        <v>32</v>
      </c>
      <c r="AJ449" s="51" t="s">
        <v>1853</v>
      </c>
    </row>
    <row r="450" spans="1:36" ht="12.65" customHeight="1" x14ac:dyDescent="0.35">
      <c r="A450" s="8" t="s">
        <v>139</v>
      </c>
      <c r="B450" s="8" t="s">
        <v>136</v>
      </c>
      <c r="C450" s="8" t="s">
        <v>135</v>
      </c>
      <c r="D450" s="34" t="s">
        <v>201</v>
      </c>
      <c r="E450" s="14" t="s">
        <v>202</v>
      </c>
      <c r="F450" s="28" t="s">
        <v>69</v>
      </c>
      <c r="G450" s="28" t="s">
        <v>125</v>
      </c>
      <c r="H450" s="31" t="s">
        <v>9</v>
      </c>
      <c r="I450" s="8" t="s">
        <v>334</v>
      </c>
      <c r="J450" s="8" t="s">
        <v>112</v>
      </c>
      <c r="K450" s="69" t="s">
        <v>335</v>
      </c>
      <c r="L450" s="8" t="s">
        <v>75</v>
      </c>
      <c r="M450" s="8" t="s">
        <v>107</v>
      </c>
      <c r="N450" s="8" t="s">
        <v>306</v>
      </c>
      <c r="O450" s="8" t="s">
        <v>11</v>
      </c>
      <c r="P450" s="8" t="s">
        <v>274</v>
      </c>
      <c r="Q450" s="8" t="s">
        <v>275</v>
      </c>
      <c r="R450" s="8" t="s">
        <v>1628</v>
      </c>
      <c r="S450" s="8" t="s">
        <v>247</v>
      </c>
      <c r="T450" s="8" t="s">
        <v>202</v>
      </c>
      <c r="U450" s="8" t="s">
        <v>189</v>
      </c>
      <c r="V450" s="8">
        <v>0</v>
      </c>
      <c r="W450" s="18">
        <v>0.1111111111111111</v>
      </c>
      <c r="X450" s="51">
        <v>45659</v>
      </c>
      <c r="Y450" s="51">
        <v>44282</v>
      </c>
      <c r="Z450" s="28">
        <v>66</v>
      </c>
      <c r="AA450" s="16" t="s">
        <v>1701</v>
      </c>
      <c r="AB450" s="8" t="s">
        <v>293</v>
      </c>
      <c r="AC450" s="8" t="s">
        <v>291</v>
      </c>
      <c r="AD450" s="8" t="s">
        <v>134</v>
      </c>
      <c r="AE450" s="8">
        <v>3102712507</v>
      </c>
      <c r="AF450" s="8" t="s">
        <v>276</v>
      </c>
      <c r="AG450" s="8" t="s">
        <v>292</v>
      </c>
      <c r="AH450" s="51">
        <v>34418</v>
      </c>
      <c r="AI450" s="28">
        <v>32</v>
      </c>
      <c r="AJ450" s="51" t="s">
        <v>1853</v>
      </c>
    </row>
    <row r="451" spans="1:36" ht="12.65" customHeight="1" x14ac:dyDescent="0.35">
      <c r="A451" s="8" t="s">
        <v>139</v>
      </c>
      <c r="B451" s="8" t="s">
        <v>136</v>
      </c>
      <c r="C451" s="8" t="s">
        <v>135</v>
      </c>
      <c r="D451" s="34" t="s">
        <v>159</v>
      </c>
      <c r="E451" s="14" t="s">
        <v>160</v>
      </c>
      <c r="F451" s="28" t="s">
        <v>69</v>
      </c>
      <c r="G451" s="28" t="s">
        <v>125</v>
      </c>
      <c r="H451" s="31" t="s">
        <v>9</v>
      </c>
      <c r="I451" s="8" t="s">
        <v>380</v>
      </c>
      <c r="J451" s="8" t="s">
        <v>1592</v>
      </c>
      <c r="K451" s="69" t="s">
        <v>381</v>
      </c>
      <c r="L451" s="8" t="s">
        <v>382</v>
      </c>
      <c r="M451" s="8" t="s">
        <v>382</v>
      </c>
      <c r="N451" s="8" t="s">
        <v>306</v>
      </c>
      <c r="O451" s="8" t="s">
        <v>146</v>
      </c>
      <c r="P451" s="8" t="s">
        <v>283</v>
      </c>
      <c r="Q451" s="8" t="s">
        <v>326</v>
      </c>
      <c r="R451" s="8" t="s">
        <v>234</v>
      </c>
      <c r="S451" s="8" t="s">
        <v>241</v>
      </c>
      <c r="T451" s="8" t="s">
        <v>160</v>
      </c>
      <c r="U451" s="8" t="s">
        <v>192</v>
      </c>
      <c r="V451" s="8">
        <v>1</v>
      </c>
      <c r="W451" s="18">
        <v>8.3333333333333329E-2</v>
      </c>
      <c r="X451" s="51">
        <v>45659</v>
      </c>
      <c r="Y451" s="51">
        <v>42278</v>
      </c>
      <c r="Z451" s="28">
        <v>132</v>
      </c>
      <c r="AA451" s="16" t="s">
        <v>1701</v>
      </c>
      <c r="AB451" s="8" t="s">
        <v>291</v>
      </c>
      <c r="AC451" s="8" t="s">
        <v>293</v>
      </c>
      <c r="AD451" s="8" t="s">
        <v>134</v>
      </c>
      <c r="AE451" s="8">
        <v>3102712358</v>
      </c>
      <c r="AF451" s="8" t="s">
        <v>276</v>
      </c>
      <c r="AG451" s="8" t="s">
        <v>292</v>
      </c>
      <c r="AH451" s="51">
        <v>32797</v>
      </c>
      <c r="AI451" s="28">
        <v>37</v>
      </c>
      <c r="AJ451" s="51" t="s">
        <v>1852</v>
      </c>
    </row>
    <row r="452" spans="1:36" ht="12.65" customHeight="1" x14ac:dyDescent="0.35">
      <c r="A452" s="8" t="s">
        <v>139</v>
      </c>
      <c r="B452" s="8" t="s">
        <v>136</v>
      </c>
      <c r="C452" s="8" t="s">
        <v>135</v>
      </c>
      <c r="D452" s="34" t="s">
        <v>159</v>
      </c>
      <c r="E452" s="14" t="s">
        <v>160</v>
      </c>
      <c r="F452" s="28" t="s">
        <v>69</v>
      </c>
      <c r="G452" s="28" t="s">
        <v>125</v>
      </c>
      <c r="H452" s="31" t="s">
        <v>9</v>
      </c>
      <c r="I452" s="8" t="s">
        <v>690</v>
      </c>
      <c r="J452" s="8" t="s">
        <v>1415</v>
      </c>
      <c r="K452" s="69" t="s">
        <v>691</v>
      </c>
      <c r="L452" s="8" t="s">
        <v>382</v>
      </c>
      <c r="M452" s="8" t="s">
        <v>382</v>
      </c>
      <c r="N452" s="8" t="s">
        <v>306</v>
      </c>
      <c r="O452" s="8" t="s">
        <v>15</v>
      </c>
      <c r="P452" s="8" t="s">
        <v>288</v>
      </c>
      <c r="Q452" s="8" t="s">
        <v>326</v>
      </c>
      <c r="R452" s="8" t="s">
        <v>234</v>
      </c>
      <c r="S452" s="8" t="s">
        <v>241</v>
      </c>
      <c r="T452" s="8" t="s">
        <v>160</v>
      </c>
      <c r="U452" s="8" t="s">
        <v>192</v>
      </c>
      <c r="V452" s="8">
        <v>0</v>
      </c>
      <c r="W452" s="18">
        <v>8.3333333333333329E-2</v>
      </c>
      <c r="X452" s="51">
        <v>45659</v>
      </c>
      <c r="Y452" s="51">
        <v>42278</v>
      </c>
      <c r="Z452" s="28">
        <v>132</v>
      </c>
      <c r="AA452" s="16" t="s">
        <v>1701</v>
      </c>
      <c r="AB452" s="8" t="s">
        <v>291</v>
      </c>
      <c r="AC452" s="8" t="s">
        <v>293</v>
      </c>
      <c r="AD452" s="8" t="s">
        <v>134</v>
      </c>
      <c r="AE452" s="8">
        <v>3102712358</v>
      </c>
      <c r="AF452" s="8" t="s">
        <v>276</v>
      </c>
      <c r="AG452" s="8" t="s">
        <v>292</v>
      </c>
      <c r="AH452" s="51">
        <v>32797</v>
      </c>
      <c r="AI452" s="28">
        <v>37</v>
      </c>
      <c r="AJ452" s="51" t="s">
        <v>1852</v>
      </c>
    </row>
    <row r="453" spans="1:36" ht="12.65" customHeight="1" x14ac:dyDescent="0.35">
      <c r="A453" s="8" t="s">
        <v>139</v>
      </c>
      <c r="B453" s="8" t="s">
        <v>136</v>
      </c>
      <c r="C453" s="8" t="s">
        <v>135</v>
      </c>
      <c r="D453" s="34" t="s">
        <v>159</v>
      </c>
      <c r="E453" s="14" t="s">
        <v>160</v>
      </c>
      <c r="F453" s="28" t="s">
        <v>69</v>
      </c>
      <c r="G453" s="28" t="s">
        <v>125</v>
      </c>
      <c r="H453" s="31" t="s">
        <v>9</v>
      </c>
      <c r="I453" s="8" t="s">
        <v>698</v>
      </c>
      <c r="J453" s="8" t="s">
        <v>1440</v>
      </c>
      <c r="K453" s="69" t="s">
        <v>699</v>
      </c>
      <c r="L453" s="8" t="s">
        <v>406</v>
      </c>
      <c r="M453" s="8" t="s">
        <v>407</v>
      </c>
      <c r="N453" s="8" t="s">
        <v>306</v>
      </c>
      <c r="O453" s="8" t="s">
        <v>146</v>
      </c>
      <c r="P453" s="8" t="s">
        <v>283</v>
      </c>
      <c r="Q453" s="8" t="s">
        <v>326</v>
      </c>
      <c r="R453" s="8" t="s">
        <v>234</v>
      </c>
      <c r="S453" s="8" t="s">
        <v>241</v>
      </c>
      <c r="T453" s="8" t="s">
        <v>160</v>
      </c>
      <c r="U453" s="8" t="s">
        <v>186</v>
      </c>
      <c r="V453" s="8">
        <v>0</v>
      </c>
      <c r="W453" s="18">
        <v>8.3333333333333329E-2</v>
      </c>
      <c r="X453" s="51">
        <v>45659</v>
      </c>
      <c r="Y453" s="51">
        <v>42278</v>
      </c>
      <c r="Z453" s="28">
        <v>132</v>
      </c>
      <c r="AA453" s="16" t="s">
        <v>1701</v>
      </c>
      <c r="AB453" s="8" t="s">
        <v>395</v>
      </c>
      <c r="AC453" s="8" t="s">
        <v>395</v>
      </c>
      <c r="AD453" s="8" t="s">
        <v>134</v>
      </c>
      <c r="AE453" s="8">
        <v>3102712358</v>
      </c>
      <c r="AF453" s="8" t="s">
        <v>276</v>
      </c>
      <c r="AG453" s="8" t="s">
        <v>292</v>
      </c>
      <c r="AH453" s="51">
        <v>32797</v>
      </c>
      <c r="AI453" s="28">
        <v>37</v>
      </c>
      <c r="AJ453" s="51" t="s">
        <v>1852</v>
      </c>
    </row>
    <row r="454" spans="1:36" ht="12.65" customHeight="1" x14ac:dyDescent="0.35">
      <c r="A454" s="8" t="s">
        <v>139</v>
      </c>
      <c r="B454" s="8" t="s">
        <v>136</v>
      </c>
      <c r="C454" s="8" t="s">
        <v>135</v>
      </c>
      <c r="D454" s="34" t="s">
        <v>159</v>
      </c>
      <c r="E454" s="14" t="s">
        <v>160</v>
      </c>
      <c r="F454" s="28" t="s">
        <v>69</v>
      </c>
      <c r="G454" s="28" t="s">
        <v>125</v>
      </c>
      <c r="H454" s="31" t="s">
        <v>9</v>
      </c>
      <c r="I454" s="8" t="s">
        <v>433</v>
      </c>
      <c r="J454" s="8" t="s">
        <v>1033</v>
      </c>
      <c r="K454" s="69" t="s">
        <v>434</v>
      </c>
      <c r="L454" s="8" t="s">
        <v>406</v>
      </c>
      <c r="M454" s="8" t="s">
        <v>407</v>
      </c>
      <c r="N454" s="8" t="s">
        <v>306</v>
      </c>
      <c r="O454" s="8" t="s">
        <v>416</v>
      </c>
      <c r="P454" s="8" t="s">
        <v>417</v>
      </c>
      <c r="Q454" s="8" t="s">
        <v>326</v>
      </c>
      <c r="R454" s="8" t="s">
        <v>234</v>
      </c>
      <c r="S454" s="8" t="s">
        <v>241</v>
      </c>
      <c r="T454" s="8" t="s">
        <v>160</v>
      </c>
      <c r="U454" s="8" t="s">
        <v>186</v>
      </c>
      <c r="V454" s="8">
        <v>0</v>
      </c>
      <c r="W454" s="18">
        <v>8.3333333333333329E-2</v>
      </c>
      <c r="X454" s="51">
        <v>45659</v>
      </c>
      <c r="Y454" s="51">
        <v>42278</v>
      </c>
      <c r="Z454" s="28">
        <v>132</v>
      </c>
      <c r="AA454" s="16" t="s">
        <v>1701</v>
      </c>
      <c r="AB454" s="8" t="s">
        <v>294</v>
      </c>
      <c r="AC454" s="8" t="s">
        <v>294</v>
      </c>
      <c r="AD454" s="8" t="s">
        <v>134</v>
      </c>
      <c r="AE454" s="8">
        <v>3102712358</v>
      </c>
      <c r="AF454" s="8" t="s">
        <v>276</v>
      </c>
      <c r="AG454" s="8" t="s">
        <v>292</v>
      </c>
      <c r="AH454" s="51">
        <v>32797</v>
      </c>
      <c r="AI454" s="28">
        <v>37</v>
      </c>
      <c r="AJ454" s="51" t="s">
        <v>1852</v>
      </c>
    </row>
    <row r="455" spans="1:36" ht="12.65" customHeight="1" x14ac:dyDescent="0.35">
      <c r="A455" s="8" t="s">
        <v>139</v>
      </c>
      <c r="B455" s="8" t="s">
        <v>136</v>
      </c>
      <c r="C455" s="8" t="s">
        <v>135</v>
      </c>
      <c r="D455" s="34" t="s">
        <v>159</v>
      </c>
      <c r="E455" s="14" t="s">
        <v>160</v>
      </c>
      <c r="F455" s="28" t="s">
        <v>69</v>
      </c>
      <c r="G455" s="28" t="s">
        <v>125</v>
      </c>
      <c r="H455" s="31" t="s">
        <v>9</v>
      </c>
      <c r="I455" s="8" t="s">
        <v>614</v>
      </c>
      <c r="J455" s="8" t="s">
        <v>883</v>
      </c>
      <c r="K455" s="69" t="s">
        <v>615</v>
      </c>
      <c r="L455" s="8" t="s">
        <v>548</v>
      </c>
      <c r="M455" s="8" t="s">
        <v>548</v>
      </c>
      <c r="N455" s="8" t="s">
        <v>306</v>
      </c>
      <c r="O455" s="8" t="s">
        <v>146</v>
      </c>
      <c r="P455" s="8" t="s">
        <v>283</v>
      </c>
      <c r="Q455" s="8" t="s">
        <v>326</v>
      </c>
      <c r="R455" s="8" t="s">
        <v>234</v>
      </c>
      <c r="S455" s="8" t="s">
        <v>241</v>
      </c>
      <c r="T455" s="8" t="s">
        <v>160</v>
      </c>
      <c r="U455" s="8" t="s">
        <v>186</v>
      </c>
      <c r="V455" s="8">
        <v>0</v>
      </c>
      <c r="W455" s="18">
        <v>8.3333333333333329E-2</v>
      </c>
      <c r="X455" s="51">
        <v>45659</v>
      </c>
      <c r="Y455" s="51">
        <v>42278</v>
      </c>
      <c r="Z455" s="28">
        <v>132</v>
      </c>
      <c r="AA455" s="16" t="s">
        <v>1701</v>
      </c>
      <c r="AB455" s="8" t="s">
        <v>294</v>
      </c>
      <c r="AC455" s="8" t="s">
        <v>294</v>
      </c>
      <c r="AD455" s="8" t="s">
        <v>134</v>
      </c>
      <c r="AE455" s="8">
        <v>3102712358</v>
      </c>
      <c r="AF455" s="8" t="s">
        <v>276</v>
      </c>
      <c r="AG455" s="8" t="s">
        <v>292</v>
      </c>
      <c r="AH455" s="51">
        <v>32797</v>
      </c>
      <c r="AI455" s="28">
        <v>37</v>
      </c>
      <c r="AJ455" s="51" t="s">
        <v>1852</v>
      </c>
    </row>
    <row r="456" spans="1:36" ht="12.65" customHeight="1" x14ac:dyDescent="0.35">
      <c r="A456" s="8" t="s">
        <v>139</v>
      </c>
      <c r="B456" s="8" t="s">
        <v>136</v>
      </c>
      <c r="C456" s="8" t="s">
        <v>135</v>
      </c>
      <c r="D456" s="34" t="s">
        <v>159</v>
      </c>
      <c r="E456" s="14" t="s">
        <v>160</v>
      </c>
      <c r="F456" s="28" t="s">
        <v>69</v>
      </c>
      <c r="G456" s="28" t="s">
        <v>125</v>
      </c>
      <c r="H456" s="31" t="s">
        <v>9</v>
      </c>
      <c r="I456" s="8" t="s">
        <v>1339</v>
      </c>
      <c r="J456" s="8" t="s">
        <v>1340</v>
      </c>
      <c r="K456" s="69" t="s">
        <v>781</v>
      </c>
      <c r="L456" s="8" t="s">
        <v>548</v>
      </c>
      <c r="M456" s="8" t="s">
        <v>548</v>
      </c>
      <c r="N456" s="8" t="s">
        <v>306</v>
      </c>
      <c r="O456" s="8" t="s">
        <v>15</v>
      </c>
      <c r="P456" s="8" t="s">
        <v>288</v>
      </c>
      <c r="Q456" s="8" t="s">
        <v>326</v>
      </c>
      <c r="R456" s="8" t="s">
        <v>234</v>
      </c>
      <c r="S456" s="8" t="s">
        <v>241</v>
      </c>
      <c r="T456" s="8" t="s">
        <v>160</v>
      </c>
      <c r="U456" s="8" t="s">
        <v>186</v>
      </c>
      <c r="V456" s="8">
        <v>0</v>
      </c>
      <c r="W456" s="18">
        <v>8.3333333333333329E-2</v>
      </c>
      <c r="X456" s="51">
        <v>45659</v>
      </c>
      <c r="Y456" s="51">
        <v>42278</v>
      </c>
      <c r="Z456" s="28">
        <v>132</v>
      </c>
      <c r="AA456" s="16" t="s">
        <v>1701</v>
      </c>
      <c r="AB456" s="8" t="s">
        <v>291</v>
      </c>
      <c r="AC456" s="8" t="s">
        <v>291</v>
      </c>
      <c r="AD456" s="8" t="s">
        <v>134</v>
      </c>
      <c r="AE456" s="8">
        <v>3102712358</v>
      </c>
      <c r="AF456" s="8" t="s">
        <v>276</v>
      </c>
      <c r="AG456" s="8" t="s">
        <v>292</v>
      </c>
      <c r="AH456" s="51">
        <v>32797</v>
      </c>
      <c r="AI456" s="28">
        <v>37</v>
      </c>
      <c r="AJ456" s="51" t="s">
        <v>1852</v>
      </c>
    </row>
    <row r="457" spans="1:36" ht="12.65" customHeight="1" x14ac:dyDescent="0.35">
      <c r="A457" s="8" t="s">
        <v>139</v>
      </c>
      <c r="B457" s="8" t="s">
        <v>136</v>
      </c>
      <c r="C457" s="8" t="s">
        <v>135</v>
      </c>
      <c r="D457" s="34" t="s">
        <v>159</v>
      </c>
      <c r="E457" s="14" t="s">
        <v>160</v>
      </c>
      <c r="F457" s="28" t="s">
        <v>69</v>
      </c>
      <c r="G457" s="28" t="s">
        <v>125</v>
      </c>
      <c r="H457" s="31" t="s">
        <v>9</v>
      </c>
      <c r="I457" s="8" t="s">
        <v>1433</v>
      </c>
      <c r="J457" s="8" t="s">
        <v>1434</v>
      </c>
      <c r="K457" s="69" t="s">
        <v>1435</v>
      </c>
      <c r="L457" s="8" t="s">
        <v>548</v>
      </c>
      <c r="M457" s="8" t="s">
        <v>548</v>
      </c>
      <c r="N457" s="8" t="s">
        <v>306</v>
      </c>
      <c r="O457" s="8" t="s">
        <v>146</v>
      </c>
      <c r="P457" s="8" t="s">
        <v>283</v>
      </c>
      <c r="Q457" s="8" t="s">
        <v>326</v>
      </c>
      <c r="R457" s="8" t="s">
        <v>234</v>
      </c>
      <c r="S457" s="8" t="s">
        <v>241</v>
      </c>
      <c r="T457" s="8" t="s">
        <v>160</v>
      </c>
      <c r="U457" s="8" t="s">
        <v>186</v>
      </c>
      <c r="V457" s="8">
        <v>0</v>
      </c>
      <c r="W457" s="18">
        <v>8.3333333333333329E-2</v>
      </c>
      <c r="X457" s="51">
        <v>45659</v>
      </c>
      <c r="Y457" s="51">
        <v>42278</v>
      </c>
      <c r="Z457" s="28">
        <v>132</v>
      </c>
      <c r="AA457" s="16" t="s">
        <v>1701</v>
      </c>
      <c r="AB457" s="8" t="s">
        <v>307</v>
      </c>
      <c r="AC457" s="8" t="s">
        <v>307</v>
      </c>
      <c r="AD457" s="8" t="s">
        <v>134</v>
      </c>
      <c r="AE457" s="8">
        <v>3102712358</v>
      </c>
      <c r="AF457" s="8" t="s">
        <v>276</v>
      </c>
      <c r="AG457" s="8" t="s">
        <v>295</v>
      </c>
      <c r="AH457" s="51">
        <v>32797</v>
      </c>
      <c r="AI457" s="28">
        <v>37</v>
      </c>
      <c r="AJ457" s="51" t="s">
        <v>1852</v>
      </c>
    </row>
    <row r="458" spans="1:36" ht="12.65" customHeight="1" x14ac:dyDescent="0.35">
      <c r="A458" s="8" t="s">
        <v>139</v>
      </c>
      <c r="B458" s="8" t="s">
        <v>136</v>
      </c>
      <c r="C458" s="8" t="s">
        <v>135</v>
      </c>
      <c r="D458" s="34" t="s">
        <v>159</v>
      </c>
      <c r="E458" s="14" t="s">
        <v>160</v>
      </c>
      <c r="F458" s="28" t="s">
        <v>69</v>
      </c>
      <c r="G458" s="28" t="s">
        <v>125</v>
      </c>
      <c r="H458" s="31" t="s">
        <v>9</v>
      </c>
      <c r="I458" s="8" t="s">
        <v>1280</v>
      </c>
      <c r="J458" s="8" t="s">
        <v>1281</v>
      </c>
      <c r="K458" s="69" t="s">
        <v>1282</v>
      </c>
      <c r="L458" s="8" t="s">
        <v>548</v>
      </c>
      <c r="M458" s="8" t="s">
        <v>548</v>
      </c>
      <c r="N458" s="8" t="s">
        <v>306</v>
      </c>
      <c r="O458" s="8" t="s">
        <v>858</v>
      </c>
      <c r="P458" s="8" t="s">
        <v>287</v>
      </c>
      <c r="Q458" s="8" t="s">
        <v>326</v>
      </c>
      <c r="R458" s="8" t="s">
        <v>234</v>
      </c>
      <c r="S458" s="8" t="s">
        <v>241</v>
      </c>
      <c r="T458" s="8" t="s">
        <v>160</v>
      </c>
      <c r="U458" s="8" t="s">
        <v>186</v>
      </c>
      <c r="V458" s="8">
        <v>0</v>
      </c>
      <c r="W458" s="18">
        <v>8.3333333333333329E-2</v>
      </c>
      <c r="X458" s="51">
        <v>45659</v>
      </c>
      <c r="Y458" s="51">
        <v>42278</v>
      </c>
      <c r="Z458" s="28">
        <v>132</v>
      </c>
      <c r="AA458" s="16" t="s">
        <v>1701</v>
      </c>
      <c r="AB458" s="8" t="s">
        <v>307</v>
      </c>
      <c r="AC458" s="8" t="s">
        <v>307</v>
      </c>
      <c r="AD458" s="8" t="s">
        <v>134</v>
      </c>
      <c r="AE458" s="8">
        <v>3102712358</v>
      </c>
      <c r="AF458" s="8" t="s">
        <v>276</v>
      </c>
      <c r="AG458" s="8" t="s">
        <v>295</v>
      </c>
      <c r="AH458" s="51">
        <v>32797</v>
      </c>
      <c r="AI458" s="28">
        <v>37</v>
      </c>
      <c r="AJ458" s="51" t="s">
        <v>1852</v>
      </c>
    </row>
    <row r="459" spans="1:36" ht="12.65" customHeight="1" x14ac:dyDescent="0.35">
      <c r="A459" s="8" t="s">
        <v>139</v>
      </c>
      <c r="B459" s="8" t="s">
        <v>136</v>
      </c>
      <c r="C459" s="8" t="s">
        <v>135</v>
      </c>
      <c r="D459" s="34" t="s">
        <v>159</v>
      </c>
      <c r="E459" s="14" t="s">
        <v>160</v>
      </c>
      <c r="F459" s="28" t="s">
        <v>69</v>
      </c>
      <c r="G459" s="28" t="s">
        <v>125</v>
      </c>
      <c r="H459" s="31" t="s">
        <v>9</v>
      </c>
      <c r="I459" s="8" t="s">
        <v>723</v>
      </c>
      <c r="J459" s="8" t="s">
        <v>859</v>
      </c>
      <c r="K459" s="69" t="s">
        <v>724</v>
      </c>
      <c r="L459" s="8" t="s">
        <v>548</v>
      </c>
      <c r="M459" s="8" t="s">
        <v>548</v>
      </c>
      <c r="N459" s="8" t="s">
        <v>306</v>
      </c>
      <c r="O459" s="8" t="s">
        <v>146</v>
      </c>
      <c r="P459" s="8" t="s">
        <v>283</v>
      </c>
      <c r="Q459" s="8" t="s">
        <v>326</v>
      </c>
      <c r="R459" s="8" t="s">
        <v>234</v>
      </c>
      <c r="S459" s="8" t="s">
        <v>241</v>
      </c>
      <c r="T459" s="8" t="s">
        <v>160</v>
      </c>
      <c r="U459" s="8" t="s">
        <v>186</v>
      </c>
      <c r="V459" s="8">
        <v>0</v>
      </c>
      <c r="W459" s="18">
        <v>8.3333333333333329E-2</v>
      </c>
      <c r="X459" s="51">
        <v>45659</v>
      </c>
      <c r="Y459" s="51">
        <v>42278</v>
      </c>
      <c r="Z459" s="28">
        <v>132</v>
      </c>
      <c r="AA459" s="16" t="s">
        <v>1701</v>
      </c>
      <c r="AB459" s="8" t="s">
        <v>291</v>
      </c>
      <c r="AC459" s="8" t="s">
        <v>291</v>
      </c>
      <c r="AD459" s="8" t="s">
        <v>134</v>
      </c>
      <c r="AE459" s="8">
        <v>3102712358</v>
      </c>
      <c r="AF459" s="8" t="s">
        <v>276</v>
      </c>
      <c r="AG459" s="8" t="s">
        <v>292</v>
      </c>
      <c r="AH459" s="51">
        <v>32797</v>
      </c>
      <c r="AI459" s="28">
        <v>37</v>
      </c>
      <c r="AJ459" s="51" t="s">
        <v>1852</v>
      </c>
    </row>
    <row r="460" spans="1:36" ht="12.65" customHeight="1" x14ac:dyDescent="0.35">
      <c r="A460" s="8" t="s">
        <v>139</v>
      </c>
      <c r="B460" s="8" t="s">
        <v>136</v>
      </c>
      <c r="C460" s="8" t="s">
        <v>135</v>
      </c>
      <c r="D460" s="34" t="s">
        <v>159</v>
      </c>
      <c r="E460" s="14" t="s">
        <v>160</v>
      </c>
      <c r="F460" s="28" t="s">
        <v>69</v>
      </c>
      <c r="G460" s="28" t="s">
        <v>125</v>
      </c>
      <c r="H460" s="31" t="s">
        <v>9</v>
      </c>
      <c r="I460" s="8" t="s">
        <v>590</v>
      </c>
      <c r="J460" s="8" t="s">
        <v>798</v>
      </c>
      <c r="K460" s="69" t="s">
        <v>591</v>
      </c>
      <c r="L460" s="8" t="s">
        <v>548</v>
      </c>
      <c r="M460" s="8" t="s">
        <v>548</v>
      </c>
      <c r="N460" s="8" t="s">
        <v>306</v>
      </c>
      <c r="O460" s="8" t="s">
        <v>146</v>
      </c>
      <c r="P460" s="8" t="s">
        <v>283</v>
      </c>
      <c r="Q460" s="8" t="s">
        <v>326</v>
      </c>
      <c r="R460" s="8" t="s">
        <v>234</v>
      </c>
      <c r="S460" s="8" t="s">
        <v>241</v>
      </c>
      <c r="T460" s="8" t="s">
        <v>160</v>
      </c>
      <c r="U460" s="8" t="s">
        <v>186</v>
      </c>
      <c r="V460" s="8">
        <v>0</v>
      </c>
      <c r="W460" s="18">
        <v>8.3333333333333329E-2</v>
      </c>
      <c r="X460" s="51">
        <v>45659</v>
      </c>
      <c r="Y460" s="51">
        <v>42278</v>
      </c>
      <c r="Z460" s="28">
        <v>132</v>
      </c>
      <c r="AA460" s="16" t="s">
        <v>1701</v>
      </c>
      <c r="AB460" s="8" t="s">
        <v>291</v>
      </c>
      <c r="AC460" s="8" t="s">
        <v>291</v>
      </c>
      <c r="AD460" s="8" t="s">
        <v>134</v>
      </c>
      <c r="AE460" s="8">
        <v>3102712358</v>
      </c>
      <c r="AF460" s="8" t="s">
        <v>276</v>
      </c>
      <c r="AG460" s="8" t="s">
        <v>292</v>
      </c>
      <c r="AH460" s="51">
        <v>32797</v>
      </c>
      <c r="AI460" s="28">
        <v>37</v>
      </c>
      <c r="AJ460" s="51" t="s">
        <v>1852</v>
      </c>
    </row>
    <row r="461" spans="1:36" ht="12.65" customHeight="1" x14ac:dyDescent="0.35">
      <c r="A461" s="8" t="s">
        <v>139</v>
      </c>
      <c r="B461" s="8" t="s">
        <v>136</v>
      </c>
      <c r="C461" s="8" t="s">
        <v>135</v>
      </c>
      <c r="D461" s="34" t="s">
        <v>159</v>
      </c>
      <c r="E461" s="14" t="s">
        <v>160</v>
      </c>
      <c r="F461" s="28" t="s">
        <v>69</v>
      </c>
      <c r="G461" s="28" t="s">
        <v>125</v>
      </c>
      <c r="H461" s="31" t="s">
        <v>9</v>
      </c>
      <c r="I461" s="8" t="s">
        <v>601</v>
      </c>
      <c r="J461" s="8" t="s">
        <v>931</v>
      </c>
      <c r="K461" s="69" t="s">
        <v>602</v>
      </c>
      <c r="L461" s="8" t="s">
        <v>548</v>
      </c>
      <c r="M461" s="8" t="s">
        <v>548</v>
      </c>
      <c r="N461" s="8" t="s">
        <v>306</v>
      </c>
      <c r="O461" s="8" t="s">
        <v>416</v>
      </c>
      <c r="P461" s="8" t="s">
        <v>417</v>
      </c>
      <c r="Q461" s="8" t="s">
        <v>326</v>
      </c>
      <c r="R461" s="8" t="s">
        <v>234</v>
      </c>
      <c r="S461" s="8" t="s">
        <v>241</v>
      </c>
      <c r="T461" s="8" t="s">
        <v>160</v>
      </c>
      <c r="U461" s="8" t="s">
        <v>186</v>
      </c>
      <c r="V461" s="8">
        <v>0</v>
      </c>
      <c r="W461" s="18">
        <v>8.3333333333333329E-2</v>
      </c>
      <c r="X461" s="51">
        <v>45659</v>
      </c>
      <c r="Y461" s="51">
        <v>42278</v>
      </c>
      <c r="Z461" s="28">
        <v>132</v>
      </c>
      <c r="AA461" s="16" t="s">
        <v>1701</v>
      </c>
      <c r="AB461" s="8" t="s">
        <v>294</v>
      </c>
      <c r="AC461" s="8" t="s">
        <v>294</v>
      </c>
      <c r="AD461" s="8" t="s">
        <v>134</v>
      </c>
      <c r="AE461" s="8">
        <v>3102712358</v>
      </c>
      <c r="AF461" s="8" t="s">
        <v>276</v>
      </c>
      <c r="AG461" s="8" t="s">
        <v>292</v>
      </c>
      <c r="AH461" s="51">
        <v>32797</v>
      </c>
      <c r="AI461" s="28">
        <v>37</v>
      </c>
      <c r="AJ461" s="51" t="s">
        <v>1852</v>
      </c>
    </row>
    <row r="462" spans="1:36" ht="12.65" customHeight="1" x14ac:dyDescent="0.35">
      <c r="A462" s="8" t="s">
        <v>139</v>
      </c>
      <c r="B462" s="8" t="s">
        <v>136</v>
      </c>
      <c r="C462" s="8" t="s">
        <v>135</v>
      </c>
      <c r="D462" s="34" t="s">
        <v>159</v>
      </c>
      <c r="E462" s="14" t="s">
        <v>160</v>
      </c>
      <c r="F462" s="28" t="s">
        <v>69</v>
      </c>
      <c r="G462" s="28" t="s">
        <v>125</v>
      </c>
      <c r="H462" s="31" t="s">
        <v>9</v>
      </c>
      <c r="I462" s="8" t="s">
        <v>1074</v>
      </c>
      <c r="J462" s="8" t="s">
        <v>1075</v>
      </c>
      <c r="K462" s="69" t="s">
        <v>1076</v>
      </c>
      <c r="L462" s="8" t="s">
        <v>406</v>
      </c>
      <c r="M462" s="8" t="s">
        <v>976</v>
      </c>
      <c r="N462" s="8" t="s">
        <v>306</v>
      </c>
      <c r="O462" s="8" t="s">
        <v>146</v>
      </c>
      <c r="P462" s="8" t="s">
        <v>283</v>
      </c>
      <c r="Q462" s="8" t="s">
        <v>326</v>
      </c>
      <c r="R462" s="8" t="s">
        <v>234</v>
      </c>
      <c r="S462" s="8" t="s">
        <v>241</v>
      </c>
      <c r="T462" s="8" t="s">
        <v>160</v>
      </c>
      <c r="U462" s="8" t="s">
        <v>186</v>
      </c>
      <c r="V462" s="8">
        <v>0</v>
      </c>
      <c r="W462" s="18">
        <v>8.3333333333333329E-2</v>
      </c>
      <c r="X462" s="51">
        <v>45659</v>
      </c>
      <c r="Y462" s="51">
        <v>42278</v>
      </c>
      <c r="Z462" s="28">
        <v>132</v>
      </c>
      <c r="AA462" s="16" t="s">
        <v>1701</v>
      </c>
      <c r="AB462" s="8" t="s">
        <v>293</v>
      </c>
      <c r="AC462" s="8" t="s">
        <v>293</v>
      </c>
      <c r="AD462" s="8" t="s">
        <v>134</v>
      </c>
      <c r="AE462" s="8">
        <v>3102712358</v>
      </c>
      <c r="AF462" s="8" t="s">
        <v>276</v>
      </c>
      <c r="AG462" s="8" t="s">
        <v>295</v>
      </c>
      <c r="AH462" s="51">
        <v>32797</v>
      </c>
      <c r="AI462" s="28">
        <v>37</v>
      </c>
      <c r="AJ462" s="51" t="s">
        <v>1852</v>
      </c>
    </row>
    <row r="463" spans="1:36" ht="12.65" customHeight="1" x14ac:dyDescent="0.35">
      <c r="A463" s="8" t="s">
        <v>139</v>
      </c>
      <c r="B463" s="8" t="s">
        <v>136</v>
      </c>
      <c r="C463" s="8" t="s">
        <v>135</v>
      </c>
      <c r="D463" s="34" t="s">
        <v>243</v>
      </c>
      <c r="E463" s="14" t="s">
        <v>244</v>
      </c>
      <c r="F463" s="28" t="s">
        <v>69</v>
      </c>
      <c r="G463" s="28" t="s">
        <v>125</v>
      </c>
      <c r="H463" s="31" t="s">
        <v>9</v>
      </c>
      <c r="I463" s="8" t="s">
        <v>1313</v>
      </c>
      <c r="J463" s="8" t="s">
        <v>1314</v>
      </c>
      <c r="K463" s="69" t="s">
        <v>1315</v>
      </c>
      <c r="L463" s="8" t="s">
        <v>299</v>
      </c>
      <c r="M463" s="8" t="s">
        <v>299</v>
      </c>
      <c r="N463" s="8" t="s">
        <v>306</v>
      </c>
      <c r="O463" s="8" t="s">
        <v>964</v>
      </c>
      <c r="P463" s="8" t="s">
        <v>282</v>
      </c>
      <c r="Q463" s="8" t="s">
        <v>543</v>
      </c>
      <c r="R463" s="8" t="s">
        <v>222</v>
      </c>
      <c r="S463" s="8" t="s">
        <v>237</v>
      </c>
      <c r="T463" s="8" t="s">
        <v>244</v>
      </c>
      <c r="U463" s="8" t="s">
        <v>194</v>
      </c>
      <c r="V463" s="8">
        <v>1</v>
      </c>
      <c r="W463" s="18">
        <v>0.04</v>
      </c>
      <c r="X463" s="16">
        <v>45974</v>
      </c>
      <c r="Y463" s="16">
        <v>45974</v>
      </c>
      <c r="Z463" s="28">
        <v>11</v>
      </c>
      <c r="AA463" s="16" t="s">
        <v>1711</v>
      </c>
      <c r="AB463" s="8" t="s">
        <v>291</v>
      </c>
      <c r="AC463" s="8" t="s">
        <v>293</v>
      </c>
      <c r="AD463" s="8" t="s">
        <v>137</v>
      </c>
      <c r="AE463" s="8">
        <v>3102710518</v>
      </c>
      <c r="AF463" s="8" t="s">
        <v>276</v>
      </c>
      <c r="AG463" s="8" t="s">
        <v>292</v>
      </c>
      <c r="AH463" s="51">
        <v>31343</v>
      </c>
      <c r="AI463" s="28">
        <v>40</v>
      </c>
      <c r="AJ463" s="51" t="s">
        <v>1852</v>
      </c>
    </row>
    <row r="464" spans="1:36" ht="12.65" customHeight="1" x14ac:dyDescent="0.35">
      <c r="A464" s="8" t="s">
        <v>139</v>
      </c>
      <c r="B464" s="8" t="s">
        <v>136</v>
      </c>
      <c r="C464" s="8" t="s">
        <v>135</v>
      </c>
      <c r="D464" s="34" t="s">
        <v>243</v>
      </c>
      <c r="E464" s="14" t="s">
        <v>244</v>
      </c>
      <c r="F464" s="28" t="s">
        <v>69</v>
      </c>
      <c r="G464" s="28" t="s">
        <v>125</v>
      </c>
      <c r="H464" s="31" t="s">
        <v>9</v>
      </c>
      <c r="I464" s="8" t="s">
        <v>1177</v>
      </c>
      <c r="J464" s="8" t="s">
        <v>1178</v>
      </c>
      <c r="K464" s="69" t="s">
        <v>1179</v>
      </c>
      <c r="L464" s="8" t="s">
        <v>299</v>
      </c>
      <c r="M464" s="8" t="s">
        <v>299</v>
      </c>
      <c r="N464" s="8" t="s">
        <v>306</v>
      </c>
      <c r="O464" s="8" t="s">
        <v>1180</v>
      </c>
      <c r="P464" s="8" t="s">
        <v>282</v>
      </c>
      <c r="Q464" s="8" t="s">
        <v>543</v>
      </c>
      <c r="R464" s="8" t="s">
        <v>222</v>
      </c>
      <c r="S464" s="8" t="s">
        <v>237</v>
      </c>
      <c r="T464" s="8" t="s">
        <v>244</v>
      </c>
      <c r="U464" s="8" t="s">
        <v>194</v>
      </c>
      <c r="V464" s="8">
        <v>0</v>
      </c>
      <c r="W464" s="18">
        <v>0.04</v>
      </c>
      <c r="X464" s="16">
        <v>45974</v>
      </c>
      <c r="Y464" s="16">
        <v>45974</v>
      </c>
      <c r="Z464" s="28">
        <v>11</v>
      </c>
      <c r="AA464" s="16" t="s">
        <v>1711</v>
      </c>
      <c r="AB464" s="8" t="s">
        <v>293</v>
      </c>
      <c r="AC464" s="8" t="s">
        <v>293</v>
      </c>
      <c r="AD464" s="8" t="s">
        <v>137</v>
      </c>
      <c r="AE464" s="8">
        <v>3102710518</v>
      </c>
      <c r="AF464" s="8" t="s">
        <v>276</v>
      </c>
      <c r="AG464" s="8" t="s">
        <v>295</v>
      </c>
      <c r="AH464" s="51">
        <v>31343</v>
      </c>
      <c r="AI464" s="28">
        <v>40</v>
      </c>
      <c r="AJ464" s="51" t="s">
        <v>1852</v>
      </c>
    </row>
    <row r="465" spans="1:36" ht="12.65" customHeight="1" x14ac:dyDescent="0.35">
      <c r="A465" s="8" t="s">
        <v>139</v>
      </c>
      <c r="B465" s="8" t="s">
        <v>136</v>
      </c>
      <c r="C465" s="8" t="s">
        <v>135</v>
      </c>
      <c r="D465" s="34" t="s">
        <v>243</v>
      </c>
      <c r="E465" s="14" t="s">
        <v>244</v>
      </c>
      <c r="F465" s="28" t="s">
        <v>69</v>
      </c>
      <c r="G465" s="28" t="s">
        <v>125</v>
      </c>
      <c r="H465" s="31" t="s">
        <v>9</v>
      </c>
      <c r="I465" s="8" t="s">
        <v>528</v>
      </c>
      <c r="J465" s="8" t="s">
        <v>529</v>
      </c>
      <c r="K465" s="69" t="s">
        <v>530</v>
      </c>
      <c r="L465" s="8" t="s">
        <v>299</v>
      </c>
      <c r="M465" s="8" t="s">
        <v>299</v>
      </c>
      <c r="N465" s="8" t="s">
        <v>306</v>
      </c>
      <c r="O465" s="8" t="s">
        <v>508</v>
      </c>
      <c r="P465" s="8" t="s">
        <v>509</v>
      </c>
      <c r="Q465" s="8" t="s">
        <v>543</v>
      </c>
      <c r="R465" s="8" t="s">
        <v>222</v>
      </c>
      <c r="S465" s="8" t="s">
        <v>237</v>
      </c>
      <c r="T465" s="8" t="s">
        <v>244</v>
      </c>
      <c r="U465" s="14" t="s">
        <v>194</v>
      </c>
      <c r="V465" s="8">
        <v>0</v>
      </c>
      <c r="W465" s="18">
        <v>0.04</v>
      </c>
      <c r="X465" s="16">
        <v>45974</v>
      </c>
      <c r="Y465" s="16">
        <v>45974</v>
      </c>
      <c r="Z465" s="28">
        <v>11</v>
      </c>
      <c r="AA465" s="16" t="s">
        <v>1711</v>
      </c>
      <c r="AB465" s="8" t="s">
        <v>294</v>
      </c>
      <c r="AC465" s="8" t="s">
        <v>294</v>
      </c>
      <c r="AD465" s="8" t="s">
        <v>137</v>
      </c>
      <c r="AE465" s="8">
        <v>3102710518</v>
      </c>
      <c r="AF465" s="8" t="s">
        <v>276</v>
      </c>
      <c r="AG465" s="8" t="s">
        <v>292</v>
      </c>
      <c r="AH465" s="51">
        <v>31343</v>
      </c>
      <c r="AI465" s="28">
        <v>40</v>
      </c>
      <c r="AJ465" s="51" t="s">
        <v>1852</v>
      </c>
    </row>
    <row r="466" spans="1:36" ht="12.65" customHeight="1" x14ac:dyDescent="0.35">
      <c r="A466" s="8" t="s">
        <v>139</v>
      </c>
      <c r="B466" s="8" t="s">
        <v>136</v>
      </c>
      <c r="C466" s="8" t="s">
        <v>135</v>
      </c>
      <c r="D466" s="34" t="s">
        <v>243</v>
      </c>
      <c r="E466" s="14" t="s">
        <v>244</v>
      </c>
      <c r="F466" s="28" t="s">
        <v>69</v>
      </c>
      <c r="G466" s="28" t="s">
        <v>125</v>
      </c>
      <c r="H466" s="31" t="s">
        <v>9</v>
      </c>
      <c r="I466" s="8" t="s">
        <v>1234</v>
      </c>
      <c r="J466" s="8" t="s">
        <v>1235</v>
      </c>
      <c r="K466" s="69" t="s">
        <v>1236</v>
      </c>
      <c r="L466" s="8" t="s">
        <v>299</v>
      </c>
      <c r="M466" s="8" t="s">
        <v>299</v>
      </c>
      <c r="N466" s="8" t="s">
        <v>306</v>
      </c>
      <c r="O466" s="8" t="s">
        <v>27</v>
      </c>
      <c r="P466" s="8" t="s">
        <v>282</v>
      </c>
      <c r="Q466" s="8" t="s">
        <v>543</v>
      </c>
      <c r="R466" s="8" t="s">
        <v>222</v>
      </c>
      <c r="S466" s="8" t="s">
        <v>237</v>
      </c>
      <c r="T466" s="8" t="s">
        <v>244</v>
      </c>
      <c r="U466" s="14" t="s">
        <v>194</v>
      </c>
      <c r="V466" s="8">
        <v>0</v>
      </c>
      <c r="W466" s="18">
        <v>0.04</v>
      </c>
      <c r="X466" s="16">
        <v>45974</v>
      </c>
      <c r="Y466" s="16">
        <v>45974</v>
      </c>
      <c r="Z466" s="28">
        <v>11</v>
      </c>
      <c r="AA466" s="16" t="s">
        <v>1711</v>
      </c>
      <c r="AB466" s="8" t="s">
        <v>291</v>
      </c>
      <c r="AC466" s="8" t="s">
        <v>293</v>
      </c>
      <c r="AD466" s="8" t="s">
        <v>137</v>
      </c>
      <c r="AE466" s="8">
        <v>3102710518</v>
      </c>
      <c r="AF466" s="8" t="s">
        <v>276</v>
      </c>
      <c r="AG466" s="8" t="s">
        <v>292</v>
      </c>
      <c r="AH466" s="51">
        <v>31343</v>
      </c>
      <c r="AI466" s="28">
        <v>40</v>
      </c>
      <c r="AJ466" s="51" t="s">
        <v>1852</v>
      </c>
    </row>
    <row r="467" spans="1:36" ht="12.65" customHeight="1" x14ac:dyDescent="0.35">
      <c r="A467" s="8" t="s">
        <v>139</v>
      </c>
      <c r="B467" s="8" t="s">
        <v>136</v>
      </c>
      <c r="C467" s="8" t="s">
        <v>135</v>
      </c>
      <c r="D467" s="34" t="s">
        <v>243</v>
      </c>
      <c r="E467" s="14" t="s">
        <v>244</v>
      </c>
      <c r="F467" s="28" t="s">
        <v>69</v>
      </c>
      <c r="G467" s="28" t="s">
        <v>125</v>
      </c>
      <c r="H467" s="31" t="s">
        <v>9</v>
      </c>
      <c r="I467" s="8" t="s">
        <v>741</v>
      </c>
      <c r="J467" s="8" t="s">
        <v>742</v>
      </c>
      <c r="K467" s="69" t="s">
        <v>743</v>
      </c>
      <c r="L467" s="8" t="s">
        <v>299</v>
      </c>
      <c r="M467" s="8" t="s">
        <v>299</v>
      </c>
      <c r="N467" s="8" t="s">
        <v>306</v>
      </c>
      <c r="O467" s="8" t="s">
        <v>36</v>
      </c>
      <c r="P467" s="8" t="s">
        <v>282</v>
      </c>
      <c r="Q467" s="8" t="s">
        <v>543</v>
      </c>
      <c r="R467" s="8" t="s">
        <v>222</v>
      </c>
      <c r="S467" s="8" t="s">
        <v>237</v>
      </c>
      <c r="T467" s="8" t="s">
        <v>244</v>
      </c>
      <c r="U467" s="14" t="s">
        <v>194</v>
      </c>
      <c r="V467" s="8">
        <v>0</v>
      </c>
      <c r="W467" s="18">
        <v>0.04</v>
      </c>
      <c r="X467" s="16">
        <v>45974</v>
      </c>
      <c r="Y467" s="16">
        <v>45974</v>
      </c>
      <c r="Z467" s="28">
        <v>11</v>
      </c>
      <c r="AA467" s="16" t="s">
        <v>1711</v>
      </c>
      <c r="AB467" s="8" t="s">
        <v>294</v>
      </c>
      <c r="AC467" s="8" t="s">
        <v>294</v>
      </c>
      <c r="AD467" s="8" t="s">
        <v>137</v>
      </c>
      <c r="AE467" s="8">
        <v>3102710518</v>
      </c>
      <c r="AF467" s="8" t="s">
        <v>276</v>
      </c>
      <c r="AG467" s="8" t="s">
        <v>292</v>
      </c>
      <c r="AH467" s="51">
        <v>31343</v>
      </c>
      <c r="AI467" s="28">
        <v>40</v>
      </c>
      <c r="AJ467" s="51" t="s">
        <v>1852</v>
      </c>
    </row>
    <row r="468" spans="1:36" ht="12.65" customHeight="1" x14ac:dyDescent="0.35">
      <c r="A468" s="8" t="s">
        <v>139</v>
      </c>
      <c r="B468" s="8" t="s">
        <v>136</v>
      </c>
      <c r="C468" s="8" t="s">
        <v>135</v>
      </c>
      <c r="D468" s="34" t="s">
        <v>243</v>
      </c>
      <c r="E468" s="14" t="s">
        <v>244</v>
      </c>
      <c r="F468" s="28" t="s">
        <v>69</v>
      </c>
      <c r="G468" s="28" t="s">
        <v>125</v>
      </c>
      <c r="H468" s="31" t="s">
        <v>9</v>
      </c>
      <c r="I468" s="8" t="s">
        <v>819</v>
      </c>
      <c r="J468" s="8" t="s">
        <v>28</v>
      </c>
      <c r="K468" s="69" t="s">
        <v>820</v>
      </c>
      <c r="L468" s="8" t="s">
        <v>299</v>
      </c>
      <c r="M468" s="8" t="s">
        <v>299</v>
      </c>
      <c r="N468" s="8" t="s">
        <v>306</v>
      </c>
      <c r="O468" s="8" t="s">
        <v>27</v>
      </c>
      <c r="P468" s="8" t="s">
        <v>282</v>
      </c>
      <c r="Q468" s="8" t="s">
        <v>543</v>
      </c>
      <c r="R468" s="8" t="s">
        <v>222</v>
      </c>
      <c r="S468" s="8" t="s">
        <v>237</v>
      </c>
      <c r="T468" s="8" t="s">
        <v>244</v>
      </c>
      <c r="U468" s="14" t="s">
        <v>194</v>
      </c>
      <c r="V468" s="8">
        <v>0</v>
      </c>
      <c r="W468" s="18">
        <v>0.04</v>
      </c>
      <c r="X468" s="16">
        <v>45974</v>
      </c>
      <c r="Y468" s="16">
        <v>45974</v>
      </c>
      <c r="Z468" s="28">
        <v>11</v>
      </c>
      <c r="AA468" s="16" t="s">
        <v>1711</v>
      </c>
      <c r="AB468" s="8" t="s">
        <v>294</v>
      </c>
      <c r="AC468" s="8" t="s">
        <v>294</v>
      </c>
      <c r="AD468" s="8" t="s">
        <v>137</v>
      </c>
      <c r="AE468" s="8">
        <v>3102710518</v>
      </c>
      <c r="AF468" s="8" t="s">
        <v>276</v>
      </c>
      <c r="AG468" s="8" t="s">
        <v>292</v>
      </c>
      <c r="AH468" s="51">
        <v>31343</v>
      </c>
      <c r="AI468" s="28">
        <v>40</v>
      </c>
      <c r="AJ468" s="51" t="s">
        <v>1852</v>
      </c>
    </row>
    <row r="469" spans="1:36" ht="12.65" customHeight="1" x14ac:dyDescent="0.35">
      <c r="A469" s="8" t="s">
        <v>139</v>
      </c>
      <c r="B469" s="8" t="s">
        <v>136</v>
      </c>
      <c r="C469" s="8" t="s">
        <v>135</v>
      </c>
      <c r="D469" s="34" t="s">
        <v>243</v>
      </c>
      <c r="E469" s="14" t="s">
        <v>244</v>
      </c>
      <c r="F469" s="28" t="s">
        <v>69</v>
      </c>
      <c r="G469" s="28" t="s">
        <v>125</v>
      </c>
      <c r="H469" s="31" t="s">
        <v>9</v>
      </c>
      <c r="I469" s="8" t="s">
        <v>438</v>
      </c>
      <c r="J469" s="8" t="s">
        <v>909</v>
      </c>
      <c r="K469" s="69" t="s">
        <v>439</v>
      </c>
      <c r="L469" s="8" t="s">
        <v>299</v>
      </c>
      <c r="M469" s="8" t="s">
        <v>299</v>
      </c>
      <c r="N469" s="8" t="s">
        <v>306</v>
      </c>
      <c r="O469" s="8" t="s">
        <v>36</v>
      </c>
      <c r="P469" s="8" t="s">
        <v>282</v>
      </c>
      <c r="Q469" s="8" t="s">
        <v>543</v>
      </c>
      <c r="R469" s="8" t="s">
        <v>222</v>
      </c>
      <c r="S469" s="8" t="s">
        <v>237</v>
      </c>
      <c r="T469" s="8" t="s">
        <v>244</v>
      </c>
      <c r="U469" s="8" t="s">
        <v>194</v>
      </c>
      <c r="V469" s="8">
        <v>0</v>
      </c>
      <c r="W469" s="18">
        <v>0.04</v>
      </c>
      <c r="X469" s="16">
        <v>45974</v>
      </c>
      <c r="Y469" s="16">
        <v>45974</v>
      </c>
      <c r="Z469" s="28">
        <v>11</v>
      </c>
      <c r="AA469" s="16" t="s">
        <v>1711</v>
      </c>
      <c r="AB469" s="8" t="s">
        <v>294</v>
      </c>
      <c r="AC469" s="8" t="s">
        <v>294</v>
      </c>
      <c r="AD469" s="8" t="s">
        <v>137</v>
      </c>
      <c r="AE469" s="8">
        <v>3102710518</v>
      </c>
      <c r="AF469" s="8" t="s">
        <v>276</v>
      </c>
      <c r="AG469" s="8" t="s">
        <v>292</v>
      </c>
      <c r="AH469" s="51">
        <v>31343</v>
      </c>
      <c r="AI469" s="28">
        <v>40</v>
      </c>
      <c r="AJ469" s="51" t="s">
        <v>1852</v>
      </c>
    </row>
    <row r="470" spans="1:36" ht="12.65" customHeight="1" x14ac:dyDescent="0.35">
      <c r="A470" s="8" t="s">
        <v>139</v>
      </c>
      <c r="B470" s="8" t="s">
        <v>136</v>
      </c>
      <c r="C470" s="8" t="s">
        <v>135</v>
      </c>
      <c r="D470" s="34" t="s">
        <v>243</v>
      </c>
      <c r="E470" s="14" t="s">
        <v>244</v>
      </c>
      <c r="F470" s="28" t="s">
        <v>69</v>
      </c>
      <c r="G470" s="28" t="s">
        <v>125</v>
      </c>
      <c r="H470" s="31" t="s">
        <v>9</v>
      </c>
      <c r="I470" s="8" t="s">
        <v>378</v>
      </c>
      <c r="J470" s="8" t="s">
        <v>868</v>
      </c>
      <c r="K470" s="69" t="s">
        <v>379</v>
      </c>
      <c r="L470" s="8" t="s">
        <v>299</v>
      </c>
      <c r="M470" s="8" t="s">
        <v>299</v>
      </c>
      <c r="N470" s="8" t="s">
        <v>306</v>
      </c>
      <c r="O470" s="8" t="s">
        <v>36</v>
      </c>
      <c r="P470" s="8" t="s">
        <v>282</v>
      </c>
      <c r="Q470" s="8" t="s">
        <v>543</v>
      </c>
      <c r="R470" s="8" t="s">
        <v>222</v>
      </c>
      <c r="S470" s="8" t="s">
        <v>237</v>
      </c>
      <c r="T470" s="8" t="s">
        <v>244</v>
      </c>
      <c r="U470" s="8" t="s">
        <v>194</v>
      </c>
      <c r="V470" s="8">
        <v>0</v>
      </c>
      <c r="W470" s="18">
        <v>0.04</v>
      </c>
      <c r="X470" s="16">
        <v>45974</v>
      </c>
      <c r="Y470" s="16">
        <v>45974</v>
      </c>
      <c r="Z470" s="28">
        <v>11</v>
      </c>
      <c r="AA470" s="16" t="s">
        <v>1711</v>
      </c>
      <c r="AB470" s="8" t="s">
        <v>294</v>
      </c>
      <c r="AC470" s="8" t="s">
        <v>293</v>
      </c>
      <c r="AD470" s="8" t="s">
        <v>137</v>
      </c>
      <c r="AE470" s="8">
        <v>3102710518</v>
      </c>
      <c r="AF470" s="8" t="s">
        <v>276</v>
      </c>
      <c r="AG470" s="8" t="s">
        <v>292</v>
      </c>
      <c r="AH470" s="51">
        <v>31343</v>
      </c>
      <c r="AI470" s="28">
        <v>40</v>
      </c>
      <c r="AJ470" s="51" t="s">
        <v>1852</v>
      </c>
    </row>
    <row r="471" spans="1:36" ht="12.65" customHeight="1" x14ac:dyDescent="0.35">
      <c r="A471" s="8" t="s">
        <v>139</v>
      </c>
      <c r="B471" s="8" t="s">
        <v>136</v>
      </c>
      <c r="C471" s="8" t="s">
        <v>135</v>
      </c>
      <c r="D471" s="34" t="s">
        <v>243</v>
      </c>
      <c r="E471" s="14" t="s">
        <v>244</v>
      </c>
      <c r="F471" s="28" t="s">
        <v>69</v>
      </c>
      <c r="G471" s="28" t="s">
        <v>125</v>
      </c>
      <c r="H471" s="31" t="s">
        <v>9</v>
      </c>
      <c r="I471" s="8" t="s">
        <v>961</v>
      </c>
      <c r="J471" s="8" t="s">
        <v>962</v>
      </c>
      <c r="K471" s="69" t="s">
        <v>963</v>
      </c>
      <c r="L471" s="8" t="s">
        <v>548</v>
      </c>
      <c r="M471" s="8" t="s">
        <v>548</v>
      </c>
      <c r="N471" s="8" t="s">
        <v>306</v>
      </c>
      <c r="O471" s="8" t="s">
        <v>964</v>
      </c>
      <c r="P471" s="8" t="s">
        <v>282</v>
      </c>
      <c r="Q471" s="8" t="s">
        <v>543</v>
      </c>
      <c r="R471" s="8" t="s">
        <v>222</v>
      </c>
      <c r="S471" s="8" t="s">
        <v>237</v>
      </c>
      <c r="T471" s="8" t="s">
        <v>244</v>
      </c>
      <c r="U471" s="8" t="s">
        <v>186</v>
      </c>
      <c r="V471" s="8">
        <v>0</v>
      </c>
      <c r="W471" s="18">
        <v>0.04</v>
      </c>
      <c r="X471" s="16">
        <v>45974</v>
      </c>
      <c r="Y471" s="16">
        <v>45974</v>
      </c>
      <c r="Z471" s="28">
        <v>11</v>
      </c>
      <c r="AA471" s="16" t="s">
        <v>1711</v>
      </c>
      <c r="AB471" s="8" t="s">
        <v>307</v>
      </c>
      <c r="AC471" s="8" t="s">
        <v>307</v>
      </c>
      <c r="AD471" s="8" t="s">
        <v>137</v>
      </c>
      <c r="AE471" s="8">
        <v>3102710518</v>
      </c>
      <c r="AF471" s="8" t="s">
        <v>276</v>
      </c>
      <c r="AG471" s="8" t="s">
        <v>295</v>
      </c>
      <c r="AH471" s="51">
        <v>31343</v>
      </c>
      <c r="AI471" s="28">
        <v>40</v>
      </c>
      <c r="AJ471" s="51" t="s">
        <v>1852</v>
      </c>
    </row>
    <row r="472" spans="1:36" ht="12.65" customHeight="1" x14ac:dyDescent="0.35">
      <c r="A472" s="8" t="s">
        <v>139</v>
      </c>
      <c r="B472" s="8" t="s">
        <v>136</v>
      </c>
      <c r="C472" s="8" t="s">
        <v>135</v>
      </c>
      <c r="D472" s="34" t="s">
        <v>243</v>
      </c>
      <c r="E472" s="14" t="s">
        <v>244</v>
      </c>
      <c r="F472" s="28" t="s">
        <v>69</v>
      </c>
      <c r="G472" s="28" t="s">
        <v>125</v>
      </c>
      <c r="H472" s="31" t="s">
        <v>9</v>
      </c>
      <c r="I472" s="8" t="s">
        <v>965</v>
      </c>
      <c r="J472" s="8" t="s">
        <v>966</v>
      </c>
      <c r="K472" s="69" t="s">
        <v>967</v>
      </c>
      <c r="L472" s="8" t="s">
        <v>548</v>
      </c>
      <c r="M472" s="8" t="s">
        <v>548</v>
      </c>
      <c r="N472" s="8" t="s">
        <v>306</v>
      </c>
      <c r="O472" s="8" t="s">
        <v>964</v>
      </c>
      <c r="P472" s="8" t="s">
        <v>282</v>
      </c>
      <c r="Q472" s="8" t="s">
        <v>543</v>
      </c>
      <c r="R472" s="8" t="s">
        <v>222</v>
      </c>
      <c r="S472" s="8" t="s">
        <v>237</v>
      </c>
      <c r="T472" s="8" t="s">
        <v>244</v>
      </c>
      <c r="U472" s="8" t="s">
        <v>186</v>
      </c>
      <c r="V472" s="8">
        <v>0</v>
      </c>
      <c r="W472" s="18">
        <v>0.04</v>
      </c>
      <c r="X472" s="16">
        <v>45974</v>
      </c>
      <c r="Y472" s="16">
        <v>45974</v>
      </c>
      <c r="Z472" s="28">
        <v>11</v>
      </c>
      <c r="AA472" s="16" t="s">
        <v>1711</v>
      </c>
      <c r="AB472" s="8" t="s">
        <v>293</v>
      </c>
      <c r="AC472" s="8" t="s">
        <v>293</v>
      </c>
      <c r="AD472" s="8" t="s">
        <v>137</v>
      </c>
      <c r="AE472" s="8">
        <v>3102710518</v>
      </c>
      <c r="AF472" s="8" t="s">
        <v>276</v>
      </c>
      <c r="AG472" s="8" t="s">
        <v>292</v>
      </c>
      <c r="AH472" s="51">
        <v>31343</v>
      </c>
      <c r="AI472" s="28">
        <v>40</v>
      </c>
      <c r="AJ472" s="51" t="s">
        <v>1852</v>
      </c>
    </row>
    <row r="473" spans="1:36" ht="12.65" customHeight="1" x14ac:dyDescent="0.35">
      <c r="A473" s="8" t="s">
        <v>139</v>
      </c>
      <c r="B473" s="8" t="s">
        <v>136</v>
      </c>
      <c r="C473" s="8" t="s">
        <v>135</v>
      </c>
      <c r="D473" s="34" t="s">
        <v>243</v>
      </c>
      <c r="E473" s="14" t="s">
        <v>244</v>
      </c>
      <c r="F473" s="28" t="s">
        <v>69</v>
      </c>
      <c r="G473" s="8" t="s">
        <v>125</v>
      </c>
      <c r="H473" s="14" t="s">
        <v>9</v>
      </c>
      <c r="I473" s="20" t="s">
        <v>1910</v>
      </c>
      <c r="J473" s="8" t="s">
        <v>1900</v>
      </c>
      <c r="K473" s="69" t="s">
        <v>1901</v>
      </c>
      <c r="L473" s="8" t="s">
        <v>299</v>
      </c>
      <c r="M473" s="8" t="s">
        <v>299</v>
      </c>
      <c r="N473" s="8" t="s">
        <v>306</v>
      </c>
      <c r="O473" s="8" t="s">
        <v>36</v>
      </c>
      <c r="P473" s="8" t="s">
        <v>282</v>
      </c>
      <c r="Q473" s="8" t="s">
        <v>543</v>
      </c>
      <c r="R473" s="8" t="s">
        <v>222</v>
      </c>
      <c r="S473" s="8" t="s">
        <v>237</v>
      </c>
      <c r="T473" s="8" t="s">
        <v>244</v>
      </c>
      <c r="U473" s="14" t="s">
        <v>194</v>
      </c>
      <c r="V473" s="8">
        <v>0</v>
      </c>
      <c r="W473" s="18">
        <v>0.04</v>
      </c>
      <c r="X473" s="16">
        <v>45974</v>
      </c>
      <c r="Y473" s="16">
        <v>45974</v>
      </c>
      <c r="Z473" s="28">
        <v>11</v>
      </c>
      <c r="AA473" s="16" t="s">
        <v>1711</v>
      </c>
      <c r="AB473" s="8" t="s">
        <v>395</v>
      </c>
      <c r="AC473" s="8" t="s">
        <v>293</v>
      </c>
      <c r="AD473" s="8" t="s">
        <v>137</v>
      </c>
      <c r="AE473" s="8">
        <v>3102710518</v>
      </c>
      <c r="AF473" s="8" t="s">
        <v>276</v>
      </c>
      <c r="AG473" s="8" t="s">
        <v>295</v>
      </c>
      <c r="AH473" s="51">
        <v>31343</v>
      </c>
      <c r="AI473" s="28">
        <v>40</v>
      </c>
      <c r="AJ473" s="51" t="s">
        <v>1852</v>
      </c>
    </row>
    <row r="474" spans="1:36" ht="12.65" customHeight="1" x14ac:dyDescent="0.35">
      <c r="A474" s="8" t="s">
        <v>139</v>
      </c>
      <c r="B474" s="8" t="s">
        <v>136</v>
      </c>
      <c r="C474" s="8" t="s">
        <v>135</v>
      </c>
      <c r="D474" s="34" t="s">
        <v>243</v>
      </c>
      <c r="E474" s="14" t="s">
        <v>244</v>
      </c>
      <c r="F474" s="28" t="s">
        <v>69</v>
      </c>
      <c r="G474" s="8" t="s">
        <v>125</v>
      </c>
      <c r="H474" s="14" t="s">
        <v>9</v>
      </c>
      <c r="I474" s="34" t="s">
        <v>802</v>
      </c>
      <c r="J474" s="8" t="s">
        <v>803</v>
      </c>
      <c r="K474" s="69" t="s">
        <v>804</v>
      </c>
      <c r="L474" s="8" t="s">
        <v>299</v>
      </c>
      <c r="M474" s="8" t="s">
        <v>299</v>
      </c>
      <c r="N474" s="8" t="s">
        <v>306</v>
      </c>
      <c r="O474" s="8" t="s">
        <v>36</v>
      </c>
      <c r="P474" s="8" t="s">
        <v>282</v>
      </c>
      <c r="Q474" s="8" t="s">
        <v>543</v>
      </c>
      <c r="R474" s="8" t="s">
        <v>222</v>
      </c>
      <c r="S474" s="8" t="s">
        <v>237</v>
      </c>
      <c r="T474" s="8" t="s">
        <v>244</v>
      </c>
      <c r="U474" s="8" t="s">
        <v>194</v>
      </c>
      <c r="V474" s="8">
        <v>0</v>
      </c>
      <c r="W474" s="18">
        <v>0.04</v>
      </c>
      <c r="X474" s="16">
        <v>45974</v>
      </c>
      <c r="Y474" s="16">
        <v>45974</v>
      </c>
      <c r="Z474" s="28">
        <v>11</v>
      </c>
      <c r="AA474" s="16" t="s">
        <v>1711</v>
      </c>
      <c r="AB474" s="8" t="s">
        <v>294</v>
      </c>
      <c r="AC474" s="8" t="s">
        <v>294</v>
      </c>
      <c r="AD474" s="8" t="s">
        <v>137</v>
      </c>
      <c r="AE474" s="8">
        <v>3102710518</v>
      </c>
      <c r="AF474" s="8" t="s">
        <v>276</v>
      </c>
      <c r="AG474" s="8" t="s">
        <v>292</v>
      </c>
      <c r="AH474" s="51">
        <v>31343</v>
      </c>
      <c r="AI474" s="28">
        <v>40</v>
      </c>
      <c r="AJ474" s="51" t="s">
        <v>1852</v>
      </c>
    </row>
    <row r="475" spans="1:36" ht="12.65" customHeight="1" x14ac:dyDescent="0.35">
      <c r="A475" s="8" t="s">
        <v>139</v>
      </c>
      <c r="B475" s="8" t="s">
        <v>136</v>
      </c>
      <c r="C475" s="8" t="s">
        <v>135</v>
      </c>
      <c r="D475" s="34" t="s">
        <v>243</v>
      </c>
      <c r="E475" s="14" t="s">
        <v>244</v>
      </c>
      <c r="F475" s="28" t="s">
        <v>69</v>
      </c>
      <c r="G475" s="8" t="s">
        <v>125</v>
      </c>
      <c r="H475" s="14" t="s">
        <v>9</v>
      </c>
      <c r="I475" s="34" t="s">
        <v>1507</v>
      </c>
      <c r="J475" s="8" t="s">
        <v>39</v>
      </c>
      <c r="K475" s="69" t="s">
        <v>1508</v>
      </c>
      <c r="L475" s="8" t="s">
        <v>442</v>
      </c>
      <c r="M475" s="8" t="s">
        <v>1509</v>
      </c>
      <c r="N475" s="8" t="s">
        <v>393</v>
      </c>
      <c r="O475" s="8" t="s">
        <v>36</v>
      </c>
      <c r="P475" s="8" t="s">
        <v>282</v>
      </c>
      <c r="Q475" s="8" t="s">
        <v>543</v>
      </c>
      <c r="R475" s="8" t="s">
        <v>222</v>
      </c>
      <c r="S475" s="8" t="s">
        <v>237</v>
      </c>
      <c r="T475" s="8" t="s">
        <v>244</v>
      </c>
      <c r="U475" s="8" t="s">
        <v>183</v>
      </c>
      <c r="V475" s="8">
        <v>0</v>
      </c>
      <c r="W475" s="18">
        <v>0.04</v>
      </c>
      <c r="X475" s="16">
        <v>45974</v>
      </c>
      <c r="Y475" s="16">
        <v>45974</v>
      </c>
      <c r="Z475" s="28">
        <v>11</v>
      </c>
      <c r="AA475" s="16" t="s">
        <v>1711</v>
      </c>
      <c r="AB475" s="8" t="s">
        <v>395</v>
      </c>
      <c r="AC475" s="8" t="s">
        <v>395</v>
      </c>
      <c r="AD475" s="8" t="s">
        <v>137</v>
      </c>
      <c r="AE475" s="8">
        <v>3102710518</v>
      </c>
      <c r="AF475" s="8" t="s">
        <v>276</v>
      </c>
      <c r="AG475" s="8" t="s">
        <v>295</v>
      </c>
      <c r="AH475" s="51">
        <v>31343</v>
      </c>
      <c r="AI475" s="28">
        <v>40</v>
      </c>
      <c r="AJ475" s="51" t="s">
        <v>1852</v>
      </c>
    </row>
    <row r="476" spans="1:36" ht="12.65" customHeight="1" x14ac:dyDescent="0.35">
      <c r="A476" s="8" t="s">
        <v>139</v>
      </c>
      <c r="B476" s="8" t="s">
        <v>136</v>
      </c>
      <c r="C476" s="8" t="s">
        <v>135</v>
      </c>
      <c r="D476" s="34" t="s">
        <v>243</v>
      </c>
      <c r="E476" s="14" t="s">
        <v>244</v>
      </c>
      <c r="F476" s="28" t="s">
        <v>69</v>
      </c>
      <c r="G476" s="8" t="s">
        <v>125</v>
      </c>
      <c r="H476" s="14" t="s">
        <v>9</v>
      </c>
      <c r="I476" s="34" t="s">
        <v>1669</v>
      </c>
      <c r="J476" s="8" t="s">
        <v>1670</v>
      </c>
      <c r="K476" s="69" t="s">
        <v>1671</v>
      </c>
      <c r="L476" s="8" t="s">
        <v>442</v>
      </c>
      <c r="M476" s="8" t="s">
        <v>1672</v>
      </c>
      <c r="N476" s="8" t="s">
        <v>393</v>
      </c>
      <c r="O476" s="8" t="s">
        <v>36</v>
      </c>
      <c r="P476" s="8" t="s">
        <v>282</v>
      </c>
      <c r="Q476" s="8" t="s">
        <v>543</v>
      </c>
      <c r="R476" s="8" t="s">
        <v>222</v>
      </c>
      <c r="S476" s="8" t="s">
        <v>237</v>
      </c>
      <c r="T476" s="8" t="s">
        <v>244</v>
      </c>
      <c r="U476" s="8" t="s">
        <v>183</v>
      </c>
      <c r="V476" s="8">
        <v>0</v>
      </c>
      <c r="W476" s="18">
        <v>0.04</v>
      </c>
      <c r="X476" s="16">
        <v>45974</v>
      </c>
      <c r="Y476" s="16">
        <v>45974</v>
      </c>
      <c r="Z476" s="28">
        <v>11</v>
      </c>
      <c r="AA476" s="16" t="s">
        <v>1711</v>
      </c>
      <c r="AB476" s="8" t="s">
        <v>395</v>
      </c>
      <c r="AC476" s="8" t="s">
        <v>395</v>
      </c>
      <c r="AD476" s="8" t="s">
        <v>137</v>
      </c>
      <c r="AE476" s="8">
        <v>3102710518</v>
      </c>
      <c r="AF476" s="8" t="s">
        <v>276</v>
      </c>
      <c r="AG476" s="8" t="s">
        <v>295</v>
      </c>
      <c r="AH476" s="51">
        <v>31343</v>
      </c>
      <c r="AI476" s="28">
        <v>40</v>
      </c>
      <c r="AJ476" s="51" t="s">
        <v>1852</v>
      </c>
    </row>
    <row r="477" spans="1:36" ht="12.65" customHeight="1" x14ac:dyDescent="0.35">
      <c r="A477" s="8" t="s">
        <v>139</v>
      </c>
      <c r="B477" s="8" t="s">
        <v>136</v>
      </c>
      <c r="C477" s="8" t="s">
        <v>135</v>
      </c>
      <c r="D477" s="34" t="s">
        <v>243</v>
      </c>
      <c r="E477" s="14" t="s">
        <v>244</v>
      </c>
      <c r="F477" s="28" t="s">
        <v>69</v>
      </c>
      <c r="G477" s="8" t="s">
        <v>125</v>
      </c>
      <c r="H477" s="14" t="s">
        <v>9</v>
      </c>
      <c r="I477" s="34" t="s">
        <v>1673</v>
      </c>
      <c r="J477" s="8" t="s">
        <v>1674</v>
      </c>
      <c r="K477" s="69" t="s">
        <v>1675</v>
      </c>
      <c r="L477" s="8" t="s">
        <v>442</v>
      </c>
      <c r="M477" s="8" t="s">
        <v>1672</v>
      </c>
      <c r="N477" s="8" t="s">
        <v>393</v>
      </c>
      <c r="O477" s="8" t="s">
        <v>36</v>
      </c>
      <c r="P477" s="8" t="s">
        <v>282</v>
      </c>
      <c r="Q477" s="8" t="s">
        <v>543</v>
      </c>
      <c r="R477" s="8" t="s">
        <v>222</v>
      </c>
      <c r="S477" s="8" t="s">
        <v>237</v>
      </c>
      <c r="T477" s="8" t="s">
        <v>244</v>
      </c>
      <c r="U477" s="8" t="s">
        <v>183</v>
      </c>
      <c r="V477" s="8">
        <v>0</v>
      </c>
      <c r="W477" s="18">
        <v>0.04</v>
      </c>
      <c r="X477" s="16">
        <v>45974</v>
      </c>
      <c r="Y477" s="16">
        <v>45974</v>
      </c>
      <c r="Z477" s="28">
        <v>11</v>
      </c>
      <c r="AA477" s="16" t="s">
        <v>1711</v>
      </c>
      <c r="AB477" s="8" t="s">
        <v>395</v>
      </c>
      <c r="AC477" s="8" t="s">
        <v>395</v>
      </c>
      <c r="AD477" s="8" t="s">
        <v>137</v>
      </c>
      <c r="AE477" s="8">
        <v>3102710518</v>
      </c>
      <c r="AF477" s="8" t="s">
        <v>276</v>
      </c>
      <c r="AG477" s="8" t="s">
        <v>295</v>
      </c>
      <c r="AH477" s="51">
        <v>31343</v>
      </c>
      <c r="AI477" s="28">
        <v>40</v>
      </c>
      <c r="AJ477" s="51" t="s">
        <v>1852</v>
      </c>
    </row>
    <row r="478" spans="1:36" ht="12.65" customHeight="1" x14ac:dyDescent="0.35">
      <c r="A478" s="8" t="s">
        <v>139</v>
      </c>
      <c r="B478" s="8" t="s">
        <v>136</v>
      </c>
      <c r="C478" s="8" t="s">
        <v>135</v>
      </c>
      <c r="D478" s="34" t="s">
        <v>243</v>
      </c>
      <c r="E478" s="14" t="s">
        <v>244</v>
      </c>
      <c r="F478" s="28" t="s">
        <v>69</v>
      </c>
      <c r="G478" s="8" t="s">
        <v>125</v>
      </c>
      <c r="H478" s="14" t="s">
        <v>9</v>
      </c>
      <c r="I478" s="34" t="s">
        <v>1510</v>
      </c>
      <c r="J478" s="8" t="s">
        <v>38</v>
      </c>
      <c r="K478" s="69" t="s">
        <v>1511</v>
      </c>
      <c r="L478" s="8" t="s">
        <v>442</v>
      </c>
      <c r="M478" s="8" t="s">
        <v>1512</v>
      </c>
      <c r="N478" s="8" t="s">
        <v>393</v>
      </c>
      <c r="O478" s="8" t="s">
        <v>36</v>
      </c>
      <c r="P478" s="8" t="s">
        <v>282</v>
      </c>
      <c r="Q478" s="8" t="s">
        <v>543</v>
      </c>
      <c r="R478" s="8" t="s">
        <v>222</v>
      </c>
      <c r="S478" s="8" t="s">
        <v>237</v>
      </c>
      <c r="T478" s="8" t="s">
        <v>244</v>
      </c>
      <c r="U478" s="8" t="s">
        <v>183</v>
      </c>
      <c r="V478" s="8">
        <v>0</v>
      </c>
      <c r="W478" s="18">
        <v>0.04</v>
      </c>
      <c r="X478" s="16">
        <v>45974</v>
      </c>
      <c r="Y478" s="16">
        <v>45974</v>
      </c>
      <c r="Z478" s="28">
        <v>11</v>
      </c>
      <c r="AA478" s="16" t="s">
        <v>1711</v>
      </c>
      <c r="AB478" s="8" t="s">
        <v>293</v>
      </c>
      <c r="AC478" s="8" t="s">
        <v>293</v>
      </c>
      <c r="AD478" s="8" t="s">
        <v>137</v>
      </c>
      <c r="AE478" s="8">
        <v>3102710518</v>
      </c>
      <c r="AF478" s="8" t="s">
        <v>276</v>
      </c>
      <c r="AG478" s="8" t="s">
        <v>295</v>
      </c>
      <c r="AH478" s="51">
        <v>31343</v>
      </c>
      <c r="AI478" s="28">
        <v>40</v>
      </c>
      <c r="AJ478" s="51" t="s">
        <v>1852</v>
      </c>
    </row>
    <row r="479" spans="1:36" ht="12.65" customHeight="1" x14ac:dyDescent="0.35">
      <c r="A479" s="8" t="s">
        <v>139</v>
      </c>
      <c r="B479" s="8" t="s">
        <v>136</v>
      </c>
      <c r="C479" s="8" t="s">
        <v>135</v>
      </c>
      <c r="D479" s="34" t="s">
        <v>243</v>
      </c>
      <c r="E479" s="14" t="s">
        <v>244</v>
      </c>
      <c r="F479" s="28" t="s">
        <v>69</v>
      </c>
      <c r="G479" s="8" t="s">
        <v>125</v>
      </c>
      <c r="H479" s="14" t="s">
        <v>9</v>
      </c>
      <c r="I479" s="34" t="s">
        <v>440</v>
      </c>
      <c r="J479" s="8" t="s">
        <v>1520</v>
      </c>
      <c r="K479" s="69" t="s">
        <v>441</v>
      </c>
      <c r="L479" s="8" t="s">
        <v>442</v>
      </c>
      <c r="M479" s="8" t="s">
        <v>443</v>
      </c>
      <c r="N479" s="8" t="s">
        <v>393</v>
      </c>
      <c r="O479" s="8" t="s">
        <v>36</v>
      </c>
      <c r="P479" s="8" t="s">
        <v>282</v>
      </c>
      <c r="Q479" s="8" t="s">
        <v>543</v>
      </c>
      <c r="R479" s="8" t="s">
        <v>222</v>
      </c>
      <c r="S479" s="8" t="s">
        <v>237</v>
      </c>
      <c r="T479" s="8" t="s">
        <v>244</v>
      </c>
      <c r="U479" s="8" t="s">
        <v>183</v>
      </c>
      <c r="V479" s="8">
        <v>0</v>
      </c>
      <c r="W479" s="18">
        <v>0.04</v>
      </c>
      <c r="X479" s="16">
        <v>45974</v>
      </c>
      <c r="Y479" s="16">
        <v>45974</v>
      </c>
      <c r="Z479" s="28">
        <v>11</v>
      </c>
      <c r="AA479" s="16" t="s">
        <v>1711</v>
      </c>
      <c r="AB479" s="8" t="s">
        <v>395</v>
      </c>
      <c r="AC479" s="8" t="s">
        <v>395</v>
      </c>
      <c r="AD479" s="8" t="s">
        <v>137</v>
      </c>
      <c r="AE479" s="8">
        <v>3102710518</v>
      </c>
      <c r="AF479" s="8" t="s">
        <v>276</v>
      </c>
      <c r="AG479" s="8" t="s">
        <v>295</v>
      </c>
      <c r="AH479" s="51">
        <v>31343</v>
      </c>
      <c r="AI479" s="28">
        <v>40</v>
      </c>
      <c r="AJ479" s="51" t="s">
        <v>1852</v>
      </c>
    </row>
    <row r="480" spans="1:36" ht="12.65" customHeight="1" x14ac:dyDescent="0.35">
      <c r="A480" s="8" t="s">
        <v>139</v>
      </c>
      <c r="B480" s="8" t="s">
        <v>136</v>
      </c>
      <c r="C480" s="8" t="s">
        <v>135</v>
      </c>
      <c r="D480" s="34" t="s">
        <v>243</v>
      </c>
      <c r="E480" s="14" t="s">
        <v>244</v>
      </c>
      <c r="F480" s="28" t="s">
        <v>69</v>
      </c>
      <c r="G480" s="8" t="s">
        <v>125</v>
      </c>
      <c r="H480" s="14" t="s">
        <v>9</v>
      </c>
      <c r="I480" s="34" t="s">
        <v>636</v>
      </c>
      <c r="J480" s="8" t="s">
        <v>637</v>
      </c>
      <c r="K480" s="69" t="s">
        <v>638</v>
      </c>
      <c r="L480" s="8" t="s">
        <v>442</v>
      </c>
      <c r="M480" s="8" t="s">
        <v>443</v>
      </c>
      <c r="N480" s="8" t="s">
        <v>393</v>
      </c>
      <c r="O480" s="8" t="s">
        <v>36</v>
      </c>
      <c r="P480" s="8" t="s">
        <v>282</v>
      </c>
      <c r="Q480" s="8" t="s">
        <v>543</v>
      </c>
      <c r="R480" s="8" t="s">
        <v>222</v>
      </c>
      <c r="S480" s="8" t="s">
        <v>237</v>
      </c>
      <c r="T480" s="8" t="s">
        <v>244</v>
      </c>
      <c r="U480" s="8" t="s">
        <v>183</v>
      </c>
      <c r="V480" s="8">
        <v>0</v>
      </c>
      <c r="W480" s="18">
        <v>0.04</v>
      </c>
      <c r="X480" s="16">
        <v>45974</v>
      </c>
      <c r="Y480" s="16">
        <v>45974</v>
      </c>
      <c r="Z480" s="28">
        <v>11</v>
      </c>
      <c r="AA480" s="16" t="s">
        <v>1711</v>
      </c>
      <c r="AB480" s="8" t="s">
        <v>395</v>
      </c>
      <c r="AC480" s="8" t="s">
        <v>395</v>
      </c>
      <c r="AD480" s="8" t="s">
        <v>137</v>
      </c>
      <c r="AE480" s="8">
        <v>3102710518</v>
      </c>
      <c r="AF480" s="8" t="s">
        <v>276</v>
      </c>
      <c r="AG480" s="8" t="s">
        <v>295</v>
      </c>
      <c r="AH480" s="51">
        <v>31343</v>
      </c>
      <c r="AI480" s="28">
        <v>40</v>
      </c>
      <c r="AJ480" s="51" t="s">
        <v>1852</v>
      </c>
    </row>
    <row r="481" spans="1:36" ht="12.65" customHeight="1" x14ac:dyDescent="0.35">
      <c r="A481" s="8" t="s">
        <v>139</v>
      </c>
      <c r="B481" s="8" t="s">
        <v>136</v>
      </c>
      <c r="C481" s="8" t="s">
        <v>135</v>
      </c>
      <c r="D481" s="34" t="s">
        <v>243</v>
      </c>
      <c r="E481" s="14" t="s">
        <v>244</v>
      </c>
      <c r="F481" s="28" t="s">
        <v>69</v>
      </c>
      <c r="G481" s="8" t="s">
        <v>125</v>
      </c>
      <c r="H481" s="14" t="s">
        <v>9</v>
      </c>
      <c r="I481" s="34" t="s">
        <v>639</v>
      </c>
      <c r="J481" s="8" t="s">
        <v>1399</v>
      </c>
      <c r="K481" s="69" t="s">
        <v>640</v>
      </c>
      <c r="L481" s="8" t="s">
        <v>442</v>
      </c>
      <c r="M481" s="8" t="s">
        <v>443</v>
      </c>
      <c r="N481" s="8" t="s">
        <v>393</v>
      </c>
      <c r="O481" s="8" t="s">
        <v>1400</v>
      </c>
      <c r="P481" s="8" t="s">
        <v>282</v>
      </c>
      <c r="Q481" s="8" t="s">
        <v>543</v>
      </c>
      <c r="R481" s="8" t="s">
        <v>222</v>
      </c>
      <c r="S481" s="8" t="s">
        <v>237</v>
      </c>
      <c r="T481" s="8" t="s">
        <v>244</v>
      </c>
      <c r="U481" s="8" t="s">
        <v>183</v>
      </c>
      <c r="V481" s="8">
        <v>0</v>
      </c>
      <c r="W481" s="18">
        <v>0.04</v>
      </c>
      <c r="X481" s="16">
        <v>45974</v>
      </c>
      <c r="Y481" s="16">
        <v>45974</v>
      </c>
      <c r="Z481" s="28">
        <v>11</v>
      </c>
      <c r="AA481" s="16" t="s">
        <v>1711</v>
      </c>
      <c r="AB481" s="8" t="s">
        <v>307</v>
      </c>
      <c r="AC481" s="8" t="s">
        <v>307</v>
      </c>
      <c r="AD481" s="8" t="s">
        <v>137</v>
      </c>
      <c r="AE481" s="8">
        <v>3102710518</v>
      </c>
      <c r="AF481" s="8" t="s">
        <v>276</v>
      </c>
      <c r="AG481" s="8" t="s">
        <v>295</v>
      </c>
      <c r="AH481" s="51">
        <v>31343</v>
      </c>
      <c r="AI481" s="28">
        <v>40</v>
      </c>
      <c r="AJ481" s="51" t="s">
        <v>1852</v>
      </c>
    </row>
    <row r="482" spans="1:36" ht="12.65" customHeight="1" x14ac:dyDescent="0.35">
      <c r="A482" s="8" t="s">
        <v>139</v>
      </c>
      <c r="B482" s="8" t="s">
        <v>136</v>
      </c>
      <c r="C482" s="8" t="s">
        <v>135</v>
      </c>
      <c r="D482" s="34" t="s">
        <v>243</v>
      </c>
      <c r="E482" s="14" t="s">
        <v>244</v>
      </c>
      <c r="F482" s="28" t="s">
        <v>69</v>
      </c>
      <c r="G482" s="8" t="s">
        <v>125</v>
      </c>
      <c r="H482" s="14" t="s">
        <v>9</v>
      </c>
      <c r="I482" s="34" t="s">
        <v>513</v>
      </c>
      <c r="J482" s="8" t="s">
        <v>514</v>
      </c>
      <c r="K482" s="69" t="s">
        <v>515</v>
      </c>
      <c r="L482" s="8" t="s">
        <v>442</v>
      </c>
      <c r="M482" s="8" t="s">
        <v>443</v>
      </c>
      <c r="N482" s="8" t="s">
        <v>393</v>
      </c>
      <c r="O482" s="8" t="s">
        <v>516</v>
      </c>
      <c r="P482" s="8" t="s">
        <v>282</v>
      </c>
      <c r="Q482" s="8" t="s">
        <v>543</v>
      </c>
      <c r="R482" s="8" t="s">
        <v>222</v>
      </c>
      <c r="S482" s="8" t="s">
        <v>237</v>
      </c>
      <c r="T482" s="8" t="s">
        <v>244</v>
      </c>
      <c r="U482" s="8" t="s">
        <v>183</v>
      </c>
      <c r="V482" s="8">
        <v>0</v>
      </c>
      <c r="W482" s="18">
        <v>0.04</v>
      </c>
      <c r="X482" s="16">
        <v>45974</v>
      </c>
      <c r="Y482" s="16">
        <v>45974</v>
      </c>
      <c r="Z482" s="28">
        <v>11</v>
      </c>
      <c r="AA482" s="16" t="s">
        <v>1711</v>
      </c>
      <c r="AB482" s="8" t="s">
        <v>395</v>
      </c>
      <c r="AC482" s="8" t="s">
        <v>395</v>
      </c>
      <c r="AD482" s="8" t="s">
        <v>137</v>
      </c>
      <c r="AE482" s="8">
        <v>3102710518</v>
      </c>
      <c r="AF482" s="8" t="s">
        <v>276</v>
      </c>
      <c r="AG482" s="8" t="s">
        <v>295</v>
      </c>
      <c r="AH482" s="51">
        <v>31343</v>
      </c>
      <c r="AI482" s="28">
        <v>40</v>
      </c>
      <c r="AJ482" s="51" t="s">
        <v>1852</v>
      </c>
    </row>
    <row r="483" spans="1:36" ht="12.65" customHeight="1" x14ac:dyDescent="0.35">
      <c r="A483" s="8" t="s">
        <v>139</v>
      </c>
      <c r="B483" s="8" t="s">
        <v>136</v>
      </c>
      <c r="C483" s="8" t="s">
        <v>135</v>
      </c>
      <c r="D483" s="34" t="s">
        <v>243</v>
      </c>
      <c r="E483" s="14" t="s">
        <v>244</v>
      </c>
      <c r="F483" s="28" t="s">
        <v>69</v>
      </c>
      <c r="G483" s="8" t="s">
        <v>125</v>
      </c>
      <c r="H483" s="14" t="s">
        <v>9</v>
      </c>
      <c r="I483" s="34" t="s">
        <v>641</v>
      </c>
      <c r="J483" s="8" t="s">
        <v>1407</v>
      </c>
      <c r="K483" s="69" t="s">
        <v>642</v>
      </c>
      <c r="L483" s="8" t="s">
        <v>442</v>
      </c>
      <c r="M483" s="8" t="s">
        <v>443</v>
      </c>
      <c r="N483" s="8" t="s">
        <v>393</v>
      </c>
      <c r="O483" s="8" t="s">
        <v>643</v>
      </c>
      <c r="P483" s="8" t="s">
        <v>282</v>
      </c>
      <c r="Q483" s="8" t="s">
        <v>543</v>
      </c>
      <c r="R483" s="8" t="s">
        <v>222</v>
      </c>
      <c r="S483" s="8" t="s">
        <v>237</v>
      </c>
      <c r="T483" s="8" t="s">
        <v>244</v>
      </c>
      <c r="U483" s="8" t="s">
        <v>183</v>
      </c>
      <c r="V483" s="8">
        <v>0</v>
      </c>
      <c r="W483" s="18">
        <v>0.04</v>
      </c>
      <c r="X483" s="16">
        <v>45974</v>
      </c>
      <c r="Y483" s="16">
        <v>45974</v>
      </c>
      <c r="Z483" s="28">
        <v>11</v>
      </c>
      <c r="AA483" s="16" t="s">
        <v>1711</v>
      </c>
      <c r="AB483" s="8" t="s">
        <v>395</v>
      </c>
      <c r="AC483" s="8" t="s">
        <v>395</v>
      </c>
      <c r="AD483" s="8" t="s">
        <v>137</v>
      </c>
      <c r="AE483" s="8">
        <v>3102710518</v>
      </c>
      <c r="AF483" s="8" t="s">
        <v>276</v>
      </c>
      <c r="AG483" s="8" t="s">
        <v>295</v>
      </c>
      <c r="AH483" s="51">
        <v>31343</v>
      </c>
      <c r="AI483" s="28">
        <v>40</v>
      </c>
      <c r="AJ483" s="51" t="s">
        <v>1852</v>
      </c>
    </row>
    <row r="484" spans="1:36" ht="12.65" customHeight="1" x14ac:dyDescent="0.35">
      <c r="A484" s="8" t="s">
        <v>139</v>
      </c>
      <c r="B484" s="8" t="s">
        <v>136</v>
      </c>
      <c r="C484" s="8" t="s">
        <v>135</v>
      </c>
      <c r="D484" s="34" t="s">
        <v>243</v>
      </c>
      <c r="E484" s="14" t="s">
        <v>244</v>
      </c>
      <c r="F484" s="28" t="s">
        <v>69</v>
      </c>
      <c r="G484" s="8" t="s">
        <v>125</v>
      </c>
      <c r="H484" s="14" t="s">
        <v>9</v>
      </c>
      <c r="I484" s="34" t="s">
        <v>1401</v>
      </c>
      <c r="J484" s="8" t="s">
        <v>1402</v>
      </c>
      <c r="K484" s="69" t="s">
        <v>1403</v>
      </c>
      <c r="L484" s="8" t="s">
        <v>442</v>
      </c>
      <c r="M484" s="8" t="s">
        <v>443</v>
      </c>
      <c r="N484" s="8" t="s">
        <v>393</v>
      </c>
      <c r="O484" s="8" t="s">
        <v>1404</v>
      </c>
      <c r="P484" s="8" t="s">
        <v>509</v>
      </c>
      <c r="Q484" s="8" t="s">
        <v>543</v>
      </c>
      <c r="R484" s="8" t="s">
        <v>222</v>
      </c>
      <c r="S484" s="8" t="s">
        <v>237</v>
      </c>
      <c r="T484" s="8" t="s">
        <v>244</v>
      </c>
      <c r="U484" s="8" t="s">
        <v>183</v>
      </c>
      <c r="V484" s="8">
        <v>0</v>
      </c>
      <c r="W484" s="18">
        <v>0.04</v>
      </c>
      <c r="X484" s="16">
        <v>45974</v>
      </c>
      <c r="Y484" s="16">
        <v>45974</v>
      </c>
      <c r="Z484" s="28">
        <v>11</v>
      </c>
      <c r="AA484" s="16" t="s">
        <v>1711</v>
      </c>
      <c r="AB484" s="8" t="s">
        <v>307</v>
      </c>
      <c r="AC484" s="8" t="s">
        <v>307</v>
      </c>
      <c r="AD484" s="8" t="s">
        <v>137</v>
      </c>
      <c r="AE484" s="8">
        <v>3102710518</v>
      </c>
      <c r="AF484" s="8" t="s">
        <v>276</v>
      </c>
      <c r="AG484" s="8" t="s">
        <v>295</v>
      </c>
      <c r="AH484" s="51">
        <v>31343</v>
      </c>
      <c r="AI484" s="28">
        <v>40</v>
      </c>
      <c r="AJ484" s="51" t="s">
        <v>1852</v>
      </c>
    </row>
    <row r="485" spans="1:36" ht="12.65" customHeight="1" x14ac:dyDescent="0.35">
      <c r="A485" s="8" t="s">
        <v>139</v>
      </c>
      <c r="B485" s="8" t="s">
        <v>136</v>
      </c>
      <c r="C485" s="8" t="s">
        <v>135</v>
      </c>
      <c r="D485" s="34" t="s">
        <v>243</v>
      </c>
      <c r="E485" s="14" t="s">
        <v>244</v>
      </c>
      <c r="F485" s="28" t="s">
        <v>69</v>
      </c>
      <c r="G485" s="8" t="s">
        <v>125</v>
      </c>
      <c r="H485" s="14" t="s">
        <v>9</v>
      </c>
      <c r="I485" s="34" t="s">
        <v>520</v>
      </c>
      <c r="J485" s="8" t="s">
        <v>1175</v>
      </c>
      <c r="K485" s="69" t="s">
        <v>1176</v>
      </c>
      <c r="L485" s="8" t="s">
        <v>442</v>
      </c>
      <c r="M485" s="8" t="s">
        <v>443</v>
      </c>
      <c r="N485" s="8" t="s">
        <v>393</v>
      </c>
      <c r="O485" s="8" t="s">
        <v>521</v>
      </c>
      <c r="P485" s="8" t="s">
        <v>282</v>
      </c>
      <c r="Q485" s="8" t="s">
        <v>543</v>
      </c>
      <c r="R485" s="8" t="s">
        <v>222</v>
      </c>
      <c r="S485" s="8" t="s">
        <v>237</v>
      </c>
      <c r="T485" s="8" t="s">
        <v>244</v>
      </c>
      <c r="U485" s="8" t="s">
        <v>183</v>
      </c>
      <c r="V485" s="8">
        <v>0</v>
      </c>
      <c r="W485" s="18">
        <v>0.04</v>
      </c>
      <c r="X485" s="16">
        <v>45974</v>
      </c>
      <c r="Y485" s="16">
        <v>45974</v>
      </c>
      <c r="Z485" s="28">
        <v>11</v>
      </c>
      <c r="AA485" s="16" t="s">
        <v>1711</v>
      </c>
      <c r="AB485" s="8" t="s">
        <v>395</v>
      </c>
      <c r="AC485" s="8" t="s">
        <v>395</v>
      </c>
      <c r="AD485" s="8" t="s">
        <v>137</v>
      </c>
      <c r="AE485" s="8">
        <v>3102710518</v>
      </c>
      <c r="AF485" s="8" t="s">
        <v>276</v>
      </c>
      <c r="AG485" s="8" t="s">
        <v>295</v>
      </c>
      <c r="AH485" s="51">
        <v>31343</v>
      </c>
      <c r="AI485" s="28">
        <v>40</v>
      </c>
      <c r="AJ485" s="51" t="s">
        <v>1852</v>
      </c>
    </row>
    <row r="486" spans="1:36" ht="12.65" customHeight="1" x14ac:dyDescent="0.35">
      <c r="A486" s="8" t="s">
        <v>139</v>
      </c>
      <c r="B486" s="8" t="s">
        <v>136</v>
      </c>
      <c r="C486" s="8" t="s">
        <v>135</v>
      </c>
      <c r="D486" s="34" t="s">
        <v>243</v>
      </c>
      <c r="E486" s="14" t="s">
        <v>244</v>
      </c>
      <c r="F486" s="28" t="s">
        <v>69</v>
      </c>
      <c r="G486" s="8" t="s">
        <v>125</v>
      </c>
      <c r="H486" s="14" t="s">
        <v>9</v>
      </c>
      <c r="I486" s="34" t="s">
        <v>504</v>
      </c>
      <c r="J486" s="8" t="s">
        <v>1356</v>
      </c>
      <c r="K486" s="69" t="s">
        <v>505</v>
      </c>
      <c r="L486" s="8" t="s">
        <v>442</v>
      </c>
      <c r="M486" s="8" t="s">
        <v>443</v>
      </c>
      <c r="N486" s="8" t="s">
        <v>393</v>
      </c>
      <c r="O486" s="8" t="s">
        <v>36</v>
      </c>
      <c r="P486" s="8" t="s">
        <v>282</v>
      </c>
      <c r="Q486" s="8" t="s">
        <v>543</v>
      </c>
      <c r="R486" s="8" t="s">
        <v>222</v>
      </c>
      <c r="S486" s="8" t="s">
        <v>237</v>
      </c>
      <c r="T486" s="8" t="s">
        <v>244</v>
      </c>
      <c r="U486" s="8" t="s">
        <v>183</v>
      </c>
      <c r="V486" s="8">
        <v>0</v>
      </c>
      <c r="W486" s="18">
        <v>0.04</v>
      </c>
      <c r="X486" s="16">
        <v>45974</v>
      </c>
      <c r="Y486" s="16">
        <v>45974</v>
      </c>
      <c r="Z486" s="28">
        <v>11</v>
      </c>
      <c r="AA486" s="16" t="s">
        <v>1711</v>
      </c>
      <c r="AB486" s="8" t="s">
        <v>291</v>
      </c>
      <c r="AC486" s="8" t="s">
        <v>291</v>
      </c>
      <c r="AD486" s="8" t="s">
        <v>137</v>
      </c>
      <c r="AE486" s="8">
        <v>3102710518</v>
      </c>
      <c r="AF486" s="8" t="s">
        <v>276</v>
      </c>
      <c r="AG486" s="8" t="s">
        <v>295</v>
      </c>
      <c r="AH486" s="51">
        <v>31343</v>
      </c>
      <c r="AI486" s="28">
        <v>40</v>
      </c>
      <c r="AJ486" s="51" t="s">
        <v>1852</v>
      </c>
    </row>
    <row r="487" spans="1:36" ht="12.65" customHeight="1" x14ac:dyDescent="0.35">
      <c r="A487" s="8" t="s">
        <v>139</v>
      </c>
      <c r="B487" s="8" t="s">
        <v>136</v>
      </c>
      <c r="C487" s="8" t="s">
        <v>135</v>
      </c>
      <c r="D487" s="34" t="s">
        <v>243</v>
      </c>
      <c r="E487" s="14" t="s">
        <v>244</v>
      </c>
      <c r="F487" s="28" t="s">
        <v>69</v>
      </c>
      <c r="G487" s="8" t="s">
        <v>125</v>
      </c>
      <c r="H487" s="14" t="s">
        <v>9</v>
      </c>
      <c r="I487" s="34" t="s">
        <v>517</v>
      </c>
      <c r="J487" s="8" t="s">
        <v>518</v>
      </c>
      <c r="K487" s="69" t="s">
        <v>519</v>
      </c>
      <c r="L487" s="8" t="s">
        <v>442</v>
      </c>
      <c r="M487" s="8" t="s">
        <v>443</v>
      </c>
      <c r="N487" s="8" t="s">
        <v>393</v>
      </c>
      <c r="O487" s="8" t="s">
        <v>27</v>
      </c>
      <c r="P487" s="8" t="s">
        <v>282</v>
      </c>
      <c r="Q487" s="8" t="s">
        <v>543</v>
      </c>
      <c r="R487" s="8" t="s">
        <v>222</v>
      </c>
      <c r="S487" s="8" t="s">
        <v>237</v>
      </c>
      <c r="T487" s="8" t="s">
        <v>244</v>
      </c>
      <c r="U487" s="8" t="s">
        <v>183</v>
      </c>
      <c r="V487" s="8">
        <v>0</v>
      </c>
      <c r="W487" s="18">
        <v>0.04</v>
      </c>
      <c r="X487" s="16">
        <v>45974</v>
      </c>
      <c r="Y487" s="16">
        <v>45974</v>
      </c>
      <c r="Z487" s="28">
        <v>11</v>
      </c>
      <c r="AA487" s="16" t="s">
        <v>1711</v>
      </c>
      <c r="AB487" s="8" t="s">
        <v>395</v>
      </c>
      <c r="AC487" s="8" t="s">
        <v>395</v>
      </c>
      <c r="AD487" s="8" t="s">
        <v>137</v>
      </c>
      <c r="AE487" s="8">
        <v>3102710518</v>
      </c>
      <c r="AF487" s="8" t="s">
        <v>276</v>
      </c>
      <c r="AG487" s="8" t="s">
        <v>295</v>
      </c>
      <c r="AH487" s="51">
        <v>31343</v>
      </c>
      <c r="AI487" s="28">
        <v>40</v>
      </c>
      <c r="AJ487" s="51" t="s">
        <v>1852</v>
      </c>
    </row>
    <row r="488" spans="1:36" ht="12.65" customHeight="1" x14ac:dyDescent="0.35">
      <c r="A488" s="8" t="s">
        <v>139</v>
      </c>
      <c r="B488" s="8" t="s">
        <v>136</v>
      </c>
      <c r="C488" s="8" t="s">
        <v>135</v>
      </c>
      <c r="D488" s="34" t="s">
        <v>171</v>
      </c>
      <c r="E488" s="14" t="s">
        <v>172</v>
      </c>
      <c r="F488" s="28" t="s">
        <v>69</v>
      </c>
      <c r="G488" s="28" t="s">
        <v>125</v>
      </c>
      <c r="H488" s="31" t="s">
        <v>9</v>
      </c>
      <c r="I488" s="8" t="s">
        <v>449</v>
      </c>
      <c r="J488" s="8" t="s">
        <v>97</v>
      </c>
      <c r="K488" s="69" t="s">
        <v>450</v>
      </c>
      <c r="L488" s="8" t="s">
        <v>75</v>
      </c>
      <c r="M488" s="8" t="s">
        <v>75</v>
      </c>
      <c r="N488" s="8" t="s">
        <v>306</v>
      </c>
      <c r="O488" s="8" t="s">
        <v>11</v>
      </c>
      <c r="P488" s="8" t="s">
        <v>274</v>
      </c>
      <c r="Q488" s="8" t="s">
        <v>275</v>
      </c>
      <c r="R488" s="8" t="s">
        <v>1628</v>
      </c>
      <c r="S488" s="8" t="s">
        <v>247</v>
      </c>
      <c r="T488" s="8" t="s">
        <v>172</v>
      </c>
      <c r="U488" s="8" t="s">
        <v>189</v>
      </c>
      <c r="V488" s="8">
        <v>1</v>
      </c>
      <c r="W488" s="18">
        <v>0.125</v>
      </c>
      <c r="X488" s="51">
        <v>45659</v>
      </c>
      <c r="Y488" s="51">
        <v>43367</v>
      </c>
      <c r="Z488" s="28">
        <v>96</v>
      </c>
      <c r="AA488" s="16" t="s">
        <v>1701</v>
      </c>
      <c r="AB488" s="8" t="s">
        <v>294</v>
      </c>
      <c r="AC488" s="8" t="s">
        <v>294</v>
      </c>
      <c r="AD488" s="8" t="s">
        <v>134</v>
      </c>
      <c r="AE488" s="8">
        <v>3102719008</v>
      </c>
      <c r="AF488" s="8" t="s">
        <v>276</v>
      </c>
      <c r="AG488" s="8" t="s">
        <v>292</v>
      </c>
      <c r="AH488" s="51">
        <v>34974</v>
      </c>
      <c r="AI488" s="28">
        <v>31</v>
      </c>
      <c r="AJ488" s="51" t="s">
        <v>1853</v>
      </c>
    </row>
    <row r="489" spans="1:36" ht="12.65" customHeight="1" x14ac:dyDescent="0.35">
      <c r="A489" s="8" t="s">
        <v>139</v>
      </c>
      <c r="B489" s="8" t="s">
        <v>136</v>
      </c>
      <c r="C489" s="8" t="s">
        <v>135</v>
      </c>
      <c r="D489" s="34" t="s">
        <v>171</v>
      </c>
      <c r="E489" s="14" t="s">
        <v>172</v>
      </c>
      <c r="F489" s="28" t="s">
        <v>69</v>
      </c>
      <c r="G489" s="28" t="s">
        <v>125</v>
      </c>
      <c r="H489" s="31" t="s">
        <v>9</v>
      </c>
      <c r="I489" s="34" t="s">
        <v>459</v>
      </c>
      <c r="J489" s="8" t="s">
        <v>22</v>
      </c>
      <c r="K489" s="69" t="s">
        <v>460</v>
      </c>
      <c r="L489" s="8" t="s">
        <v>75</v>
      </c>
      <c r="M489" s="8" t="s">
        <v>75</v>
      </c>
      <c r="N489" s="8" t="s">
        <v>306</v>
      </c>
      <c r="O489" s="8" t="s">
        <v>21</v>
      </c>
      <c r="P489" s="8" t="s">
        <v>274</v>
      </c>
      <c r="Q489" s="8" t="s">
        <v>275</v>
      </c>
      <c r="R489" s="8" t="s">
        <v>1628</v>
      </c>
      <c r="S489" s="8" t="s">
        <v>247</v>
      </c>
      <c r="T489" s="8" t="s">
        <v>172</v>
      </c>
      <c r="U489" s="8" t="s">
        <v>189</v>
      </c>
      <c r="V489" s="8">
        <v>0</v>
      </c>
      <c r="W489" s="18">
        <v>0.125</v>
      </c>
      <c r="X489" s="51">
        <v>45659</v>
      </c>
      <c r="Y489" s="51">
        <v>43367</v>
      </c>
      <c r="Z489" s="28">
        <v>96</v>
      </c>
      <c r="AA489" s="16" t="s">
        <v>1701</v>
      </c>
      <c r="AB489" s="8" t="s">
        <v>294</v>
      </c>
      <c r="AC489" s="8" t="s">
        <v>294</v>
      </c>
      <c r="AD489" s="8" t="s">
        <v>134</v>
      </c>
      <c r="AE489" s="8">
        <v>3102719008</v>
      </c>
      <c r="AF489" s="8" t="s">
        <v>276</v>
      </c>
      <c r="AG489" s="8" t="s">
        <v>292</v>
      </c>
      <c r="AH489" s="51">
        <v>34974</v>
      </c>
      <c r="AI489" s="28">
        <v>31</v>
      </c>
      <c r="AJ489" s="51" t="s">
        <v>1853</v>
      </c>
    </row>
    <row r="490" spans="1:36" ht="12.65" customHeight="1" x14ac:dyDescent="0.35">
      <c r="A490" s="8" t="s">
        <v>139</v>
      </c>
      <c r="B490" s="8" t="s">
        <v>136</v>
      </c>
      <c r="C490" s="8" t="s">
        <v>135</v>
      </c>
      <c r="D490" s="34" t="s">
        <v>171</v>
      </c>
      <c r="E490" s="14" t="s">
        <v>172</v>
      </c>
      <c r="F490" s="28" t="s">
        <v>69</v>
      </c>
      <c r="G490" s="28" t="s">
        <v>125</v>
      </c>
      <c r="H490" s="31" t="s">
        <v>9</v>
      </c>
      <c r="I490" s="8" t="s">
        <v>332</v>
      </c>
      <c r="J490" s="8" t="s">
        <v>101</v>
      </c>
      <c r="K490" s="69" t="s">
        <v>333</v>
      </c>
      <c r="L490" s="8" t="s">
        <v>75</v>
      </c>
      <c r="M490" s="8" t="s">
        <v>75</v>
      </c>
      <c r="N490" s="8" t="s">
        <v>306</v>
      </c>
      <c r="O490" s="8" t="s">
        <v>11</v>
      </c>
      <c r="P490" s="8" t="s">
        <v>274</v>
      </c>
      <c r="Q490" s="8" t="s">
        <v>275</v>
      </c>
      <c r="R490" s="8" t="s">
        <v>1628</v>
      </c>
      <c r="S490" s="8" t="s">
        <v>247</v>
      </c>
      <c r="T490" s="8" t="s">
        <v>172</v>
      </c>
      <c r="U490" s="8" t="s">
        <v>189</v>
      </c>
      <c r="V490" s="8">
        <v>0</v>
      </c>
      <c r="W490" s="18">
        <v>0.125</v>
      </c>
      <c r="X490" s="51">
        <v>45659</v>
      </c>
      <c r="Y490" s="51">
        <v>43367</v>
      </c>
      <c r="Z490" s="28">
        <v>96</v>
      </c>
      <c r="AA490" s="16" t="s">
        <v>1701</v>
      </c>
      <c r="AB490" s="8" t="s">
        <v>294</v>
      </c>
      <c r="AC490" s="8" t="s">
        <v>294</v>
      </c>
      <c r="AD490" s="8" t="s">
        <v>134</v>
      </c>
      <c r="AE490" s="8">
        <v>3102719008</v>
      </c>
      <c r="AF490" s="8" t="s">
        <v>276</v>
      </c>
      <c r="AG490" s="8" t="s">
        <v>292</v>
      </c>
      <c r="AH490" s="51">
        <v>34974</v>
      </c>
      <c r="AI490" s="28">
        <v>31</v>
      </c>
      <c r="AJ490" s="51" t="s">
        <v>1853</v>
      </c>
    </row>
    <row r="491" spans="1:36" ht="12.65" customHeight="1" x14ac:dyDescent="0.35">
      <c r="A491" s="8" t="s">
        <v>139</v>
      </c>
      <c r="B491" s="8" t="s">
        <v>136</v>
      </c>
      <c r="C491" s="8" t="s">
        <v>135</v>
      </c>
      <c r="D491" s="34" t="s">
        <v>171</v>
      </c>
      <c r="E491" s="14" t="s">
        <v>172</v>
      </c>
      <c r="F491" s="28" t="s">
        <v>69</v>
      </c>
      <c r="G491" s="28" t="s">
        <v>125</v>
      </c>
      <c r="H491" s="31" t="s">
        <v>9</v>
      </c>
      <c r="I491" s="8" t="s">
        <v>354</v>
      </c>
      <c r="J491" s="8" t="s">
        <v>111</v>
      </c>
      <c r="K491" s="69" t="s">
        <v>355</v>
      </c>
      <c r="L491" s="8" t="s">
        <v>75</v>
      </c>
      <c r="M491" s="8" t="s">
        <v>107</v>
      </c>
      <c r="N491" s="8" t="s">
        <v>306</v>
      </c>
      <c r="O491" s="8" t="s">
        <v>11</v>
      </c>
      <c r="P491" s="8" t="s">
        <v>274</v>
      </c>
      <c r="Q491" s="8" t="s">
        <v>275</v>
      </c>
      <c r="R491" s="8" t="s">
        <v>1628</v>
      </c>
      <c r="S491" s="8" t="s">
        <v>247</v>
      </c>
      <c r="T491" s="8" t="s">
        <v>172</v>
      </c>
      <c r="U491" s="8" t="s">
        <v>189</v>
      </c>
      <c r="V491" s="8">
        <v>0</v>
      </c>
      <c r="W491" s="18">
        <v>0.125</v>
      </c>
      <c r="X491" s="51">
        <v>45659</v>
      </c>
      <c r="Y491" s="51">
        <v>43367</v>
      </c>
      <c r="Z491" s="28">
        <v>96</v>
      </c>
      <c r="AA491" s="16" t="s">
        <v>1701</v>
      </c>
      <c r="AB491" s="8" t="s">
        <v>395</v>
      </c>
      <c r="AC491" s="8" t="s">
        <v>294</v>
      </c>
      <c r="AD491" s="8" t="s">
        <v>134</v>
      </c>
      <c r="AE491" s="8">
        <v>3102719008</v>
      </c>
      <c r="AF491" s="8" t="s">
        <v>276</v>
      </c>
      <c r="AG491" s="8" t="s">
        <v>292</v>
      </c>
      <c r="AH491" s="51">
        <v>34974</v>
      </c>
      <c r="AI491" s="28">
        <v>31</v>
      </c>
      <c r="AJ491" s="51" t="s">
        <v>1853</v>
      </c>
    </row>
    <row r="492" spans="1:36" ht="12.65" customHeight="1" x14ac:dyDescent="0.35">
      <c r="A492" s="8" t="s">
        <v>139</v>
      </c>
      <c r="B492" s="8" t="s">
        <v>136</v>
      </c>
      <c r="C492" s="8" t="s">
        <v>135</v>
      </c>
      <c r="D492" s="34" t="s">
        <v>171</v>
      </c>
      <c r="E492" s="14" t="s">
        <v>172</v>
      </c>
      <c r="F492" s="28" t="s">
        <v>69</v>
      </c>
      <c r="G492" s="28" t="s">
        <v>125</v>
      </c>
      <c r="H492" s="31" t="s">
        <v>9</v>
      </c>
      <c r="I492" s="8" t="s">
        <v>853</v>
      </c>
      <c r="J492" s="8" t="s">
        <v>121</v>
      </c>
      <c r="K492" s="69" t="s">
        <v>854</v>
      </c>
      <c r="L492" s="8" t="s">
        <v>75</v>
      </c>
      <c r="M492" s="8" t="s">
        <v>107</v>
      </c>
      <c r="N492" s="8" t="s">
        <v>306</v>
      </c>
      <c r="O492" s="8" t="s">
        <v>764</v>
      </c>
      <c r="P492" s="8" t="s">
        <v>274</v>
      </c>
      <c r="Q492" s="8" t="s">
        <v>275</v>
      </c>
      <c r="R492" s="8" t="s">
        <v>1628</v>
      </c>
      <c r="S492" s="8" t="s">
        <v>247</v>
      </c>
      <c r="T492" s="8" t="s">
        <v>172</v>
      </c>
      <c r="U492" s="8" t="s">
        <v>189</v>
      </c>
      <c r="V492" s="8">
        <v>0</v>
      </c>
      <c r="W492" s="18">
        <v>0.125</v>
      </c>
      <c r="X492" s="51">
        <v>45659</v>
      </c>
      <c r="Y492" s="51">
        <v>43367</v>
      </c>
      <c r="Z492" s="28">
        <v>96</v>
      </c>
      <c r="AA492" s="16" t="s">
        <v>1701</v>
      </c>
      <c r="AB492" s="8" t="s">
        <v>395</v>
      </c>
      <c r="AC492" s="8" t="s">
        <v>294</v>
      </c>
      <c r="AD492" s="8" t="s">
        <v>134</v>
      </c>
      <c r="AE492" s="8">
        <v>3102719008</v>
      </c>
      <c r="AF492" s="8" t="s">
        <v>276</v>
      </c>
      <c r="AG492" s="8" t="s">
        <v>292</v>
      </c>
      <c r="AH492" s="51">
        <v>34974</v>
      </c>
      <c r="AI492" s="28">
        <v>31</v>
      </c>
      <c r="AJ492" s="51" t="s">
        <v>1853</v>
      </c>
    </row>
    <row r="493" spans="1:36" ht="12.65" customHeight="1" x14ac:dyDescent="0.35">
      <c r="A493" s="8" t="s">
        <v>139</v>
      </c>
      <c r="B493" s="8" t="s">
        <v>136</v>
      </c>
      <c r="C493" s="8" t="s">
        <v>135</v>
      </c>
      <c r="D493" s="34" t="s">
        <v>171</v>
      </c>
      <c r="E493" s="14" t="s">
        <v>172</v>
      </c>
      <c r="F493" s="28" t="s">
        <v>69</v>
      </c>
      <c r="G493" s="28" t="s">
        <v>125</v>
      </c>
      <c r="H493" s="31" t="s">
        <v>9</v>
      </c>
      <c r="I493" s="8" t="s">
        <v>714</v>
      </c>
      <c r="J493" s="8" t="s">
        <v>118</v>
      </c>
      <c r="K493" s="69" t="s">
        <v>715</v>
      </c>
      <c r="L493" s="8" t="s">
        <v>75</v>
      </c>
      <c r="M493" s="8" t="s">
        <v>107</v>
      </c>
      <c r="N493" s="8" t="s">
        <v>306</v>
      </c>
      <c r="O493" s="8" t="s">
        <v>21</v>
      </c>
      <c r="P493" s="8" t="s">
        <v>274</v>
      </c>
      <c r="Q493" s="8" t="s">
        <v>275</v>
      </c>
      <c r="R493" s="8" t="s">
        <v>1628</v>
      </c>
      <c r="S493" s="8" t="s">
        <v>247</v>
      </c>
      <c r="T493" s="8" t="s">
        <v>172</v>
      </c>
      <c r="U493" s="8" t="s">
        <v>189</v>
      </c>
      <c r="V493" s="8">
        <v>0</v>
      </c>
      <c r="W493" s="18">
        <v>0.125</v>
      </c>
      <c r="X493" s="51">
        <v>45659</v>
      </c>
      <c r="Y493" s="51">
        <v>43367</v>
      </c>
      <c r="Z493" s="28">
        <v>96</v>
      </c>
      <c r="AA493" s="16" t="s">
        <v>1701</v>
      </c>
      <c r="AB493" s="8" t="s">
        <v>395</v>
      </c>
      <c r="AC493" s="8" t="s">
        <v>294</v>
      </c>
      <c r="AD493" s="8" t="s">
        <v>134</v>
      </c>
      <c r="AE493" s="8">
        <v>3102719008</v>
      </c>
      <c r="AF493" s="8" t="s">
        <v>276</v>
      </c>
      <c r="AG493" s="8" t="s">
        <v>292</v>
      </c>
      <c r="AH493" s="51">
        <v>34974</v>
      </c>
      <c r="AI493" s="28">
        <v>31</v>
      </c>
      <c r="AJ493" s="51" t="s">
        <v>1853</v>
      </c>
    </row>
    <row r="494" spans="1:36" ht="12.65" customHeight="1" x14ac:dyDescent="0.35">
      <c r="A494" s="8" t="s">
        <v>139</v>
      </c>
      <c r="B494" s="8" t="s">
        <v>136</v>
      </c>
      <c r="C494" s="8" t="s">
        <v>135</v>
      </c>
      <c r="D494" s="34" t="s">
        <v>171</v>
      </c>
      <c r="E494" s="14" t="s">
        <v>172</v>
      </c>
      <c r="F494" s="28" t="s">
        <v>69</v>
      </c>
      <c r="G494" s="28" t="s">
        <v>125</v>
      </c>
      <c r="H494" s="31" t="s">
        <v>9</v>
      </c>
      <c r="I494" s="8" t="s">
        <v>356</v>
      </c>
      <c r="J494" s="8" t="s">
        <v>109</v>
      </c>
      <c r="K494" s="69" t="s">
        <v>357</v>
      </c>
      <c r="L494" s="8" t="s">
        <v>75</v>
      </c>
      <c r="M494" s="8" t="s">
        <v>107</v>
      </c>
      <c r="N494" s="8" t="s">
        <v>306</v>
      </c>
      <c r="O494" s="8" t="s">
        <v>11</v>
      </c>
      <c r="P494" s="8" t="s">
        <v>274</v>
      </c>
      <c r="Q494" s="8" t="s">
        <v>275</v>
      </c>
      <c r="R494" s="8" t="s">
        <v>1628</v>
      </c>
      <c r="S494" s="8" t="s">
        <v>247</v>
      </c>
      <c r="T494" s="8" t="s">
        <v>172</v>
      </c>
      <c r="U494" s="8" t="s">
        <v>189</v>
      </c>
      <c r="V494" s="8">
        <v>0</v>
      </c>
      <c r="W494" s="18">
        <v>0.125</v>
      </c>
      <c r="X494" s="51">
        <v>45659</v>
      </c>
      <c r="Y494" s="51">
        <v>43367</v>
      </c>
      <c r="Z494" s="28">
        <v>96</v>
      </c>
      <c r="AA494" s="16" t="s">
        <v>1701</v>
      </c>
      <c r="AB494" s="8" t="s">
        <v>395</v>
      </c>
      <c r="AC494" s="8" t="s">
        <v>294</v>
      </c>
      <c r="AD494" s="8" t="s">
        <v>134</v>
      </c>
      <c r="AE494" s="8">
        <v>3102719008</v>
      </c>
      <c r="AF494" s="8" t="s">
        <v>276</v>
      </c>
      <c r="AG494" s="8" t="s">
        <v>292</v>
      </c>
      <c r="AH494" s="51">
        <v>34974</v>
      </c>
      <c r="AI494" s="28">
        <v>31</v>
      </c>
      <c r="AJ494" s="51" t="s">
        <v>1853</v>
      </c>
    </row>
    <row r="495" spans="1:36" ht="12.65" customHeight="1" x14ac:dyDescent="0.35">
      <c r="A495" s="8" t="s">
        <v>139</v>
      </c>
      <c r="B495" s="8" t="s">
        <v>136</v>
      </c>
      <c r="C495" s="8" t="s">
        <v>135</v>
      </c>
      <c r="D495" s="34" t="s">
        <v>171</v>
      </c>
      <c r="E495" s="14" t="s">
        <v>172</v>
      </c>
      <c r="F495" s="28" t="s">
        <v>69</v>
      </c>
      <c r="G495" s="28" t="s">
        <v>125</v>
      </c>
      <c r="H495" s="31" t="s">
        <v>9</v>
      </c>
      <c r="I495" s="8" t="s">
        <v>544</v>
      </c>
      <c r="J495" s="8" t="s">
        <v>120</v>
      </c>
      <c r="K495" s="69" t="s">
        <v>545</v>
      </c>
      <c r="L495" s="8" t="s">
        <v>75</v>
      </c>
      <c r="M495" s="8" t="s">
        <v>107</v>
      </c>
      <c r="N495" s="8" t="s">
        <v>306</v>
      </c>
      <c r="O495" s="8" t="s">
        <v>296</v>
      </c>
      <c r="P495" s="8" t="s">
        <v>274</v>
      </c>
      <c r="Q495" s="8" t="s">
        <v>275</v>
      </c>
      <c r="R495" s="8" t="s">
        <v>1628</v>
      </c>
      <c r="S495" s="8" t="s">
        <v>247</v>
      </c>
      <c r="T495" s="8" t="s">
        <v>172</v>
      </c>
      <c r="U495" s="8" t="s">
        <v>189</v>
      </c>
      <c r="V495" s="8">
        <v>0</v>
      </c>
      <c r="W495" s="18">
        <v>0.125</v>
      </c>
      <c r="X495" s="51">
        <v>45659</v>
      </c>
      <c r="Y495" s="51">
        <v>43367</v>
      </c>
      <c r="Z495" s="28">
        <v>96</v>
      </c>
      <c r="AA495" s="16" t="s">
        <v>1701</v>
      </c>
      <c r="AB495" s="8" t="s">
        <v>294</v>
      </c>
      <c r="AC495" s="8" t="s">
        <v>294</v>
      </c>
      <c r="AD495" s="8" t="s">
        <v>134</v>
      </c>
      <c r="AE495" s="8">
        <v>3102719008</v>
      </c>
      <c r="AF495" s="8" t="s">
        <v>276</v>
      </c>
      <c r="AG495" s="8" t="s">
        <v>292</v>
      </c>
      <c r="AH495" s="51">
        <v>34974</v>
      </c>
      <c r="AI495" s="28">
        <v>31</v>
      </c>
      <c r="AJ495" s="51" t="s">
        <v>1853</v>
      </c>
    </row>
    <row r="496" spans="1:36" ht="12.65" customHeight="1" x14ac:dyDescent="0.35">
      <c r="A496" s="8" t="s">
        <v>139</v>
      </c>
      <c r="B496" s="8" t="s">
        <v>136</v>
      </c>
      <c r="C496" s="8" t="s">
        <v>135</v>
      </c>
      <c r="D496" s="34" t="s">
        <v>165</v>
      </c>
      <c r="E496" s="14" t="s">
        <v>166</v>
      </c>
      <c r="F496" s="28" t="s">
        <v>69</v>
      </c>
      <c r="G496" s="8" t="s">
        <v>125</v>
      </c>
      <c r="H496" s="14" t="s">
        <v>9</v>
      </c>
      <c r="I496" s="34" t="s">
        <v>1160</v>
      </c>
      <c r="J496" s="8" t="s">
        <v>1161</v>
      </c>
      <c r="K496" s="69" t="s">
        <v>1162</v>
      </c>
      <c r="L496" s="8" t="s">
        <v>471</v>
      </c>
      <c r="M496" s="8" t="s">
        <v>556</v>
      </c>
      <c r="N496" s="8" t="s">
        <v>393</v>
      </c>
      <c r="O496" s="8" t="s">
        <v>17</v>
      </c>
      <c r="P496" s="8" t="s">
        <v>290</v>
      </c>
      <c r="Q496" s="8" t="s">
        <v>279</v>
      </c>
      <c r="R496" s="8" t="s">
        <v>234</v>
      </c>
      <c r="S496" s="8" t="s">
        <v>241</v>
      </c>
      <c r="T496" s="8" t="s">
        <v>166</v>
      </c>
      <c r="U496" s="8" t="s">
        <v>183</v>
      </c>
      <c r="V496" s="8">
        <v>1</v>
      </c>
      <c r="W496" s="18">
        <v>2.6315789473684209E-2</v>
      </c>
      <c r="X496" s="51">
        <v>46128</v>
      </c>
      <c r="Y496" s="51">
        <v>46128</v>
      </c>
      <c r="Z496" s="28">
        <v>6</v>
      </c>
      <c r="AA496" s="16" t="s">
        <v>1710</v>
      </c>
      <c r="AB496" s="8" t="s">
        <v>395</v>
      </c>
      <c r="AC496" s="8" t="s">
        <v>395</v>
      </c>
      <c r="AD496" s="8" t="s">
        <v>137</v>
      </c>
      <c r="AE496" s="8" t="s">
        <v>153</v>
      </c>
      <c r="AF496" s="8" t="s">
        <v>153</v>
      </c>
      <c r="AG496" s="8" t="s">
        <v>295</v>
      </c>
      <c r="AH496" s="51">
        <v>28353</v>
      </c>
      <c r="AI496" s="28">
        <v>49</v>
      </c>
      <c r="AJ496" s="51" t="s">
        <v>1853</v>
      </c>
    </row>
    <row r="497" spans="1:36" ht="12.65" customHeight="1" x14ac:dyDescent="0.35">
      <c r="A497" s="8" t="s">
        <v>139</v>
      </c>
      <c r="B497" s="8" t="s">
        <v>136</v>
      </c>
      <c r="C497" s="8" t="s">
        <v>135</v>
      </c>
      <c r="D497" s="34" t="s">
        <v>165</v>
      </c>
      <c r="E497" s="14" t="s">
        <v>166</v>
      </c>
      <c r="F497" s="28" t="s">
        <v>69</v>
      </c>
      <c r="G497" s="8" t="s">
        <v>125</v>
      </c>
      <c r="H497" s="14" t="s">
        <v>9</v>
      </c>
      <c r="I497" s="34" t="s">
        <v>650</v>
      </c>
      <c r="J497" s="8" t="s">
        <v>651</v>
      </c>
      <c r="K497" s="69" t="s">
        <v>652</v>
      </c>
      <c r="L497" s="8" t="s">
        <v>471</v>
      </c>
      <c r="M497" s="8" t="s">
        <v>653</v>
      </c>
      <c r="N497" s="8" t="s">
        <v>393</v>
      </c>
      <c r="O497" s="8" t="s">
        <v>17</v>
      </c>
      <c r="P497" s="8" t="s">
        <v>290</v>
      </c>
      <c r="Q497" s="8" t="s">
        <v>279</v>
      </c>
      <c r="R497" s="8" t="s">
        <v>234</v>
      </c>
      <c r="S497" s="8" t="s">
        <v>241</v>
      </c>
      <c r="T497" s="8" t="s">
        <v>166</v>
      </c>
      <c r="U497" s="8" t="s">
        <v>183</v>
      </c>
      <c r="V497" s="8">
        <v>0</v>
      </c>
      <c r="W497" s="18">
        <v>2.6315789473684209E-2</v>
      </c>
      <c r="X497" s="51">
        <v>46128</v>
      </c>
      <c r="Y497" s="51">
        <v>46128</v>
      </c>
      <c r="Z497" s="28">
        <v>6</v>
      </c>
      <c r="AA497" s="16" t="s">
        <v>1710</v>
      </c>
      <c r="AB497" s="8" t="s">
        <v>293</v>
      </c>
      <c r="AC497" s="8" t="s">
        <v>293</v>
      </c>
      <c r="AD497" s="8" t="s">
        <v>137</v>
      </c>
      <c r="AE497" s="8" t="s">
        <v>153</v>
      </c>
      <c r="AF497" s="8" t="s">
        <v>153</v>
      </c>
      <c r="AG497" s="8" t="s">
        <v>295</v>
      </c>
      <c r="AH497" s="51">
        <v>28353</v>
      </c>
      <c r="AI497" s="28">
        <v>49</v>
      </c>
      <c r="AJ497" s="51" t="s">
        <v>1853</v>
      </c>
    </row>
    <row r="498" spans="1:36" ht="12.65" customHeight="1" x14ac:dyDescent="0.35">
      <c r="A498" s="8" t="s">
        <v>139</v>
      </c>
      <c r="B498" s="8" t="s">
        <v>136</v>
      </c>
      <c r="C498" s="8" t="s">
        <v>135</v>
      </c>
      <c r="D498" s="34" t="s">
        <v>165</v>
      </c>
      <c r="E498" s="14" t="s">
        <v>166</v>
      </c>
      <c r="F498" s="28" t="s">
        <v>69</v>
      </c>
      <c r="G498" s="8" t="s">
        <v>125</v>
      </c>
      <c r="H498" s="14" t="s">
        <v>9</v>
      </c>
      <c r="I498" s="34" t="s">
        <v>915</v>
      </c>
      <c r="J498" s="8" t="s">
        <v>916</v>
      </c>
      <c r="K498" s="69" t="s">
        <v>917</v>
      </c>
      <c r="L498" s="8" t="s">
        <v>471</v>
      </c>
      <c r="M498" s="8" t="s">
        <v>490</v>
      </c>
      <c r="N498" s="8" t="s">
        <v>393</v>
      </c>
      <c r="O498" s="8" t="s">
        <v>148</v>
      </c>
      <c r="P498" s="8" t="s">
        <v>279</v>
      </c>
      <c r="Q498" s="8" t="s">
        <v>279</v>
      </c>
      <c r="R498" s="8" t="s">
        <v>225</v>
      </c>
      <c r="S498" s="8" t="s">
        <v>241</v>
      </c>
      <c r="T498" s="8" t="s">
        <v>166</v>
      </c>
      <c r="U498" s="8" t="s">
        <v>183</v>
      </c>
      <c r="V498" s="8">
        <v>0</v>
      </c>
      <c r="W498" s="18">
        <v>2.6315789473684209E-2</v>
      </c>
      <c r="X498" s="51">
        <v>46128</v>
      </c>
      <c r="Y498" s="51">
        <v>46128</v>
      </c>
      <c r="Z498" s="28">
        <v>6</v>
      </c>
      <c r="AA498" s="16" t="s">
        <v>1710</v>
      </c>
      <c r="AB498" s="8" t="s">
        <v>395</v>
      </c>
      <c r="AC498" s="8" t="s">
        <v>395</v>
      </c>
      <c r="AD498" s="8" t="s">
        <v>137</v>
      </c>
      <c r="AE498" s="8" t="s">
        <v>153</v>
      </c>
      <c r="AF498" s="8" t="s">
        <v>153</v>
      </c>
      <c r="AG498" s="8" t="s">
        <v>295</v>
      </c>
      <c r="AH498" s="51">
        <v>28353</v>
      </c>
      <c r="AI498" s="28">
        <v>49</v>
      </c>
      <c r="AJ498" s="51" t="s">
        <v>1853</v>
      </c>
    </row>
    <row r="499" spans="1:36" ht="12.65" customHeight="1" x14ac:dyDescent="0.35">
      <c r="A499" s="8" t="s">
        <v>139</v>
      </c>
      <c r="B499" s="8" t="s">
        <v>136</v>
      </c>
      <c r="C499" s="8" t="s">
        <v>135</v>
      </c>
      <c r="D499" s="34" t="s">
        <v>165</v>
      </c>
      <c r="E499" s="14" t="s">
        <v>166</v>
      </c>
      <c r="F499" s="28" t="s">
        <v>69</v>
      </c>
      <c r="G499" s="8" t="s">
        <v>125</v>
      </c>
      <c r="H499" s="14" t="s">
        <v>9</v>
      </c>
      <c r="I499" s="34" t="s">
        <v>1451</v>
      </c>
      <c r="J499" s="8" t="s">
        <v>1452</v>
      </c>
      <c r="K499" s="69" t="s">
        <v>1453</v>
      </c>
      <c r="L499" s="8" t="s">
        <v>471</v>
      </c>
      <c r="M499" s="8" t="s">
        <v>490</v>
      </c>
      <c r="N499" s="8" t="s">
        <v>393</v>
      </c>
      <c r="O499" s="8" t="s">
        <v>148</v>
      </c>
      <c r="P499" s="8" t="s">
        <v>279</v>
      </c>
      <c r="Q499" s="8" t="s">
        <v>279</v>
      </c>
      <c r="R499" s="8" t="s">
        <v>225</v>
      </c>
      <c r="S499" s="8" t="s">
        <v>241</v>
      </c>
      <c r="T499" s="8" t="s">
        <v>166</v>
      </c>
      <c r="U499" s="8" t="s">
        <v>183</v>
      </c>
      <c r="V499" s="8">
        <v>0</v>
      </c>
      <c r="W499" s="18">
        <v>2.6315789473684209E-2</v>
      </c>
      <c r="X499" s="51">
        <v>46128</v>
      </c>
      <c r="Y499" s="51">
        <v>46128</v>
      </c>
      <c r="Z499" s="28">
        <v>6</v>
      </c>
      <c r="AA499" s="16" t="s">
        <v>1710</v>
      </c>
      <c r="AB499" s="8" t="s">
        <v>293</v>
      </c>
      <c r="AC499" s="8" t="s">
        <v>293</v>
      </c>
      <c r="AD499" s="8" t="s">
        <v>137</v>
      </c>
      <c r="AE499" s="8" t="s">
        <v>153</v>
      </c>
      <c r="AF499" s="8" t="s">
        <v>153</v>
      </c>
      <c r="AG499" s="8" t="s">
        <v>295</v>
      </c>
      <c r="AH499" s="51">
        <v>28353</v>
      </c>
      <c r="AI499" s="28">
        <v>49</v>
      </c>
      <c r="AJ499" s="51" t="s">
        <v>1853</v>
      </c>
    </row>
    <row r="500" spans="1:36" ht="12.65" customHeight="1" x14ac:dyDescent="0.35">
      <c r="A500" s="8" t="s">
        <v>139</v>
      </c>
      <c r="B500" s="8" t="s">
        <v>136</v>
      </c>
      <c r="C500" s="8" t="s">
        <v>135</v>
      </c>
      <c r="D500" s="34" t="s">
        <v>165</v>
      </c>
      <c r="E500" s="14" t="s">
        <v>166</v>
      </c>
      <c r="F500" s="28" t="s">
        <v>69</v>
      </c>
      <c r="G500" s="8" t="s">
        <v>125</v>
      </c>
      <c r="H500" s="14" t="s">
        <v>9</v>
      </c>
      <c r="I500" s="34" t="s">
        <v>1454</v>
      </c>
      <c r="J500" s="8" t="s">
        <v>1455</v>
      </c>
      <c r="K500" s="69" t="s">
        <v>1453</v>
      </c>
      <c r="L500" s="8" t="s">
        <v>471</v>
      </c>
      <c r="M500" s="8" t="s">
        <v>490</v>
      </c>
      <c r="N500" s="8" t="s">
        <v>393</v>
      </c>
      <c r="O500" s="8" t="s">
        <v>148</v>
      </c>
      <c r="P500" s="8" t="s">
        <v>279</v>
      </c>
      <c r="Q500" s="8" t="s">
        <v>279</v>
      </c>
      <c r="R500" s="8" t="s">
        <v>225</v>
      </c>
      <c r="S500" s="8" t="s">
        <v>241</v>
      </c>
      <c r="T500" s="8" t="s">
        <v>166</v>
      </c>
      <c r="U500" s="8" t="s">
        <v>183</v>
      </c>
      <c r="V500" s="8">
        <v>0</v>
      </c>
      <c r="W500" s="18">
        <v>2.6315789473684209E-2</v>
      </c>
      <c r="X500" s="51">
        <v>46128</v>
      </c>
      <c r="Y500" s="51">
        <v>46128</v>
      </c>
      <c r="Z500" s="28">
        <v>6</v>
      </c>
      <c r="AA500" s="16" t="s">
        <v>1710</v>
      </c>
      <c r="AB500" s="8" t="s">
        <v>293</v>
      </c>
      <c r="AC500" s="8" t="s">
        <v>293</v>
      </c>
      <c r="AD500" s="8" t="s">
        <v>137</v>
      </c>
      <c r="AE500" s="8" t="s">
        <v>153</v>
      </c>
      <c r="AF500" s="8" t="s">
        <v>153</v>
      </c>
      <c r="AG500" s="8" t="s">
        <v>295</v>
      </c>
      <c r="AH500" s="51">
        <v>28353</v>
      </c>
      <c r="AI500" s="28">
        <v>49</v>
      </c>
      <c r="AJ500" s="51" t="s">
        <v>1853</v>
      </c>
    </row>
    <row r="501" spans="1:36" ht="12.65" customHeight="1" x14ac:dyDescent="0.35">
      <c r="A501" s="8" t="s">
        <v>139</v>
      </c>
      <c r="B501" s="8" t="s">
        <v>136</v>
      </c>
      <c r="C501" s="8" t="s">
        <v>135</v>
      </c>
      <c r="D501" s="34" t="s">
        <v>165</v>
      </c>
      <c r="E501" s="14" t="s">
        <v>166</v>
      </c>
      <c r="F501" s="28" t="s">
        <v>69</v>
      </c>
      <c r="G501" s="8" t="s">
        <v>125</v>
      </c>
      <c r="H501" s="14" t="s">
        <v>9</v>
      </c>
      <c r="I501" s="34" t="s">
        <v>918</v>
      </c>
      <c r="J501" s="8" t="s">
        <v>919</v>
      </c>
      <c r="K501" s="69" t="s">
        <v>920</v>
      </c>
      <c r="L501" s="8" t="s">
        <v>471</v>
      </c>
      <c r="M501" s="8" t="s">
        <v>490</v>
      </c>
      <c r="N501" s="8" t="s">
        <v>393</v>
      </c>
      <c r="O501" s="8" t="s">
        <v>148</v>
      </c>
      <c r="P501" s="8" t="s">
        <v>279</v>
      </c>
      <c r="Q501" s="8" t="s">
        <v>279</v>
      </c>
      <c r="R501" s="8" t="s">
        <v>225</v>
      </c>
      <c r="S501" s="8" t="s">
        <v>241</v>
      </c>
      <c r="T501" s="8" t="s">
        <v>166</v>
      </c>
      <c r="U501" s="8" t="s">
        <v>183</v>
      </c>
      <c r="V501" s="8">
        <v>0</v>
      </c>
      <c r="W501" s="18">
        <v>2.6315789473684209E-2</v>
      </c>
      <c r="X501" s="51">
        <v>46128</v>
      </c>
      <c r="Y501" s="51">
        <v>46128</v>
      </c>
      <c r="Z501" s="28">
        <v>6</v>
      </c>
      <c r="AA501" s="16" t="s">
        <v>1710</v>
      </c>
      <c r="AB501" s="8" t="s">
        <v>395</v>
      </c>
      <c r="AC501" s="8" t="s">
        <v>395</v>
      </c>
      <c r="AD501" s="8" t="s">
        <v>137</v>
      </c>
      <c r="AE501" s="8" t="s">
        <v>153</v>
      </c>
      <c r="AF501" s="8" t="s">
        <v>153</v>
      </c>
      <c r="AG501" s="8" t="s">
        <v>295</v>
      </c>
      <c r="AH501" s="51">
        <v>28353</v>
      </c>
      <c r="AI501" s="28">
        <v>49</v>
      </c>
      <c r="AJ501" s="51" t="s">
        <v>1853</v>
      </c>
    </row>
    <row r="502" spans="1:36" ht="12.65" customHeight="1" x14ac:dyDescent="0.35">
      <c r="A502" s="8" t="s">
        <v>139</v>
      </c>
      <c r="B502" s="8" t="s">
        <v>136</v>
      </c>
      <c r="C502" s="8" t="s">
        <v>135</v>
      </c>
      <c r="D502" s="34" t="s">
        <v>165</v>
      </c>
      <c r="E502" s="14" t="s">
        <v>166</v>
      </c>
      <c r="F502" s="28" t="s">
        <v>69</v>
      </c>
      <c r="G502" s="8" t="s">
        <v>125</v>
      </c>
      <c r="H502" s="14" t="s">
        <v>9</v>
      </c>
      <c r="I502" s="34" t="s">
        <v>1708</v>
      </c>
      <c r="J502" s="8" t="s">
        <v>1729</v>
      </c>
      <c r="K502" s="69" t="s">
        <v>1709</v>
      </c>
      <c r="L502" s="8" t="s">
        <v>410</v>
      </c>
      <c r="M502" s="8" t="s">
        <v>410</v>
      </c>
      <c r="N502" s="8" t="s">
        <v>306</v>
      </c>
      <c r="O502" s="8" t="s">
        <v>17</v>
      </c>
      <c r="P502" s="8" t="s">
        <v>290</v>
      </c>
      <c r="Q502" s="8" t="s">
        <v>279</v>
      </c>
      <c r="R502" s="8" t="s">
        <v>234</v>
      </c>
      <c r="S502" s="8" t="s">
        <v>241</v>
      </c>
      <c r="T502" s="8" t="s">
        <v>166</v>
      </c>
      <c r="U502" s="8" t="s">
        <v>54</v>
      </c>
      <c r="V502" s="8">
        <v>0</v>
      </c>
      <c r="W502" s="18">
        <v>2.6315789473684209E-2</v>
      </c>
      <c r="X502" s="51">
        <v>46128</v>
      </c>
      <c r="Y502" s="51">
        <v>46128</v>
      </c>
      <c r="Z502" s="28">
        <v>6</v>
      </c>
      <c r="AA502" s="16" t="s">
        <v>1710</v>
      </c>
      <c r="AB502" s="8" t="s">
        <v>294</v>
      </c>
      <c r="AC502" s="8" t="s">
        <v>395</v>
      </c>
      <c r="AD502" s="8" t="s">
        <v>137</v>
      </c>
      <c r="AE502" s="8" t="s">
        <v>153</v>
      </c>
      <c r="AF502" s="8" t="s">
        <v>153</v>
      </c>
      <c r="AG502" s="8" t="s">
        <v>295</v>
      </c>
      <c r="AH502" s="51">
        <v>28353</v>
      </c>
      <c r="AI502" s="28">
        <v>49</v>
      </c>
      <c r="AJ502" s="51" t="s">
        <v>1853</v>
      </c>
    </row>
    <row r="503" spans="1:36" ht="12.65" customHeight="1" x14ac:dyDescent="0.35">
      <c r="A503" s="8" t="s">
        <v>139</v>
      </c>
      <c r="B503" s="8" t="s">
        <v>136</v>
      </c>
      <c r="C503" s="8" t="s">
        <v>135</v>
      </c>
      <c r="D503" s="34" t="s">
        <v>165</v>
      </c>
      <c r="E503" s="14" t="s">
        <v>166</v>
      </c>
      <c r="F503" s="28" t="s">
        <v>69</v>
      </c>
      <c r="G503" s="8" t="s">
        <v>125</v>
      </c>
      <c r="H503" s="14" t="s">
        <v>9</v>
      </c>
      <c r="I503" s="34" t="s">
        <v>1702</v>
      </c>
      <c r="J503" s="8" t="s">
        <v>1703</v>
      </c>
      <c r="K503" s="69" t="s">
        <v>1704</v>
      </c>
      <c r="L503" s="8" t="s">
        <v>410</v>
      </c>
      <c r="M503" s="8" t="s">
        <v>410</v>
      </c>
      <c r="N503" s="8" t="s">
        <v>306</v>
      </c>
      <c r="O503" s="8" t="s">
        <v>17</v>
      </c>
      <c r="P503" s="8" t="s">
        <v>290</v>
      </c>
      <c r="Q503" s="8" t="s">
        <v>279</v>
      </c>
      <c r="R503" s="8" t="s">
        <v>234</v>
      </c>
      <c r="S503" s="8" t="s">
        <v>241</v>
      </c>
      <c r="T503" s="8" t="s">
        <v>166</v>
      </c>
      <c r="U503" s="8" t="s">
        <v>54</v>
      </c>
      <c r="V503" s="8">
        <v>0</v>
      </c>
      <c r="W503" s="18">
        <v>2.6315789473684209E-2</v>
      </c>
      <c r="X503" s="51">
        <v>46128</v>
      </c>
      <c r="Y503" s="51">
        <v>46128</v>
      </c>
      <c r="Z503" s="28">
        <v>6</v>
      </c>
      <c r="AA503" s="16" t="s">
        <v>1710</v>
      </c>
      <c r="AB503" s="8" t="s">
        <v>294</v>
      </c>
      <c r="AC503" s="8" t="s">
        <v>395</v>
      </c>
      <c r="AD503" s="8" t="s">
        <v>137</v>
      </c>
      <c r="AE503" s="8" t="s">
        <v>153</v>
      </c>
      <c r="AF503" s="8" t="s">
        <v>153</v>
      </c>
      <c r="AG503" s="8" t="s">
        <v>295</v>
      </c>
      <c r="AH503" s="51">
        <v>28353</v>
      </c>
      <c r="AI503" s="28">
        <v>49</v>
      </c>
      <c r="AJ503" s="51" t="s">
        <v>1853</v>
      </c>
    </row>
    <row r="504" spans="1:36" ht="12.65" customHeight="1" x14ac:dyDescent="0.35">
      <c r="A504" s="8" t="s">
        <v>139</v>
      </c>
      <c r="B504" s="8" t="s">
        <v>136</v>
      </c>
      <c r="C504" s="8" t="s">
        <v>135</v>
      </c>
      <c r="D504" s="34" t="s">
        <v>165</v>
      </c>
      <c r="E504" s="14" t="s">
        <v>166</v>
      </c>
      <c r="F504" s="28" t="s">
        <v>69</v>
      </c>
      <c r="G504" s="8" t="s">
        <v>125</v>
      </c>
      <c r="H504" s="14" t="s">
        <v>9</v>
      </c>
      <c r="I504" s="34" t="s">
        <v>921</v>
      </c>
      <c r="J504" s="8" t="s">
        <v>922</v>
      </c>
      <c r="K504" s="69" t="s">
        <v>923</v>
      </c>
      <c r="L504" s="8" t="s">
        <v>471</v>
      </c>
      <c r="M504" s="8" t="s">
        <v>490</v>
      </c>
      <c r="N504" s="8" t="s">
        <v>393</v>
      </c>
      <c r="O504" s="8" t="s">
        <v>148</v>
      </c>
      <c r="P504" s="8" t="s">
        <v>279</v>
      </c>
      <c r="Q504" s="8" t="s">
        <v>279</v>
      </c>
      <c r="R504" s="8" t="s">
        <v>225</v>
      </c>
      <c r="S504" s="8" t="s">
        <v>241</v>
      </c>
      <c r="T504" s="8" t="s">
        <v>166</v>
      </c>
      <c r="U504" s="8" t="s">
        <v>183</v>
      </c>
      <c r="V504" s="8">
        <v>0</v>
      </c>
      <c r="W504" s="18">
        <v>2.6315789473684209E-2</v>
      </c>
      <c r="X504" s="51">
        <v>46128</v>
      </c>
      <c r="Y504" s="51">
        <v>46128</v>
      </c>
      <c r="Z504" s="28">
        <v>6</v>
      </c>
      <c r="AA504" s="16" t="s">
        <v>1710</v>
      </c>
      <c r="AB504" s="8" t="s">
        <v>395</v>
      </c>
      <c r="AC504" s="8" t="s">
        <v>395</v>
      </c>
      <c r="AD504" s="8" t="s">
        <v>137</v>
      </c>
      <c r="AE504" s="8" t="s">
        <v>153</v>
      </c>
      <c r="AF504" s="8" t="s">
        <v>153</v>
      </c>
      <c r="AG504" s="8" t="s">
        <v>295</v>
      </c>
      <c r="AH504" s="51">
        <v>28353</v>
      </c>
      <c r="AI504" s="28">
        <v>49</v>
      </c>
      <c r="AJ504" s="51" t="s">
        <v>1853</v>
      </c>
    </row>
    <row r="505" spans="1:36" ht="12.65" customHeight="1" x14ac:dyDescent="0.35">
      <c r="A505" s="8" t="s">
        <v>139</v>
      </c>
      <c r="B505" s="8" t="s">
        <v>136</v>
      </c>
      <c r="C505" s="8" t="s">
        <v>135</v>
      </c>
      <c r="D505" s="34" t="s">
        <v>165</v>
      </c>
      <c r="E505" s="14" t="s">
        <v>166</v>
      </c>
      <c r="F505" s="28" t="s">
        <v>69</v>
      </c>
      <c r="G505" s="8" t="s">
        <v>125</v>
      </c>
      <c r="H505" s="14" t="s">
        <v>9</v>
      </c>
      <c r="I505" s="34" t="s">
        <v>553</v>
      </c>
      <c r="J505" s="8" t="s">
        <v>554</v>
      </c>
      <c r="K505" s="69" t="s">
        <v>555</v>
      </c>
      <c r="L505" s="8" t="s">
        <v>471</v>
      </c>
      <c r="M505" s="8" t="s">
        <v>556</v>
      </c>
      <c r="N505" s="8" t="s">
        <v>393</v>
      </c>
      <c r="O505" s="8" t="s">
        <v>148</v>
      </c>
      <c r="P505" s="8" t="s">
        <v>279</v>
      </c>
      <c r="Q505" s="8" t="s">
        <v>279</v>
      </c>
      <c r="R505" s="8" t="s">
        <v>225</v>
      </c>
      <c r="S505" s="8" t="s">
        <v>241</v>
      </c>
      <c r="T505" s="8" t="s">
        <v>166</v>
      </c>
      <c r="U505" s="8" t="s">
        <v>183</v>
      </c>
      <c r="V505" s="8">
        <v>0</v>
      </c>
      <c r="W505" s="18">
        <v>2.6315789473684209E-2</v>
      </c>
      <c r="X505" s="51">
        <v>46128</v>
      </c>
      <c r="Y505" s="51">
        <v>46128</v>
      </c>
      <c r="Z505" s="28">
        <v>6</v>
      </c>
      <c r="AA505" s="16" t="s">
        <v>1710</v>
      </c>
      <c r="AB505" s="8" t="s">
        <v>307</v>
      </c>
      <c r="AC505" s="8" t="s">
        <v>307</v>
      </c>
      <c r="AD505" s="8" t="s">
        <v>137</v>
      </c>
      <c r="AE505" s="8" t="s">
        <v>153</v>
      </c>
      <c r="AF505" s="8" t="s">
        <v>153</v>
      </c>
      <c r="AG505" s="8" t="s">
        <v>295</v>
      </c>
      <c r="AH505" s="51">
        <v>28353</v>
      </c>
      <c r="AI505" s="28">
        <v>49</v>
      </c>
      <c r="AJ505" s="51" t="s">
        <v>1853</v>
      </c>
    </row>
    <row r="506" spans="1:36" ht="12.65" customHeight="1" x14ac:dyDescent="0.35">
      <c r="A506" s="8" t="s">
        <v>139</v>
      </c>
      <c r="B506" s="8" t="s">
        <v>136</v>
      </c>
      <c r="C506" s="8" t="s">
        <v>135</v>
      </c>
      <c r="D506" s="34" t="s">
        <v>165</v>
      </c>
      <c r="E506" s="14" t="s">
        <v>166</v>
      </c>
      <c r="F506" s="28" t="s">
        <v>69</v>
      </c>
      <c r="G506" s="8" t="s">
        <v>125</v>
      </c>
      <c r="H506" s="14" t="s">
        <v>9</v>
      </c>
      <c r="I506" s="34" t="s">
        <v>468</v>
      </c>
      <c r="J506" s="8" t="s">
        <v>469</v>
      </c>
      <c r="K506" s="69" t="s">
        <v>470</v>
      </c>
      <c r="L506" s="8" t="s">
        <v>471</v>
      </c>
      <c r="M506" s="8" t="s">
        <v>472</v>
      </c>
      <c r="N506" s="8" t="s">
        <v>393</v>
      </c>
      <c r="O506" s="8" t="s">
        <v>473</v>
      </c>
      <c r="P506" s="8" t="s">
        <v>473</v>
      </c>
      <c r="Q506" s="8" t="s">
        <v>279</v>
      </c>
      <c r="R506" s="8" t="s">
        <v>234</v>
      </c>
      <c r="S506" s="8" t="s">
        <v>241</v>
      </c>
      <c r="T506" s="8" t="s">
        <v>166</v>
      </c>
      <c r="U506" s="8" t="s">
        <v>183</v>
      </c>
      <c r="V506" s="8">
        <v>0</v>
      </c>
      <c r="W506" s="18">
        <v>2.6315789473684209E-2</v>
      </c>
      <c r="X506" s="51">
        <v>46128</v>
      </c>
      <c r="Y506" s="51">
        <v>46128</v>
      </c>
      <c r="Z506" s="28">
        <v>6</v>
      </c>
      <c r="AA506" s="16" t="s">
        <v>1710</v>
      </c>
      <c r="AB506" s="8" t="s">
        <v>395</v>
      </c>
      <c r="AC506" s="8" t="s">
        <v>395</v>
      </c>
      <c r="AD506" s="8" t="s">
        <v>137</v>
      </c>
      <c r="AE506" s="8" t="s">
        <v>153</v>
      </c>
      <c r="AF506" s="8" t="s">
        <v>153</v>
      </c>
      <c r="AG506" s="8" t="s">
        <v>295</v>
      </c>
      <c r="AH506" s="51">
        <v>28353</v>
      </c>
      <c r="AI506" s="28">
        <v>49</v>
      </c>
      <c r="AJ506" s="51" t="s">
        <v>1853</v>
      </c>
    </row>
    <row r="507" spans="1:36" ht="12.65" customHeight="1" x14ac:dyDescent="0.35">
      <c r="A507" s="8" t="s">
        <v>139</v>
      </c>
      <c r="B507" s="8" t="s">
        <v>136</v>
      </c>
      <c r="C507" s="8" t="s">
        <v>135</v>
      </c>
      <c r="D507" s="34" t="s">
        <v>165</v>
      </c>
      <c r="E507" s="14" t="s">
        <v>166</v>
      </c>
      <c r="F507" s="28" t="s">
        <v>69</v>
      </c>
      <c r="G507" s="8" t="s">
        <v>125</v>
      </c>
      <c r="H507" s="14" t="s">
        <v>9</v>
      </c>
      <c r="I507" s="34" t="s">
        <v>557</v>
      </c>
      <c r="J507" s="8" t="s">
        <v>558</v>
      </c>
      <c r="K507" s="69" t="s">
        <v>559</v>
      </c>
      <c r="L507" s="8" t="s">
        <v>471</v>
      </c>
      <c r="M507" s="8" t="s">
        <v>560</v>
      </c>
      <c r="N507" s="8" t="s">
        <v>393</v>
      </c>
      <c r="O507" s="8" t="s">
        <v>148</v>
      </c>
      <c r="P507" s="8" t="s">
        <v>279</v>
      </c>
      <c r="Q507" s="8" t="s">
        <v>279</v>
      </c>
      <c r="R507" s="8" t="s">
        <v>225</v>
      </c>
      <c r="S507" s="8" t="s">
        <v>241</v>
      </c>
      <c r="T507" s="8" t="s">
        <v>166</v>
      </c>
      <c r="U507" s="8" t="s">
        <v>183</v>
      </c>
      <c r="V507" s="8">
        <v>0</v>
      </c>
      <c r="W507" s="18">
        <v>2.6315789473684209E-2</v>
      </c>
      <c r="X507" s="51">
        <v>46128</v>
      </c>
      <c r="Y507" s="51">
        <v>46128</v>
      </c>
      <c r="Z507" s="28">
        <v>6</v>
      </c>
      <c r="AA507" s="16" t="s">
        <v>1710</v>
      </c>
      <c r="AB507" s="8" t="s">
        <v>395</v>
      </c>
      <c r="AC507" s="8" t="s">
        <v>395</v>
      </c>
      <c r="AD507" s="8" t="s">
        <v>137</v>
      </c>
      <c r="AE507" s="8" t="s">
        <v>153</v>
      </c>
      <c r="AF507" s="8" t="s">
        <v>153</v>
      </c>
      <c r="AG507" s="8" t="s">
        <v>295</v>
      </c>
      <c r="AH507" s="51">
        <v>28353</v>
      </c>
      <c r="AI507" s="28">
        <v>49</v>
      </c>
      <c r="AJ507" s="51" t="s">
        <v>1853</v>
      </c>
    </row>
    <row r="508" spans="1:36" ht="12.65" customHeight="1" x14ac:dyDescent="0.35">
      <c r="A508" s="8" t="s">
        <v>139</v>
      </c>
      <c r="B508" s="8" t="s">
        <v>136</v>
      </c>
      <c r="C508" s="8" t="s">
        <v>135</v>
      </c>
      <c r="D508" s="34" t="s">
        <v>165</v>
      </c>
      <c r="E508" s="14" t="s">
        <v>166</v>
      </c>
      <c r="F508" s="28" t="s">
        <v>69</v>
      </c>
      <c r="G508" s="8" t="s">
        <v>125</v>
      </c>
      <c r="H508" s="14" t="s">
        <v>9</v>
      </c>
      <c r="I508" s="34" t="s">
        <v>561</v>
      </c>
      <c r="J508" s="8" t="s">
        <v>562</v>
      </c>
      <c r="K508" s="69" t="s">
        <v>563</v>
      </c>
      <c r="L508" s="8" t="s">
        <v>471</v>
      </c>
      <c r="M508" s="8" t="s">
        <v>560</v>
      </c>
      <c r="N508" s="8" t="s">
        <v>393</v>
      </c>
      <c r="O508" s="8" t="s">
        <v>148</v>
      </c>
      <c r="P508" s="8" t="s">
        <v>279</v>
      </c>
      <c r="Q508" s="8" t="s">
        <v>279</v>
      </c>
      <c r="R508" s="8" t="s">
        <v>225</v>
      </c>
      <c r="S508" s="8" t="s">
        <v>241</v>
      </c>
      <c r="T508" s="8" t="s">
        <v>166</v>
      </c>
      <c r="U508" s="8" t="s">
        <v>183</v>
      </c>
      <c r="V508" s="8">
        <v>0</v>
      </c>
      <c r="W508" s="18">
        <v>2.6315789473684209E-2</v>
      </c>
      <c r="X508" s="51">
        <v>46128</v>
      </c>
      <c r="Y508" s="51">
        <v>46128</v>
      </c>
      <c r="Z508" s="28">
        <v>6</v>
      </c>
      <c r="AA508" s="16" t="s">
        <v>1710</v>
      </c>
      <c r="AB508" s="8" t="s">
        <v>395</v>
      </c>
      <c r="AC508" s="8" t="s">
        <v>395</v>
      </c>
      <c r="AD508" s="8" t="s">
        <v>137</v>
      </c>
      <c r="AE508" s="8" t="s">
        <v>153</v>
      </c>
      <c r="AF508" s="8" t="s">
        <v>153</v>
      </c>
      <c r="AG508" s="8" t="s">
        <v>295</v>
      </c>
      <c r="AH508" s="51">
        <v>28353</v>
      </c>
      <c r="AI508" s="28">
        <v>49</v>
      </c>
      <c r="AJ508" s="51" t="s">
        <v>1853</v>
      </c>
    </row>
    <row r="509" spans="1:36" ht="12.65" customHeight="1" x14ac:dyDescent="0.35">
      <c r="A509" s="8" t="s">
        <v>139</v>
      </c>
      <c r="B509" s="8" t="s">
        <v>136</v>
      </c>
      <c r="C509" s="8" t="s">
        <v>135</v>
      </c>
      <c r="D509" s="34" t="s">
        <v>165</v>
      </c>
      <c r="E509" s="14" t="s">
        <v>166</v>
      </c>
      <c r="F509" s="28" t="s">
        <v>69</v>
      </c>
      <c r="G509" s="8" t="s">
        <v>125</v>
      </c>
      <c r="H509" s="14" t="s">
        <v>9</v>
      </c>
      <c r="I509" s="34" t="s">
        <v>564</v>
      </c>
      <c r="J509" s="8" t="s">
        <v>565</v>
      </c>
      <c r="K509" s="69" t="s">
        <v>566</v>
      </c>
      <c r="L509" s="8" t="s">
        <v>471</v>
      </c>
      <c r="M509" s="8" t="s">
        <v>560</v>
      </c>
      <c r="N509" s="8" t="s">
        <v>393</v>
      </c>
      <c r="O509" s="8" t="s">
        <v>148</v>
      </c>
      <c r="P509" s="8" t="s">
        <v>279</v>
      </c>
      <c r="Q509" s="8" t="s">
        <v>279</v>
      </c>
      <c r="R509" s="8" t="s">
        <v>225</v>
      </c>
      <c r="S509" s="8" t="s">
        <v>241</v>
      </c>
      <c r="T509" s="8" t="s">
        <v>166</v>
      </c>
      <c r="U509" s="8" t="s">
        <v>183</v>
      </c>
      <c r="V509" s="8">
        <v>0</v>
      </c>
      <c r="W509" s="18">
        <v>2.6315789473684209E-2</v>
      </c>
      <c r="X509" s="51">
        <v>46128</v>
      </c>
      <c r="Y509" s="51">
        <v>46128</v>
      </c>
      <c r="Z509" s="28">
        <v>6</v>
      </c>
      <c r="AA509" s="16" t="s">
        <v>1710</v>
      </c>
      <c r="AB509" s="8" t="s">
        <v>395</v>
      </c>
      <c r="AC509" s="8" t="s">
        <v>395</v>
      </c>
      <c r="AD509" s="8" t="s">
        <v>137</v>
      </c>
      <c r="AE509" s="8" t="s">
        <v>153</v>
      </c>
      <c r="AF509" s="8" t="s">
        <v>153</v>
      </c>
      <c r="AG509" s="8" t="s">
        <v>295</v>
      </c>
      <c r="AH509" s="51">
        <v>28353</v>
      </c>
      <c r="AI509" s="28">
        <v>49</v>
      </c>
      <c r="AJ509" s="51" t="s">
        <v>1853</v>
      </c>
    </row>
    <row r="510" spans="1:36" ht="12.65" customHeight="1" x14ac:dyDescent="0.35">
      <c r="A510" s="8" t="s">
        <v>139</v>
      </c>
      <c r="B510" s="8" t="s">
        <v>136</v>
      </c>
      <c r="C510" s="8" t="s">
        <v>135</v>
      </c>
      <c r="D510" s="34" t="s">
        <v>165</v>
      </c>
      <c r="E510" s="14" t="s">
        <v>166</v>
      </c>
      <c r="F510" s="28" t="s">
        <v>69</v>
      </c>
      <c r="G510" s="8" t="s">
        <v>125</v>
      </c>
      <c r="H510" s="14" t="s">
        <v>9</v>
      </c>
      <c r="I510" s="34" t="s">
        <v>1427</v>
      </c>
      <c r="J510" s="8" t="s">
        <v>1428</v>
      </c>
      <c r="K510" s="69" t="s">
        <v>1429</v>
      </c>
      <c r="L510" s="8" t="s">
        <v>471</v>
      </c>
      <c r="M510" s="8" t="s">
        <v>1430</v>
      </c>
      <c r="N510" s="8" t="s">
        <v>393</v>
      </c>
      <c r="O510" s="8" t="s">
        <v>148</v>
      </c>
      <c r="P510" s="8" t="s">
        <v>279</v>
      </c>
      <c r="Q510" s="8" t="s">
        <v>279</v>
      </c>
      <c r="R510" s="8" t="s">
        <v>225</v>
      </c>
      <c r="S510" s="8" t="s">
        <v>241</v>
      </c>
      <c r="T510" s="8" t="s">
        <v>166</v>
      </c>
      <c r="U510" s="8" t="s">
        <v>183</v>
      </c>
      <c r="V510" s="8">
        <v>0</v>
      </c>
      <c r="W510" s="18">
        <v>2.6315789473684209E-2</v>
      </c>
      <c r="X510" s="51">
        <v>46128</v>
      </c>
      <c r="Y510" s="51">
        <v>46128</v>
      </c>
      <c r="Z510" s="28">
        <v>6</v>
      </c>
      <c r="AA510" s="16" t="s">
        <v>1710</v>
      </c>
      <c r="AB510" s="8" t="s">
        <v>307</v>
      </c>
      <c r="AC510" s="8" t="s">
        <v>307</v>
      </c>
      <c r="AD510" s="8" t="s">
        <v>137</v>
      </c>
      <c r="AE510" s="8" t="s">
        <v>153</v>
      </c>
      <c r="AF510" s="8" t="s">
        <v>153</v>
      </c>
      <c r="AG510" s="8" t="s">
        <v>295</v>
      </c>
      <c r="AH510" s="51">
        <v>28353</v>
      </c>
      <c r="AI510" s="28">
        <v>49</v>
      </c>
      <c r="AJ510" s="51" t="s">
        <v>1853</v>
      </c>
    </row>
    <row r="511" spans="1:36" ht="12.65" customHeight="1" x14ac:dyDescent="0.35">
      <c r="A511" s="8" t="s">
        <v>139</v>
      </c>
      <c r="B511" s="8" t="s">
        <v>136</v>
      </c>
      <c r="C511" s="8" t="s">
        <v>135</v>
      </c>
      <c r="D511" s="34" t="s">
        <v>165</v>
      </c>
      <c r="E511" s="14" t="s">
        <v>166</v>
      </c>
      <c r="F511" s="28" t="s">
        <v>69</v>
      </c>
      <c r="G511" s="8" t="s">
        <v>125</v>
      </c>
      <c r="H511" s="14" t="s">
        <v>9</v>
      </c>
      <c r="I511" s="34" t="s">
        <v>1465</v>
      </c>
      <c r="J511" s="8" t="s">
        <v>1466</v>
      </c>
      <c r="K511" s="69" t="s">
        <v>1467</v>
      </c>
      <c r="L511" s="8" t="s">
        <v>471</v>
      </c>
      <c r="M511" s="8" t="s">
        <v>1468</v>
      </c>
      <c r="N511" s="8" t="s">
        <v>393</v>
      </c>
      <c r="O511" s="8" t="s">
        <v>148</v>
      </c>
      <c r="P511" s="8" t="s">
        <v>279</v>
      </c>
      <c r="Q511" s="8" t="s">
        <v>279</v>
      </c>
      <c r="R511" s="8" t="s">
        <v>225</v>
      </c>
      <c r="S511" s="8" t="s">
        <v>241</v>
      </c>
      <c r="T511" s="8" t="s">
        <v>166</v>
      </c>
      <c r="U511" s="8" t="s">
        <v>183</v>
      </c>
      <c r="V511" s="8">
        <v>0</v>
      </c>
      <c r="W511" s="18">
        <v>2.6315789473684209E-2</v>
      </c>
      <c r="X511" s="51">
        <v>46128</v>
      </c>
      <c r="Y511" s="51">
        <v>46128</v>
      </c>
      <c r="Z511" s="28">
        <v>6</v>
      </c>
      <c r="AA511" s="16" t="s">
        <v>1710</v>
      </c>
      <c r="AB511" s="8" t="s">
        <v>395</v>
      </c>
      <c r="AC511" s="8" t="s">
        <v>395</v>
      </c>
      <c r="AD511" s="8" t="s">
        <v>137</v>
      </c>
      <c r="AE511" s="8" t="s">
        <v>153</v>
      </c>
      <c r="AF511" s="8" t="s">
        <v>153</v>
      </c>
      <c r="AG511" s="8" t="s">
        <v>295</v>
      </c>
      <c r="AH511" s="51">
        <v>28353</v>
      </c>
      <c r="AI511" s="28">
        <v>49</v>
      </c>
      <c r="AJ511" s="51" t="s">
        <v>1853</v>
      </c>
    </row>
    <row r="512" spans="1:36" ht="12.65" customHeight="1" x14ac:dyDescent="0.35">
      <c r="A512" s="8" t="s">
        <v>139</v>
      </c>
      <c r="B512" s="8" t="s">
        <v>136</v>
      </c>
      <c r="C512" s="8" t="s">
        <v>135</v>
      </c>
      <c r="D512" s="34" t="s">
        <v>165</v>
      </c>
      <c r="E512" s="14" t="s">
        <v>166</v>
      </c>
      <c r="F512" s="28" t="s">
        <v>69</v>
      </c>
      <c r="G512" s="8" t="s">
        <v>125</v>
      </c>
      <c r="H512" s="14" t="s">
        <v>9</v>
      </c>
      <c r="I512" s="34" t="s">
        <v>1469</v>
      </c>
      <c r="J512" s="8" t="s">
        <v>1470</v>
      </c>
      <c r="K512" s="69" t="s">
        <v>1471</v>
      </c>
      <c r="L512" s="8" t="s">
        <v>471</v>
      </c>
      <c r="M512" s="8" t="s">
        <v>1468</v>
      </c>
      <c r="N512" s="8" t="s">
        <v>393</v>
      </c>
      <c r="O512" s="8" t="s">
        <v>766</v>
      </c>
      <c r="P512" s="8" t="s">
        <v>279</v>
      </c>
      <c r="Q512" s="8" t="s">
        <v>279</v>
      </c>
      <c r="R512" s="8" t="s">
        <v>234</v>
      </c>
      <c r="S512" s="8" t="s">
        <v>241</v>
      </c>
      <c r="T512" s="8" t="s">
        <v>166</v>
      </c>
      <c r="U512" s="8" t="s">
        <v>183</v>
      </c>
      <c r="V512" s="8">
        <v>0</v>
      </c>
      <c r="W512" s="18">
        <v>2.6315789473684209E-2</v>
      </c>
      <c r="X512" s="51">
        <v>46128</v>
      </c>
      <c r="Y512" s="51">
        <v>46128</v>
      </c>
      <c r="Z512" s="28">
        <v>6</v>
      </c>
      <c r="AA512" s="16" t="s">
        <v>1710</v>
      </c>
      <c r="AB512" s="8" t="s">
        <v>395</v>
      </c>
      <c r="AC512" s="8" t="s">
        <v>395</v>
      </c>
      <c r="AD512" s="8" t="s">
        <v>137</v>
      </c>
      <c r="AE512" s="8" t="s">
        <v>153</v>
      </c>
      <c r="AF512" s="8" t="s">
        <v>153</v>
      </c>
      <c r="AG512" s="8" t="s">
        <v>295</v>
      </c>
      <c r="AH512" s="51">
        <v>28353</v>
      </c>
      <c r="AI512" s="28">
        <v>49</v>
      </c>
      <c r="AJ512" s="51" t="s">
        <v>1853</v>
      </c>
    </row>
    <row r="513" spans="1:36" ht="12.65" customHeight="1" x14ac:dyDescent="0.35">
      <c r="A513" s="8" t="s">
        <v>139</v>
      </c>
      <c r="B513" s="8" t="s">
        <v>136</v>
      </c>
      <c r="C513" s="8" t="s">
        <v>135</v>
      </c>
      <c r="D513" s="34" t="s">
        <v>165</v>
      </c>
      <c r="E513" s="14" t="s">
        <v>166</v>
      </c>
      <c r="F513" s="28" t="s">
        <v>69</v>
      </c>
      <c r="G513" s="8" t="s">
        <v>125</v>
      </c>
      <c r="H513" s="14" t="s">
        <v>9</v>
      </c>
      <c r="I513" s="34" t="s">
        <v>1472</v>
      </c>
      <c r="J513" s="8" t="s">
        <v>1473</v>
      </c>
      <c r="K513" s="69" t="s">
        <v>1474</v>
      </c>
      <c r="L513" s="8" t="s">
        <v>471</v>
      </c>
      <c r="M513" s="8" t="s">
        <v>1468</v>
      </c>
      <c r="N513" s="8" t="s">
        <v>393</v>
      </c>
      <c r="O513" s="8" t="s">
        <v>766</v>
      </c>
      <c r="P513" s="8" t="s">
        <v>279</v>
      </c>
      <c r="Q513" s="8" t="s">
        <v>279</v>
      </c>
      <c r="R513" s="8" t="s">
        <v>234</v>
      </c>
      <c r="S513" s="8" t="s">
        <v>241</v>
      </c>
      <c r="T513" s="8" t="s">
        <v>166</v>
      </c>
      <c r="U513" s="8" t="s">
        <v>183</v>
      </c>
      <c r="V513" s="8">
        <v>0</v>
      </c>
      <c r="W513" s="18">
        <v>2.6315789473684209E-2</v>
      </c>
      <c r="X513" s="51">
        <v>46128</v>
      </c>
      <c r="Y513" s="51">
        <v>46128</v>
      </c>
      <c r="Z513" s="28">
        <v>6</v>
      </c>
      <c r="AA513" s="16" t="s">
        <v>1710</v>
      </c>
      <c r="AB513" s="8" t="s">
        <v>395</v>
      </c>
      <c r="AC513" s="8" t="s">
        <v>395</v>
      </c>
      <c r="AD513" s="8" t="s">
        <v>137</v>
      </c>
      <c r="AE513" s="8" t="s">
        <v>153</v>
      </c>
      <c r="AF513" s="8" t="s">
        <v>153</v>
      </c>
      <c r="AG513" s="8" t="s">
        <v>295</v>
      </c>
      <c r="AH513" s="51">
        <v>28353</v>
      </c>
      <c r="AI513" s="28">
        <v>49</v>
      </c>
      <c r="AJ513" s="51" t="s">
        <v>1853</v>
      </c>
    </row>
    <row r="514" spans="1:36" ht="12.65" customHeight="1" x14ac:dyDescent="0.35">
      <c r="A514" s="8" t="s">
        <v>139</v>
      </c>
      <c r="B514" s="8" t="s">
        <v>136</v>
      </c>
      <c r="C514" s="8" t="s">
        <v>135</v>
      </c>
      <c r="D514" s="34" t="s">
        <v>165</v>
      </c>
      <c r="E514" s="14" t="s">
        <v>166</v>
      </c>
      <c r="F514" s="28" t="s">
        <v>69</v>
      </c>
      <c r="G514" s="28" t="s">
        <v>125</v>
      </c>
      <c r="H514" s="31" t="s">
        <v>9</v>
      </c>
      <c r="I514" s="8" t="s">
        <v>1454</v>
      </c>
      <c r="J514" s="8" t="s">
        <v>1455</v>
      </c>
      <c r="K514" s="69" t="s">
        <v>1453</v>
      </c>
      <c r="L514" s="8" t="s">
        <v>471</v>
      </c>
      <c r="M514" s="8" t="s">
        <v>490</v>
      </c>
      <c r="N514" s="8" t="s">
        <v>393</v>
      </c>
      <c r="O514" s="8" t="s">
        <v>148</v>
      </c>
      <c r="P514" s="8" t="s">
        <v>279</v>
      </c>
      <c r="Q514" s="8" t="s">
        <v>279</v>
      </c>
      <c r="R514" s="8" t="s">
        <v>225</v>
      </c>
      <c r="S514" s="8" t="s">
        <v>241</v>
      </c>
      <c r="T514" s="8" t="s">
        <v>166</v>
      </c>
      <c r="U514" s="8" t="s">
        <v>183</v>
      </c>
      <c r="V514" s="8">
        <v>0</v>
      </c>
      <c r="W514" s="18">
        <v>2.6315789473684209E-2</v>
      </c>
      <c r="X514" s="51">
        <v>46128</v>
      </c>
      <c r="Y514" s="51">
        <v>46128</v>
      </c>
      <c r="Z514" s="28">
        <v>6</v>
      </c>
      <c r="AA514" s="16" t="s">
        <v>1710</v>
      </c>
      <c r="AB514" s="8" t="s">
        <v>293</v>
      </c>
      <c r="AC514" s="8" t="s">
        <v>293</v>
      </c>
      <c r="AD514" s="8" t="s">
        <v>137</v>
      </c>
      <c r="AE514" s="8" t="s">
        <v>153</v>
      </c>
      <c r="AF514" s="8" t="s">
        <v>153</v>
      </c>
      <c r="AG514" s="8" t="s">
        <v>295</v>
      </c>
      <c r="AH514" s="51">
        <v>28353</v>
      </c>
      <c r="AI514" s="28">
        <v>49</v>
      </c>
      <c r="AJ514" s="51" t="s">
        <v>1853</v>
      </c>
    </row>
    <row r="515" spans="1:36" ht="12.65" customHeight="1" x14ac:dyDescent="0.35">
      <c r="A515" s="8" t="s">
        <v>139</v>
      </c>
      <c r="B515" s="8" t="s">
        <v>136</v>
      </c>
      <c r="C515" s="8" t="s">
        <v>135</v>
      </c>
      <c r="D515" s="34" t="s">
        <v>165</v>
      </c>
      <c r="E515" s="14" t="s">
        <v>166</v>
      </c>
      <c r="F515" s="28" t="s">
        <v>69</v>
      </c>
      <c r="G515" s="28" t="s">
        <v>125</v>
      </c>
      <c r="H515" s="31" t="s">
        <v>9</v>
      </c>
      <c r="I515" s="8" t="s">
        <v>735</v>
      </c>
      <c r="J515" s="8" t="s">
        <v>92</v>
      </c>
      <c r="K515" s="69" t="s">
        <v>736</v>
      </c>
      <c r="L515" s="8" t="s">
        <v>75</v>
      </c>
      <c r="M515" s="8" t="s">
        <v>76</v>
      </c>
      <c r="N515" s="8" t="s">
        <v>306</v>
      </c>
      <c r="O515" s="8" t="s">
        <v>17</v>
      </c>
      <c r="P515" s="8" t="s">
        <v>290</v>
      </c>
      <c r="Q515" s="8" t="s">
        <v>279</v>
      </c>
      <c r="R515" s="8" t="s">
        <v>234</v>
      </c>
      <c r="S515" s="8" t="s">
        <v>241</v>
      </c>
      <c r="T515" s="8" t="s">
        <v>166</v>
      </c>
      <c r="U515" s="8" t="s">
        <v>189</v>
      </c>
      <c r="V515" s="8">
        <v>0</v>
      </c>
      <c r="W515" s="18">
        <v>2.6315789473684209E-2</v>
      </c>
      <c r="X515" s="51">
        <v>46128</v>
      </c>
      <c r="Y515" s="51">
        <v>46128</v>
      </c>
      <c r="Z515" s="28">
        <v>6</v>
      </c>
      <c r="AA515" s="16" t="s">
        <v>1710</v>
      </c>
      <c r="AB515" s="8" t="s">
        <v>395</v>
      </c>
      <c r="AC515" s="8" t="s">
        <v>294</v>
      </c>
      <c r="AD515" s="8" t="s">
        <v>137</v>
      </c>
      <c r="AE515" s="8" t="s">
        <v>153</v>
      </c>
      <c r="AF515" s="8" t="s">
        <v>153</v>
      </c>
      <c r="AG515" s="8" t="s">
        <v>292</v>
      </c>
      <c r="AH515" s="51">
        <v>28353</v>
      </c>
      <c r="AI515" s="28">
        <v>49</v>
      </c>
      <c r="AJ515" s="51" t="s">
        <v>1853</v>
      </c>
    </row>
    <row r="516" spans="1:36" ht="12.65" customHeight="1" x14ac:dyDescent="0.35">
      <c r="A516" s="8" t="s">
        <v>139</v>
      </c>
      <c r="B516" s="8" t="s">
        <v>136</v>
      </c>
      <c r="C516" s="8" t="s">
        <v>135</v>
      </c>
      <c r="D516" s="34" t="s">
        <v>165</v>
      </c>
      <c r="E516" s="14" t="s">
        <v>166</v>
      </c>
      <c r="F516" s="28" t="s">
        <v>69</v>
      </c>
      <c r="G516" s="28" t="s">
        <v>125</v>
      </c>
      <c r="H516" s="31" t="s">
        <v>9</v>
      </c>
      <c r="I516" s="8" t="s">
        <v>647</v>
      </c>
      <c r="J516" s="8" t="s">
        <v>892</v>
      </c>
      <c r="K516" s="69" t="s">
        <v>648</v>
      </c>
      <c r="L516" s="8" t="s">
        <v>471</v>
      </c>
      <c r="M516" s="8" t="s">
        <v>649</v>
      </c>
      <c r="N516" s="8" t="s">
        <v>393</v>
      </c>
      <c r="O516" s="8" t="s">
        <v>17</v>
      </c>
      <c r="P516" s="8" t="s">
        <v>290</v>
      </c>
      <c r="Q516" s="8" t="s">
        <v>279</v>
      </c>
      <c r="R516" s="8" t="s">
        <v>234</v>
      </c>
      <c r="S516" s="8" t="s">
        <v>241</v>
      </c>
      <c r="T516" s="8" t="s">
        <v>166</v>
      </c>
      <c r="U516" s="8" t="s">
        <v>183</v>
      </c>
      <c r="V516" s="8">
        <v>0</v>
      </c>
      <c r="W516" s="18">
        <v>2.6315789473684209E-2</v>
      </c>
      <c r="X516" s="51">
        <v>46128</v>
      </c>
      <c r="Y516" s="51">
        <v>46128</v>
      </c>
      <c r="Z516" s="28">
        <v>6</v>
      </c>
      <c r="AA516" s="16" t="s">
        <v>1710</v>
      </c>
      <c r="AB516" s="8" t="s">
        <v>307</v>
      </c>
      <c r="AC516" s="8" t="s">
        <v>307</v>
      </c>
      <c r="AD516" s="8" t="s">
        <v>137</v>
      </c>
      <c r="AE516" s="8" t="s">
        <v>153</v>
      </c>
      <c r="AF516" s="8" t="s">
        <v>153</v>
      </c>
      <c r="AG516" s="8" t="s">
        <v>295</v>
      </c>
      <c r="AH516" s="51">
        <v>28353</v>
      </c>
      <c r="AI516" s="28">
        <v>49</v>
      </c>
      <c r="AJ516" s="51" t="s">
        <v>1853</v>
      </c>
    </row>
    <row r="517" spans="1:36" ht="12.65" customHeight="1" x14ac:dyDescent="0.35">
      <c r="A517" s="8" t="s">
        <v>139</v>
      </c>
      <c r="B517" s="8" t="s">
        <v>136</v>
      </c>
      <c r="C517" s="8" t="s">
        <v>135</v>
      </c>
      <c r="D517" s="34" t="s">
        <v>165</v>
      </c>
      <c r="E517" s="14" t="s">
        <v>166</v>
      </c>
      <c r="F517" s="28" t="s">
        <v>69</v>
      </c>
      <c r="G517" s="28" t="s">
        <v>125</v>
      </c>
      <c r="H517" s="31" t="s">
        <v>9</v>
      </c>
      <c r="I517" s="8" t="s">
        <v>1157</v>
      </c>
      <c r="J517" s="8" t="s">
        <v>1158</v>
      </c>
      <c r="K517" s="69" t="s">
        <v>1159</v>
      </c>
      <c r="L517" s="8" t="s">
        <v>471</v>
      </c>
      <c r="M517" s="8" t="s">
        <v>556</v>
      </c>
      <c r="N517" s="8" t="s">
        <v>393</v>
      </c>
      <c r="O517" s="8" t="s">
        <v>17</v>
      </c>
      <c r="P517" s="8" t="s">
        <v>290</v>
      </c>
      <c r="Q517" s="8" t="s">
        <v>279</v>
      </c>
      <c r="R517" s="8" t="s">
        <v>234</v>
      </c>
      <c r="S517" s="8" t="s">
        <v>241</v>
      </c>
      <c r="T517" s="8" t="s">
        <v>166</v>
      </c>
      <c r="U517" s="8" t="s">
        <v>183</v>
      </c>
      <c r="V517" s="8">
        <v>0</v>
      </c>
      <c r="W517" s="18">
        <v>2.6315789473684209E-2</v>
      </c>
      <c r="X517" s="51">
        <v>46128</v>
      </c>
      <c r="Y517" s="51">
        <v>46128</v>
      </c>
      <c r="Z517" s="28">
        <v>6</v>
      </c>
      <c r="AA517" s="16" t="s">
        <v>1710</v>
      </c>
      <c r="AB517" s="8" t="s">
        <v>395</v>
      </c>
      <c r="AC517" s="8" t="s">
        <v>395</v>
      </c>
      <c r="AD517" s="8" t="s">
        <v>137</v>
      </c>
      <c r="AE517" s="8" t="s">
        <v>153</v>
      </c>
      <c r="AF517" s="8" t="s">
        <v>153</v>
      </c>
      <c r="AG517" s="8" t="s">
        <v>295</v>
      </c>
      <c r="AH517" s="51">
        <v>28353</v>
      </c>
      <c r="AI517" s="28">
        <v>49</v>
      </c>
      <c r="AJ517" s="51" t="s">
        <v>1853</v>
      </c>
    </row>
    <row r="518" spans="1:36" ht="12.65" customHeight="1" x14ac:dyDescent="0.35">
      <c r="A518" s="8" t="s">
        <v>139</v>
      </c>
      <c r="B518" s="8" t="s">
        <v>136</v>
      </c>
      <c r="C518" s="8" t="s">
        <v>135</v>
      </c>
      <c r="D518" s="34" t="s">
        <v>165</v>
      </c>
      <c r="E518" s="14" t="s">
        <v>166</v>
      </c>
      <c r="F518" s="28" t="s">
        <v>69</v>
      </c>
      <c r="G518" s="28" t="s">
        <v>125</v>
      </c>
      <c r="H518" s="31" t="s">
        <v>9</v>
      </c>
      <c r="I518" s="8" t="s">
        <v>553</v>
      </c>
      <c r="J518" s="8" t="s">
        <v>554</v>
      </c>
      <c r="K518" s="69" t="s">
        <v>555</v>
      </c>
      <c r="L518" s="8" t="s">
        <v>471</v>
      </c>
      <c r="M518" s="8" t="s">
        <v>556</v>
      </c>
      <c r="N518" s="8" t="s">
        <v>393</v>
      </c>
      <c r="O518" s="8" t="s">
        <v>148</v>
      </c>
      <c r="P518" s="8" t="s">
        <v>279</v>
      </c>
      <c r="Q518" s="8" t="s">
        <v>279</v>
      </c>
      <c r="R518" s="8" t="s">
        <v>225</v>
      </c>
      <c r="S518" s="8" t="s">
        <v>241</v>
      </c>
      <c r="T518" s="8" t="s">
        <v>166</v>
      </c>
      <c r="U518" s="8" t="s">
        <v>183</v>
      </c>
      <c r="V518" s="8">
        <v>0</v>
      </c>
      <c r="W518" s="18">
        <v>2.6315789473684209E-2</v>
      </c>
      <c r="X518" s="51">
        <v>46128</v>
      </c>
      <c r="Y518" s="51">
        <v>46128</v>
      </c>
      <c r="Z518" s="28">
        <v>6</v>
      </c>
      <c r="AA518" s="16" t="s">
        <v>1710</v>
      </c>
      <c r="AB518" s="8" t="s">
        <v>307</v>
      </c>
      <c r="AC518" s="8" t="s">
        <v>307</v>
      </c>
      <c r="AD518" s="8" t="s">
        <v>137</v>
      </c>
      <c r="AE518" s="8" t="s">
        <v>153</v>
      </c>
      <c r="AF518" s="8" t="s">
        <v>153</v>
      </c>
      <c r="AG518" s="8" t="s">
        <v>295</v>
      </c>
      <c r="AH518" s="51">
        <v>28353</v>
      </c>
      <c r="AI518" s="28">
        <v>49</v>
      </c>
      <c r="AJ518" s="51" t="s">
        <v>1853</v>
      </c>
    </row>
    <row r="519" spans="1:36" ht="12.65" customHeight="1" x14ac:dyDescent="0.35">
      <c r="A519" s="8" t="s">
        <v>139</v>
      </c>
      <c r="B519" s="8" t="s">
        <v>136</v>
      </c>
      <c r="C519" s="8" t="s">
        <v>135</v>
      </c>
      <c r="D519" s="34" t="s">
        <v>165</v>
      </c>
      <c r="E519" s="14" t="s">
        <v>166</v>
      </c>
      <c r="F519" s="28" t="s">
        <v>69</v>
      </c>
      <c r="G519" s="28" t="s">
        <v>125</v>
      </c>
      <c r="H519" s="31" t="s">
        <v>9</v>
      </c>
      <c r="I519" s="8" t="s">
        <v>468</v>
      </c>
      <c r="J519" s="8" t="s">
        <v>469</v>
      </c>
      <c r="K519" s="69" t="s">
        <v>470</v>
      </c>
      <c r="L519" s="8" t="s">
        <v>471</v>
      </c>
      <c r="M519" s="8" t="s">
        <v>472</v>
      </c>
      <c r="N519" s="8" t="s">
        <v>393</v>
      </c>
      <c r="O519" s="8" t="s">
        <v>473</v>
      </c>
      <c r="P519" s="8" t="s">
        <v>473</v>
      </c>
      <c r="Q519" s="8" t="s">
        <v>279</v>
      </c>
      <c r="R519" s="8" t="s">
        <v>234</v>
      </c>
      <c r="S519" s="8" t="s">
        <v>241</v>
      </c>
      <c r="T519" s="8" t="s">
        <v>166</v>
      </c>
      <c r="U519" s="8" t="s">
        <v>183</v>
      </c>
      <c r="V519" s="8">
        <v>0</v>
      </c>
      <c r="W519" s="18">
        <v>2.6315789473684209E-2</v>
      </c>
      <c r="X519" s="51">
        <v>46128</v>
      </c>
      <c r="Y519" s="51">
        <v>46128</v>
      </c>
      <c r="Z519" s="28">
        <v>6</v>
      </c>
      <c r="AA519" s="16" t="s">
        <v>1710</v>
      </c>
      <c r="AB519" s="8" t="s">
        <v>395</v>
      </c>
      <c r="AC519" s="8" t="s">
        <v>395</v>
      </c>
      <c r="AD519" s="8" t="s">
        <v>137</v>
      </c>
      <c r="AE519" s="8" t="s">
        <v>153</v>
      </c>
      <c r="AF519" s="8" t="s">
        <v>153</v>
      </c>
      <c r="AG519" s="8" t="s">
        <v>295</v>
      </c>
      <c r="AH519" s="51">
        <v>28353</v>
      </c>
      <c r="AI519" s="28">
        <v>49</v>
      </c>
      <c r="AJ519" s="51" t="s">
        <v>1853</v>
      </c>
    </row>
    <row r="520" spans="1:36" ht="12.65" customHeight="1" x14ac:dyDescent="0.35">
      <c r="A520" s="8" t="s">
        <v>139</v>
      </c>
      <c r="B520" s="8" t="s">
        <v>136</v>
      </c>
      <c r="C520" s="8" t="s">
        <v>135</v>
      </c>
      <c r="D520" s="34" t="s">
        <v>165</v>
      </c>
      <c r="E520" s="14" t="s">
        <v>166</v>
      </c>
      <c r="F520" s="28" t="s">
        <v>69</v>
      </c>
      <c r="G520" s="28" t="s">
        <v>125</v>
      </c>
      <c r="H520" s="31" t="s">
        <v>9</v>
      </c>
      <c r="I520" s="8" t="s">
        <v>1427</v>
      </c>
      <c r="J520" s="8" t="s">
        <v>1428</v>
      </c>
      <c r="K520" s="69" t="s">
        <v>1429</v>
      </c>
      <c r="L520" s="8" t="s">
        <v>471</v>
      </c>
      <c r="M520" s="8" t="s">
        <v>1430</v>
      </c>
      <c r="N520" s="8" t="s">
        <v>393</v>
      </c>
      <c r="O520" s="8" t="s">
        <v>148</v>
      </c>
      <c r="P520" s="8" t="s">
        <v>279</v>
      </c>
      <c r="Q520" s="8" t="s">
        <v>279</v>
      </c>
      <c r="R520" s="8" t="s">
        <v>225</v>
      </c>
      <c r="S520" s="8" t="s">
        <v>241</v>
      </c>
      <c r="T520" s="8" t="s">
        <v>166</v>
      </c>
      <c r="U520" s="8" t="s">
        <v>183</v>
      </c>
      <c r="V520" s="8">
        <v>0</v>
      </c>
      <c r="W520" s="18">
        <v>2.6315789473684209E-2</v>
      </c>
      <c r="X520" s="51">
        <v>46128</v>
      </c>
      <c r="Y520" s="51">
        <v>46128</v>
      </c>
      <c r="Z520" s="28">
        <v>6</v>
      </c>
      <c r="AA520" s="16" t="s">
        <v>1710</v>
      </c>
      <c r="AB520" s="8" t="s">
        <v>307</v>
      </c>
      <c r="AC520" s="8" t="s">
        <v>307</v>
      </c>
      <c r="AD520" s="8" t="s">
        <v>137</v>
      </c>
      <c r="AE520" s="8" t="s">
        <v>153</v>
      </c>
      <c r="AF520" s="8" t="s">
        <v>153</v>
      </c>
      <c r="AG520" s="8" t="s">
        <v>295</v>
      </c>
      <c r="AH520" s="51">
        <v>28353</v>
      </c>
      <c r="AI520" s="28">
        <v>49</v>
      </c>
      <c r="AJ520" s="51" t="s">
        <v>1853</v>
      </c>
    </row>
    <row r="521" spans="1:36" ht="12.65" customHeight="1" x14ac:dyDescent="0.35">
      <c r="A521" s="8" t="s">
        <v>139</v>
      </c>
      <c r="B521" s="8" t="s">
        <v>136</v>
      </c>
      <c r="C521" s="8" t="s">
        <v>135</v>
      </c>
      <c r="D521" s="34" t="s">
        <v>165</v>
      </c>
      <c r="E521" s="14" t="s">
        <v>166</v>
      </c>
      <c r="F521" s="28" t="s">
        <v>69</v>
      </c>
      <c r="G521" s="28" t="s">
        <v>125</v>
      </c>
      <c r="H521" s="31" t="s">
        <v>9</v>
      </c>
      <c r="I521" s="8" t="s">
        <v>1465</v>
      </c>
      <c r="J521" s="8" t="s">
        <v>1466</v>
      </c>
      <c r="K521" s="69" t="s">
        <v>1467</v>
      </c>
      <c r="L521" s="8" t="s">
        <v>471</v>
      </c>
      <c r="M521" s="8" t="s">
        <v>1468</v>
      </c>
      <c r="N521" s="8" t="s">
        <v>393</v>
      </c>
      <c r="O521" s="8" t="s">
        <v>148</v>
      </c>
      <c r="P521" s="8" t="s">
        <v>279</v>
      </c>
      <c r="Q521" s="8" t="s">
        <v>279</v>
      </c>
      <c r="R521" s="8" t="s">
        <v>225</v>
      </c>
      <c r="S521" s="8" t="s">
        <v>241</v>
      </c>
      <c r="T521" s="8" t="s">
        <v>166</v>
      </c>
      <c r="U521" s="8" t="s">
        <v>183</v>
      </c>
      <c r="V521" s="8">
        <v>0</v>
      </c>
      <c r="W521" s="18">
        <v>2.6315789473684209E-2</v>
      </c>
      <c r="X521" s="51">
        <v>46128</v>
      </c>
      <c r="Y521" s="51">
        <v>46128</v>
      </c>
      <c r="Z521" s="28">
        <v>6</v>
      </c>
      <c r="AA521" s="16" t="s">
        <v>1710</v>
      </c>
      <c r="AB521" s="8" t="s">
        <v>395</v>
      </c>
      <c r="AC521" s="8" t="s">
        <v>395</v>
      </c>
      <c r="AD521" s="8" t="s">
        <v>137</v>
      </c>
      <c r="AE521" s="8" t="s">
        <v>153</v>
      </c>
      <c r="AF521" s="8" t="s">
        <v>153</v>
      </c>
      <c r="AG521" s="8" t="s">
        <v>295</v>
      </c>
      <c r="AH521" s="51">
        <v>28353</v>
      </c>
      <c r="AI521" s="28">
        <v>49</v>
      </c>
      <c r="AJ521" s="51" t="s">
        <v>1853</v>
      </c>
    </row>
    <row r="522" spans="1:36" ht="12.65" customHeight="1" x14ac:dyDescent="0.35">
      <c r="A522" s="8" t="s">
        <v>139</v>
      </c>
      <c r="B522" s="8" t="s">
        <v>136</v>
      </c>
      <c r="C522" s="8" t="s">
        <v>135</v>
      </c>
      <c r="D522" s="34" t="s">
        <v>165</v>
      </c>
      <c r="E522" s="14" t="s">
        <v>166</v>
      </c>
      <c r="F522" s="28" t="s">
        <v>69</v>
      </c>
      <c r="G522" s="28" t="s">
        <v>125</v>
      </c>
      <c r="H522" s="31" t="s">
        <v>9</v>
      </c>
      <c r="I522" s="8" t="s">
        <v>725</v>
      </c>
      <c r="J522" s="8" t="s">
        <v>78</v>
      </c>
      <c r="K522" s="69" t="s">
        <v>726</v>
      </c>
      <c r="L522" s="8" t="s">
        <v>75</v>
      </c>
      <c r="M522" s="8" t="s">
        <v>76</v>
      </c>
      <c r="N522" s="8" t="s">
        <v>306</v>
      </c>
      <c r="O522" s="8" t="s">
        <v>424</v>
      </c>
      <c r="P522" s="8" t="s">
        <v>279</v>
      </c>
      <c r="Q522" s="8" t="s">
        <v>279</v>
      </c>
      <c r="R522" s="8" t="s">
        <v>225</v>
      </c>
      <c r="S522" s="8" t="s">
        <v>241</v>
      </c>
      <c r="T522" s="8" t="s">
        <v>166</v>
      </c>
      <c r="U522" s="8" t="s">
        <v>189</v>
      </c>
      <c r="V522" s="8">
        <v>0</v>
      </c>
      <c r="W522" s="18">
        <v>2.6315789473684209E-2</v>
      </c>
      <c r="X522" s="51">
        <v>46128</v>
      </c>
      <c r="Y522" s="51">
        <v>46128</v>
      </c>
      <c r="Z522" s="28">
        <v>6</v>
      </c>
      <c r="AA522" s="16" t="s">
        <v>1710</v>
      </c>
      <c r="AB522" s="8" t="s">
        <v>293</v>
      </c>
      <c r="AC522" s="8" t="s">
        <v>294</v>
      </c>
      <c r="AD522" s="8" t="s">
        <v>137</v>
      </c>
      <c r="AE522" s="8" t="s">
        <v>153</v>
      </c>
      <c r="AF522" s="8" t="s">
        <v>153</v>
      </c>
      <c r="AG522" s="8" t="s">
        <v>292</v>
      </c>
      <c r="AH522" s="51">
        <v>28353</v>
      </c>
      <c r="AI522" s="28">
        <v>49</v>
      </c>
      <c r="AJ522" s="51" t="s">
        <v>1853</v>
      </c>
    </row>
    <row r="523" spans="1:36" ht="12.65" customHeight="1" x14ac:dyDescent="0.35">
      <c r="A523" s="8" t="s">
        <v>139</v>
      </c>
      <c r="B523" s="8" t="s">
        <v>136</v>
      </c>
      <c r="C523" s="8" t="s">
        <v>135</v>
      </c>
      <c r="D523" s="34" t="s">
        <v>165</v>
      </c>
      <c r="E523" s="14" t="s">
        <v>166</v>
      </c>
      <c r="F523" s="28" t="s">
        <v>69</v>
      </c>
      <c r="G523" s="28" t="s">
        <v>125</v>
      </c>
      <c r="H523" s="31" t="s">
        <v>9</v>
      </c>
      <c r="I523" s="8" t="s">
        <v>815</v>
      </c>
      <c r="J523" s="8" t="s">
        <v>80</v>
      </c>
      <c r="K523" s="69" t="s">
        <v>816</v>
      </c>
      <c r="L523" s="8" t="s">
        <v>75</v>
      </c>
      <c r="M523" s="8" t="s">
        <v>76</v>
      </c>
      <c r="N523" s="8" t="s">
        <v>306</v>
      </c>
      <c r="O523" s="8" t="s">
        <v>148</v>
      </c>
      <c r="P523" s="8" t="s">
        <v>279</v>
      </c>
      <c r="Q523" s="8" t="s">
        <v>279</v>
      </c>
      <c r="R523" s="8" t="s">
        <v>225</v>
      </c>
      <c r="S523" s="8" t="s">
        <v>241</v>
      </c>
      <c r="T523" s="8" t="s">
        <v>166</v>
      </c>
      <c r="U523" s="8" t="s">
        <v>189</v>
      </c>
      <c r="V523" s="8">
        <v>0</v>
      </c>
      <c r="W523" s="18">
        <v>2.6315789473684209E-2</v>
      </c>
      <c r="X523" s="51">
        <v>46128</v>
      </c>
      <c r="Y523" s="51">
        <v>46128</v>
      </c>
      <c r="Z523" s="28">
        <v>6</v>
      </c>
      <c r="AA523" s="16" t="s">
        <v>1710</v>
      </c>
      <c r="AB523" s="8" t="s">
        <v>395</v>
      </c>
      <c r="AC523" s="8" t="s">
        <v>395</v>
      </c>
      <c r="AD523" s="8" t="s">
        <v>137</v>
      </c>
      <c r="AE523" s="8" t="s">
        <v>153</v>
      </c>
      <c r="AF523" s="8" t="s">
        <v>153</v>
      </c>
      <c r="AG523" s="8" t="s">
        <v>292</v>
      </c>
      <c r="AH523" s="51">
        <v>28353</v>
      </c>
      <c r="AI523" s="28">
        <v>49</v>
      </c>
      <c r="AJ523" s="51" t="s">
        <v>1853</v>
      </c>
    </row>
    <row r="524" spans="1:36" ht="12.65" customHeight="1" x14ac:dyDescent="0.35">
      <c r="A524" s="8" t="s">
        <v>139</v>
      </c>
      <c r="B524" s="8" t="s">
        <v>136</v>
      </c>
      <c r="C524" s="8" t="s">
        <v>135</v>
      </c>
      <c r="D524" s="34" t="s">
        <v>165</v>
      </c>
      <c r="E524" s="14" t="s">
        <v>166</v>
      </c>
      <c r="F524" s="28" t="s">
        <v>69</v>
      </c>
      <c r="G524" s="28" t="s">
        <v>125</v>
      </c>
      <c r="H524" s="31" t="s">
        <v>9</v>
      </c>
      <c r="I524" s="34" t="s">
        <v>765</v>
      </c>
      <c r="J524" s="8" t="s">
        <v>89</v>
      </c>
      <c r="K524" s="69" t="s">
        <v>1502</v>
      </c>
      <c r="L524" s="8" t="s">
        <v>75</v>
      </c>
      <c r="M524" s="8" t="s">
        <v>76</v>
      </c>
      <c r="N524" s="8" t="s">
        <v>306</v>
      </c>
      <c r="O524" s="8" t="s">
        <v>148</v>
      </c>
      <c r="P524" s="8" t="s">
        <v>279</v>
      </c>
      <c r="Q524" s="8" t="s">
        <v>279</v>
      </c>
      <c r="R524" s="8" t="s">
        <v>225</v>
      </c>
      <c r="S524" s="8" t="s">
        <v>241</v>
      </c>
      <c r="T524" s="8" t="s">
        <v>166</v>
      </c>
      <c r="U524" s="8" t="s">
        <v>189</v>
      </c>
      <c r="V524" s="8">
        <v>0</v>
      </c>
      <c r="W524" s="18">
        <v>2.6315789473684209E-2</v>
      </c>
      <c r="X524" s="51">
        <v>46128</v>
      </c>
      <c r="Y524" s="51">
        <v>46128</v>
      </c>
      <c r="Z524" s="28">
        <v>6</v>
      </c>
      <c r="AA524" s="16" t="s">
        <v>1710</v>
      </c>
      <c r="AB524" s="8" t="s">
        <v>395</v>
      </c>
      <c r="AC524" s="8" t="s">
        <v>294</v>
      </c>
      <c r="AD524" s="8" t="s">
        <v>137</v>
      </c>
      <c r="AE524" s="8" t="s">
        <v>153</v>
      </c>
      <c r="AF524" s="8" t="s">
        <v>153</v>
      </c>
      <c r="AG524" s="8" t="s">
        <v>292</v>
      </c>
      <c r="AH524" s="51">
        <v>28353</v>
      </c>
      <c r="AI524" s="28">
        <v>49</v>
      </c>
      <c r="AJ524" s="51" t="s">
        <v>1853</v>
      </c>
    </row>
    <row r="525" spans="1:36" ht="12.65" customHeight="1" x14ac:dyDescent="0.35">
      <c r="A525" s="8" t="s">
        <v>139</v>
      </c>
      <c r="B525" s="8" t="s">
        <v>136</v>
      </c>
      <c r="C525" s="8" t="s">
        <v>135</v>
      </c>
      <c r="D525" s="34" t="s">
        <v>165</v>
      </c>
      <c r="E525" s="14" t="s">
        <v>166</v>
      </c>
      <c r="F525" s="28" t="s">
        <v>69</v>
      </c>
      <c r="G525" s="28" t="s">
        <v>125</v>
      </c>
      <c r="H525" s="31" t="s">
        <v>9</v>
      </c>
      <c r="I525" s="8" t="s">
        <v>686</v>
      </c>
      <c r="J525" s="8" t="s">
        <v>81</v>
      </c>
      <c r="K525" s="69" t="s">
        <v>687</v>
      </c>
      <c r="L525" s="8" t="s">
        <v>75</v>
      </c>
      <c r="M525" s="8" t="s">
        <v>76</v>
      </c>
      <c r="N525" s="8" t="s">
        <v>306</v>
      </c>
      <c r="O525" s="8" t="s">
        <v>148</v>
      </c>
      <c r="P525" s="8" t="s">
        <v>279</v>
      </c>
      <c r="Q525" s="8" t="s">
        <v>279</v>
      </c>
      <c r="R525" s="8" t="s">
        <v>225</v>
      </c>
      <c r="S525" s="8" t="s">
        <v>241</v>
      </c>
      <c r="T525" s="8" t="s">
        <v>166</v>
      </c>
      <c r="U525" s="8" t="s">
        <v>189</v>
      </c>
      <c r="V525" s="8">
        <v>0</v>
      </c>
      <c r="W525" s="18">
        <v>2.6315789473684209E-2</v>
      </c>
      <c r="X525" s="51">
        <v>46128</v>
      </c>
      <c r="Y525" s="51">
        <v>46128</v>
      </c>
      <c r="Z525" s="28">
        <v>6</v>
      </c>
      <c r="AA525" s="16" t="s">
        <v>1710</v>
      </c>
      <c r="AB525" s="8" t="s">
        <v>395</v>
      </c>
      <c r="AC525" s="8" t="s">
        <v>294</v>
      </c>
      <c r="AD525" s="8" t="s">
        <v>137</v>
      </c>
      <c r="AE525" s="8" t="s">
        <v>153</v>
      </c>
      <c r="AF525" s="8" t="s">
        <v>153</v>
      </c>
      <c r="AG525" s="8" t="s">
        <v>292</v>
      </c>
      <c r="AH525" s="51">
        <v>28353</v>
      </c>
      <c r="AI525" s="28">
        <v>49</v>
      </c>
      <c r="AJ525" s="51" t="s">
        <v>1853</v>
      </c>
    </row>
    <row r="526" spans="1:36" ht="12.65" customHeight="1" x14ac:dyDescent="0.35">
      <c r="A526" s="8" t="s">
        <v>139</v>
      </c>
      <c r="B526" s="8" t="s">
        <v>136</v>
      </c>
      <c r="C526" s="8" t="s">
        <v>135</v>
      </c>
      <c r="D526" s="34" t="s">
        <v>165</v>
      </c>
      <c r="E526" s="14" t="s">
        <v>166</v>
      </c>
      <c r="F526" s="28" t="s">
        <v>69</v>
      </c>
      <c r="G526" s="28" t="s">
        <v>125</v>
      </c>
      <c r="H526" s="31" t="s">
        <v>9</v>
      </c>
      <c r="I526" s="8" t="s">
        <v>314</v>
      </c>
      <c r="J526" s="8" t="s">
        <v>98</v>
      </c>
      <c r="K526" s="69" t="s">
        <v>315</v>
      </c>
      <c r="L526" s="8" t="s">
        <v>75</v>
      </c>
      <c r="M526" s="8" t="s">
        <v>75</v>
      </c>
      <c r="N526" s="8" t="s">
        <v>306</v>
      </c>
      <c r="O526" s="8" t="s">
        <v>622</v>
      </c>
      <c r="P526" s="8" t="s">
        <v>279</v>
      </c>
      <c r="Q526" s="8" t="s">
        <v>279</v>
      </c>
      <c r="R526" s="8" t="s">
        <v>234</v>
      </c>
      <c r="S526" s="8" t="s">
        <v>241</v>
      </c>
      <c r="T526" s="8" t="s">
        <v>166</v>
      </c>
      <c r="U526" s="8" t="s">
        <v>189</v>
      </c>
      <c r="V526" s="8">
        <v>0</v>
      </c>
      <c r="W526" s="18">
        <v>2.6315789473684209E-2</v>
      </c>
      <c r="X526" s="51">
        <v>46128</v>
      </c>
      <c r="Y526" s="51">
        <v>46128</v>
      </c>
      <c r="Z526" s="28">
        <v>6</v>
      </c>
      <c r="AA526" s="16" t="s">
        <v>1710</v>
      </c>
      <c r="AB526" s="8" t="s">
        <v>294</v>
      </c>
      <c r="AC526" s="8" t="s">
        <v>294</v>
      </c>
      <c r="AD526" s="8" t="s">
        <v>137</v>
      </c>
      <c r="AE526" s="8" t="s">
        <v>153</v>
      </c>
      <c r="AF526" s="8" t="s">
        <v>153</v>
      </c>
      <c r="AG526" s="8" t="s">
        <v>292</v>
      </c>
      <c r="AH526" s="51">
        <v>28353</v>
      </c>
      <c r="AI526" s="28">
        <v>49</v>
      </c>
      <c r="AJ526" s="51" t="s">
        <v>1853</v>
      </c>
    </row>
    <row r="527" spans="1:36" ht="12.65" customHeight="1" x14ac:dyDescent="0.35">
      <c r="A527" s="8" t="s">
        <v>139</v>
      </c>
      <c r="B527" s="8" t="s">
        <v>136</v>
      </c>
      <c r="C527" s="8" t="s">
        <v>135</v>
      </c>
      <c r="D527" s="34" t="s">
        <v>165</v>
      </c>
      <c r="E527" s="14" t="s">
        <v>166</v>
      </c>
      <c r="F527" s="28" t="s">
        <v>69</v>
      </c>
      <c r="G527" s="28" t="s">
        <v>125</v>
      </c>
      <c r="H527" s="31" t="s">
        <v>9</v>
      </c>
      <c r="I527" s="34" t="s">
        <v>1273</v>
      </c>
      <c r="J527" s="8" t="s">
        <v>1274</v>
      </c>
      <c r="K527" s="69" t="s">
        <v>1275</v>
      </c>
      <c r="L527" s="8" t="s">
        <v>410</v>
      </c>
      <c r="M527" s="8" t="s">
        <v>410</v>
      </c>
      <c r="N527" s="8" t="s">
        <v>306</v>
      </c>
      <c r="O527" s="8" t="s">
        <v>797</v>
      </c>
      <c r="P527" s="8" t="s">
        <v>279</v>
      </c>
      <c r="Q527" s="8" t="s">
        <v>279</v>
      </c>
      <c r="R527" s="8" t="s">
        <v>234</v>
      </c>
      <c r="S527" s="8" t="s">
        <v>241</v>
      </c>
      <c r="T527" s="8" t="s">
        <v>166</v>
      </c>
      <c r="U527" s="14" t="s">
        <v>54</v>
      </c>
      <c r="V527" s="8">
        <v>0</v>
      </c>
      <c r="W527" s="18">
        <v>2.6315789473684209E-2</v>
      </c>
      <c r="X527" s="51">
        <v>46128</v>
      </c>
      <c r="Y527" s="51">
        <v>46128</v>
      </c>
      <c r="Z527" s="28">
        <v>6</v>
      </c>
      <c r="AA527" s="16" t="s">
        <v>1710</v>
      </c>
      <c r="AB527" s="8" t="s">
        <v>291</v>
      </c>
      <c r="AC527" s="8" t="s">
        <v>395</v>
      </c>
      <c r="AD527" s="8" t="s">
        <v>137</v>
      </c>
      <c r="AE527" s="8" t="s">
        <v>153</v>
      </c>
      <c r="AF527" s="8" t="s">
        <v>153</v>
      </c>
      <c r="AG527" s="8" t="s">
        <v>295</v>
      </c>
      <c r="AH527" s="51">
        <v>28353</v>
      </c>
      <c r="AI527" s="28">
        <v>49</v>
      </c>
      <c r="AJ527" s="51" t="s">
        <v>1853</v>
      </c>
    </row>
    <row r="528" spans="1:36" ht="12.65" customHeight="1" x14ac:dyDescent="0.35">
      <c r="A528" s="8" t="s">
        <v>139</v>
      </c>
      <c r="B528" s="8" t="s">
        <v>136</v>
      </c>
      <c r="C528" s="8" t="s">
        <v>135</v>
      </c>
      <c r="D528" s="34" t="s">
        <v>165</v>
      </c>
      <c r="E528" s="14" t="s">
        <v>166</v>
      </c>
      <c r="F528" s="28" t="s">
        <v>69</v>
      </c>
      <c r="G528" s="28" t="s">
        <v>125</v>
      </c>
      <c r="H528" s="31" t="s">
        <v>9</v>
      </c>
      <c r="I528" s="8" t="s">
        <v>826</v>
      </c>
      <c r="J528" s="8" t="s">
        <v>827</v>
      </c>
      <c r="K528" s="69" t="s">
        <v>828</v>
      </c>
      <c r="L528" s="8" t="s">
        <v>299</v>
      </c>
      <c r="M528" s="8" t="s">
        <v>299</v>
      </c>
      <c r="N528" s="8" t="s">
        <v>306</v>
      </c>
      <c r="O528" s="8" t="s">
        <v>424</v>
      </c>
      <c r="P528" s="8" t="s">
        <v>279</v>
      </c>
      <c r="Q528" s="8" t="s">
        <v>279</v>
      </c>
      <c r="R528" s="8" t="s">
        <v>225</v>
      </c>
      <c r="S528" s="8" t="s">
        <v>241</v>
      </c>
      <c r="T528" s="8" t="s">
        <v>166</v>
      </c>
      <c r="U528" s="8" t="s">
        <v>194</v>
      </c>
      <c r="V528" s="8">
        <v>0</v>
      </c>
      <c r="W528" s="18">
        <v>2.6315789473684209E-2</v>
      </c>
      <c r="X528" s="51">
        <v>46128</v>
      </c>
      <c r="Y528" s="51">
        <v>46128</v>
      </c>
      <c r="Z528" s="28">
        <v>6</v>
      </c>
      <c r="AA528" s="16" t="s">
        <v>1710</v>
      </c>
      <c r="AB528" s="8" t="s">
        <v>294</v>
      </c>
      <c r="AC528" s="8" t="s">
        <v>293</v>
      </c>
      <c r="AD528" s="8" t="s">
        <v>137</v>
      </c>
      <c r="AE528" s="8" t="s">
        <v>153</v>
      </c>
      <c r="AF528" s="8" t="s">
        <v>153</v>
      </c>
      <c r="AG528" s="8" t="s">
        <v>292</v>
      </c>
      <c r="AH528" s="51">
        <v>28353</v>
      </c>
      <c r="AI528" s="28">
        <v>49</v>
      </c>
      <c r="AJ528" s="51" t="s">
        <v>1853</v>
      </c>
    </row>
    <row r="529" spans="1:36" ht="12.65" customHeight="1" x14ac:dyDescent="0.35">
      <c r="A529" s="8" t="s">
        <v>139</v>
      </c>
      <c r="B529" s="8" t="s">
        <v>136</v>
      </c>
      <c r="C529" s="8" t="s">
        <v>135</v>
      </c>
      <c r="D529" s="34" t="s">
        <v>165</v>
      </c>
      <c r="E529" s="14" t="s">
        <v>166</v>
      </c>
      <c r="F529" s="28" t="s">
        <v>69</v>
      </c>
      <c r="G529" s="28" t="s">
        <v>125</v>
      </c>
      <c r="H529" s="31" t="s">
        <v>9</v>
      </c>
      <c r="I529" s="34" t="s">
        <v>688</v>
      </c>
      <c r="J529" s="8" t="s">
        <v>18</v>
      </c>
      <c r="K529" s="69" t="s">
        <v>689</v>
      </c>
      <c r="L529" s="8" t="s">
        <v>299</v>
      </c>
      <c r="M529" s="8" t="s">
        <v>299</v>
      </c>
      <c r="N529" s="8" t="s">
        <v>306</v>
      </c>
      <c r="O529" s="8" t="s">
        <v>17</v>
      </c>
      <c r="P529" s="8" t="s">
        <v>290</v>
      </c>
      <c r="Q529" s="8" t="s">
        <v>279</v>
      </c>
      <c r="R529" s="8" t="s">
        <v>234</v>
      </c>
      <c r="S529" s="8" t="s">
        <v>241</v>
      </c>
      <c r="T529" s="8" t="s">
        <v>166</v>
      </c>
      <c r="U529" s="14" t="s">
        <v>194</v>
      </c>
      <c r="V529" s="8">
        <v>0</v>
      </c>
      <c r="W529" s="18">
        <v>2.6315789473684209E-2</v>
      </c>
      <c r="X529" s="51">
        <v>46128</v>
      </c>
      <c r="Y529" s="51">
        <v>46128</v>
      </c>
      <c r="Z529" s="28">
        <v>6</v>
      </c>
      <c r="AA529" s="16" t="s">
        <v>1710</v>
      </c>
      <c r="AB529" s="8" t="s">
        <v>294</v>
      </c>
      <c r="AC529" s="8" t="s">
        <v>294</v>
      </c>
      <c r="AD529" s="8" t="s">
        <v>137</v>
      </c>
      <c r="AE529" s="8" t="s">
        <v>153</v>
      </c>
      <c r="AF529" s="8" t="s">
        <v>153</v>
      </c>
      <c r="AG529" s="8" t="s">
        <v>292</v>
      </c>
      <c r="AH529" s="51">
        <v>28353</v>
      </c>
      <c r="AI529" s="28">
        <v>49</v>
      </c>
      <c r="AJ529" s="51" t="s">
        <v>1853</v>
      </c>
    </row>
    <row r="530" spans="1:36" ht="12.65" customHeight="1" x14ac:dyDescent="0.35">
      <c r="A530" s="8" t="s">
        <v>139</v>
      </c>
      <c r="B530" s="8" t="s">
        <v>136</v>
      </c>
      <c r="C530" s="8" t="s">
        <v>135</v>
      </c>
      <c r="D530" s="34" t="s">
        <v>165</v>
      </c>
      <c r="E530" s="14" t="s">
        <v>166</v>
      </c>
      <c r="F530" s="28" t="s">
        <v>69</v>
      </c>
      <c r="G530" s="28" t="s">
        <v>125</v>
      </c>
      <c r="H530" s="31" t="s">
        <v>9</v>
      </c>
      <c r="I530" s="8" t="s">
        <v>630</v>
      </c>
      <c r="J530" s="8" t="s">
        <v>631</v>
      </c>
      <c r="K530" s="69" t="s">
        <v>632</v>
      </c>
      <c r="L530" s="8" t="s">
        <v>299</v>
      </c>
      <c r="M530" s="8" t="s">
        <v>299</v>
      </c>
      <c r="N530" s="8" t="s">
        <v>306</v>
      </c>
      <c r="O530" s="8" t="s">
        <v>148</v>
      </c>
      <c r="P530" s="8" t="s">
        <v>279</v>
      </c>
      <c r="Q530" s="8" t="s">
        <v>279</v>
      </c>
      <c r="R530" s="8" t="s">
        <v>225</v>
      </c>
      <c r="S530" s="8" t="s">
        <v>241</v>
      </c>
      <c r="T530" s="8" t="s">
        <v>166</v>
      </c>
      <c r="U530" s="14" t="s">
        <v>194</v>
      </c>
      <c r="V530" s="8">
        <v>0</v>
      </c>
      <c r="W530" s="18">
        <v>2.6315789473684209E-2</v>
      </c>
      <c r="X530" s="51">
        <v>46128</v>
      </c>
      <c r="Y530" s="51">
        <v>46128</v>
      </c>
      <c r="Z530" s="28">
        <v>6</v>
      </c>
      <c r="AA530" s="16" t="s">
        <v>1710</v>
      </c>
      <c r="AB530" s="8" t="s">
        <v>291</v>
      </c>
      <c r="AC530" s="8" t="s">
        <v>291</v>
      </c>
      <c r="AD530" s="8" t="s">
        <v>137</v>
      </c>
      <c r="AE530" s="8" t="s">
        <v>153</v>
      </c>
      <c r="AF530" s="8" t="s">
        <v>153</v>
      </c>
      <c r="AG530" s="8" t="s">
        <v>292</v>
      </c>
      <c r="AH530" s="51">
        <v>28353</v>
      </c>
      <c r="AI530" s="28">
        <v>49</v>
      </c>
      <c r="AJ530" s="51" t="s">
        <v>1853</v>
      </c>
    </row>
    <row r="531" spans="1:36" ht="12.65" customHeight="1" x14ac:dyDescent="0.35">
      <c r="A531" s="8" t="s">
        <v>139</v>
      </c>
      <c r="B531" s="8" t="s">
        <v>136</v>
      </c>
      <c r="C531" s="8" t="s">
        <v>135</v>
      </c>
      <c r="D531" s="34" t="s">
        <v>165</v>
      </c>
      <c r="E531" s="14" t="s">
        <v>166</v>
      </c>
      <c r="F531" s="28" t="s">
        <v>69</v>
      </c>
      <c r="G531" s="28" t="s">
        <v>125</v>
      </c>
      <c r="H531" s="31" t="s">
        <v>9</v>
      </c>
      <c r="I531" s="8" t="s">
        <v>1584</v>
      </c>
      <c r="J531" s="8" t="s">
        <v>1585</v>
      </c>
      <c r="K531" s="69" t="s">
        <v>1586</v>
      </c>
      <c r="L531" s="8" t="s">
        <v>299</v>
      </c>
      <c r="M531" s="8" t="s">
        <v>299</v>
      </c>
      <c r="N531" s="8" t="s">
        <v>306</v>
      </c>
      <c r="O531" s="8" t="s">
        <v>1587</v>
      </c>
      <c r="P531" s="8" t="s">
        <v>290</v>
      </c>
      <c r="Q531" s="8" t="s">
        <v>279</v>
      </c>
      <c r="R531" s="8" t="s">
        <v>234</v>
      </c>
      <c r="S531" s="8" t="s">
        <v>241</v>
      </c>
      <c r="T531" s="8" t="s">
        <v>166</v>
      </c>
      <c r="U531" s="14" t="s">
        <v>194</v>
      </c>
      <c r="V531" s="8">
        <v>0</v>
      </c>
      <c r="W531" s="18">
        <v>2.6315789473684209E-2</v>
      </c>
      <c r="X531" s="51">
        <v>46128</v>
      </c>
      <c r="Y531" s="51">
        <v>46128</v>
      </c>
      <c r="Z531" s="28">
        <v>6</v>
      </c>
      <c r="AA531" s="16" t="s">
        <v>1710</v>
      </c>
      <c r="AB531" s="8" t="s">
        <v>293</v>
      </c>
      <c r="AC531" s="8" t="s">
        <v>293</v>
      </c>
      <c r="AD531" s="8" t="s">
        <v>137</v>
      </c>
      <c r="AE531" s="8" t="s">
        <v>153</v>
      </c>
      <c r="AF531" s="8" t="s">
        <v>153</v>
      </c>
      <c r="AG531" s="8" t="s">
        <v>292</v>
      </c>
      <c r="AH531" s="51">
        <v>28353</v>
      </c>
      <c r="AI531" s="28">
        <v>49</v>
      </c>
      <c r="AJ531" s="51" t="s">
        <v>1853</v>
      </c>
    </row>
    <row r="532" spans="1:36" ht="12.65" customHeight="1" x14ac:dyDescent="0.35">
      <c r="A532" s="8" t="s">
        <v>139</v>
      </c>
      <c r="B532" s="8" t="s">
        <v>136</v>
      </c>
      <c r="C532" s="8" t="s">
        <v>135</v>
      </c>
      <c r="D532" s="34" t="s">
        <v>165</v>
      </c>
      <c r="E532" s="14" t="s">
        <v>166</v>
      </c>
      <c r="F532" s="28" t="s">
        <v>69</v>
      </c>
      <c r="G532" s="28" t="s">
        <v>125</v>
      </c>
      <c r="H532" s="31" t="s">
        <v>9</v>
      </c>
      <c r="I532" s="8" t="s">
        <v>599</v>
      </c>
      <c r="J532" s="8" t="s">
        <v>1497</v>
      </c>
      <c r="K532" s="69" t="s">
        <v>600</v>
      </c>
      <c r="L532" s="8" t="s">
        <v>382</v>
      </c>
      <c r="M532" s="8" t="s">
        <v>382</v>
      </c>
      <c r="N532" s="8" t="s">
        <v>306</v>
      </c>
      <c r="O532" s="8" t="s">
        <v>148</v>
      </c>
      <c r="P532" s="8" t="s">
        <v>279</v>
      </c>
      <c r="Q532" s="8" t="s">
        <v>279</v>
      </c>
      <c r="R532" s="8" t="s">
        <v>225</v>
      </c>
      <c r="S532" s="8" t="s">
        <v>241</v>
      </c>
      <c r="T532" s="8" t="s">
        <v>166</v>
      </c>
      <c r="U532" s="8" t="s">
        <v>192</v>
      </c>
      <c r="V532" s="8">
        <v>0</v>
      </c>
      <c r="W532" s="18">
        <v>2.6315789473684209E-2</v>
      </c>
      <c r="X532" s="51">
        <v>46128</v>
      </c>
      <c r="Y532" s="51">
        <v>46128</v>
      </c>
      <c r="Z532" s="28">
        <v>6</v>
      </c>
      <c r="AA532" s="16" t="s">
        <v>1710</v>
      </c>
      <c r="AB532" s="8" t="s">
        <v>294</v>
      </c>
      <c r="AC532" s="8" t="s">
        <v>293</v>
      </c>
      <c r="AD532" s="8" t="s">
        <v>137</v>
      </c>
      <c r="AE532" s="8" t="s">
        <v>153</v>
      </c>
      <c r="AF532" s="8" t="s">
        <v>153</v>
      </c>
      <c r="AG532" s="8" t="s">
        <v>295</v>
      </c>
      <c r="AH532" s="51">
        <v>28353</v>
      </c>
      <c r="AI532" s="28">
        <v>49</v>
      </c>
      <c r="AJ532" s="51" t="s">
        <v>1853</v>
      </c>
    </row>
    <row r="533" spans="1:36" ht="12.65" customHeight="1" x14ac:dyDescent="0.35">
      <c r="A533" s="8" t="s">
        <v>139</v>
      </c>
      <c r="B533" s="8" t="s">
        <v>136</v>
      </c>
      <c r="C533" s="8" t="s">
        <v>135</v>
      </c>
      <c r="D533" s="34" t="s">
        <v>165</v>
      </c>
      <c r="E533" s="14" t="s">
        <v>166</v>
      </c>
      <c r="F533" s="28" t="s">
        <v>69</v>
      </c>
      <c r="G533" s="28" t="s">
        <v>125</v>
      </c>
      <c r="H533" s="31" t="s">
        <v>9</v>
      </c>
      <c r="I533" s="8" t="s">
        <v>739</v>
      </c>
      <c r="J533" s="8" t="s">
        <v>123</v>
      </c>
      <c r="K533" s="69" t="s">
        <v>740</v>
      </c>
      <c r="L533" s="8" t="s">
        <v>75</v>
      </c>
      <c r="M533" s="8" t="s">
        <v>107</v>
      </c>
      <c r="N533" s="8" t="s">
        <v>306</v>
      </c>
      <c r="O533" s="8" t="s">
        <v>148</v>
      </c>
      <c r="P533" s="8" t="s">
        <v>279</v>
      </c>
      <c r="Q533" s="8" t="s">
        <v>279</v>
      </c>
      <c r="R533" s="8" t="s">
        <v>225</v>
      </c>
      <c r="S533" s="8" t="s">
        <v>241</v>
      </c>
      <c r="T533" s="8" t="s">
        <v>166</v>
      </c>
      <c r="U533" s="8" t="s">
        <v>189</v>
      </c>
      <c r="V533" s="8">
        <v>0</v>
      </c>
      <c r="W533" s="18">
        <v>2.6315789473684209E-2</v>
      </c>
      <c r="X533" s="51">
        <v>46128</v>
      </c>
      <c r="Y533" s="51">
        <v>46128</v>
      </c>
      <c r="Z533" s="28">
        <v>6</v>
      </c>
      <c r="AA533" s="16" t="s">
        <v>1710</v>
      </c>
      <c r="AB533" s="8" t="s">
        <v>395</v>
      </c>
      <c r="AC533" s="8" t="s">
        <v>395</v>
      </c>
      <c r="AD533" s="8" t="s">
        <v>137</v>
      </c>
      <c r="AE533" s="8" t="s">
        <v>153</v>
      </c>
      <c r="AF533" s="8" t="s">
        <v>153</v>
      </c>
      <c r="AG533" s="8" t="s">
        <v>292</v>
      </c>
      <c r="AH533" s="51">
        <v>28353</v>
      </c>
      <c r="AI533" s="28">
        <v>49</v>
      </c>
      <c r="AJ533" s="51" t="s">
        <v>1853</v>
      </c>
    </row>
    <row r="534" spans="1:36" ht="12.65" customHeight="1" x14ac:dyDescent="0.35">
      <c r="A534" s="8" t="s">
        <v>139</v>
      </c>
      <c r="B534" s="8" t="s">
        <v>136</v>
      </c>
      <c r="C534" s="8" t="s">
        <v>135</v>
      </c>
      <c r="D534" s="34" t="s">
        <v>1665</v>
      </c>
      <c r="E534" s="14" t="s">
        <v>1666</v>
      </c>
      <c r="F534" s="28" t="s">
        <v>69</v>
      </c>
      <c r="G534" s="28" t="s">
        <v>125</v>
      </c>
      <c r="H534" s="31" t="s">
        <v>9</v>
      </c>
      <c r="I534" s="34" t="s">
        <v>1374</v>
      </c>
      <c r="J534" s="8" t="s">
        <v>1375</v>
      </c>
      <c r="K534" s="69" t="s">
        <v>14</v>
      </c>
      <c r="L534" s="8" t="s">
        <v>871</v>
      </c>
      <c r="M534" s="8" t="s">
        <v>872</v>
      </c>
      <c r="N534" s="8" t="s">
        <v>393</v>
      </c>
      <c r="O534" s="8" t="s">
        <v>11</v>
      </c>
      <c r="P534" s="8" t="s">
        <v>274</v>
      </c>
      <c r="Q534" s="8" t="s">
        <v>275</v>
      </c>
      <c r="R534" s="8" t="s">
        <v>231</v>
      </c>
      <c r="S534" s="8" t="s">
        <v>247</v>
      </c>
      <c r="T534" s="14" t="s">
        <v>1666</v>
      </c>
      <c r="U534" s="14" t="s">
        <v>54</v>
      </c>
      <c r="V534" s="8">
        <v>1</v>
      </c>
      <c r="W534" s="18">
        <v>3.4482758620689655E-2</v>
      </c>
      <c r="X534" s="51">
        <v>45887</v>
      </c>
      <c r="Y534" s="51">
        <v>43867</v>
      </c>
      <c r="Z534" s="28">
        <v>80</v>
      </c>
      <c r="AA534" s="16" t="s">
        <v>1701</v>
      </c>
      <c r="AB534" s="8" t="s">
        <v>307</v>
      </c>
      <c r="AC534" s="8" t="s">
        <v>307</v>
      </c>
      <c r="AD534" s="8" t="s">
        <v>134</v>
      </c>
      <c r="AE534" s="8">
        <v>3102620243</v>
      </c>
      <c r="AF534" s="8" t="s">
        <v>276</v>
      </c>
      <c r="AG534" s="8" t="s">
        <v>295</v>
      </c>
      <c r="AH534" s="51">
        <v>35694</v>
      </c>
      <c r="AI534" s="28">
        <v>29</v>
      </c>
      <c r="AJ534" s="51" t="s">
        <v>1853</v>
      </c>
    </row>
    <row r="535" spans="1:36" ht="12.65" customHeight="1" x14ac:dyDescent="0.35">
      <c r="A535" s="8" t="s">
        <v>139</v>
      </c>
      <c r="B535" s="8" t="s">
        <v>136</v>
      </c>
      <c r="C535" s="8" t="s">
        <v>135</v>
      </c>
      <c r="D535" s="34" t="s">
        <v>1665</v>
      </c>
      <c r="E535" s="14" t="s">
        <v>1666</v>
      </c>
      <c r="F535" s="28" t="s">
        <v>69</v>
      </c>
      <c r="G535" s="28" t="s">
        <v>125</v>
      </c>
      <c r="H535" s="14" t="s">
        <v>9</v>
      </c>
      <c r="I535" s="34" t="s">
        <v>805</v>
      </c>
      <c r="J535" s="8" t="s">
        <v>1829</v>
      </c>
      <c r="K535" s="69" t="s">
        <v>1830</v>
      </c>
      <c r="L535" s="8" t="s">
        <v>871</v>
      </c>
      <c r="M535" s="8" t="s">
        <v>872</v>
      </c>
      <c r="N535" s="8" t="s">
        <v>393</v>
      </c>
      <c r="O535" s="8" t="s">
        <v>296</v>
      </c>
      <c r="P535" s="8" t="s">
        <v>274</v>
      </c>
      <c r="Q535" s="8" t="s">
        <v>275</v>
      </c>
      <c r="R535" s="8" t="s">
        <v>231</v>
      </c>
      <c r="S535" s="8" t="s">
        <v>247</v>
      </c>
      <c r="T535" s="14" t="s">
        <v>1666</v>
      </c>
      <c r="U535" s="8" t="s">
        <v>54</v>
      </c>
      <c r="V535" s="8">
        <v>0</v>
      </c>
      <c r="W535" s="18">
        <v>3.4482758620689655E-2</v>
      </c>
      <c r="X535" s="51">
        <v>45887</v>
      </c>
      <c r="Y535" s="51">
        <v>43867</v>
      </c>
      <c r="Z535" s="28">
        <v>80</v>
      </c>
      <c r="AA535" s="16" t="s">
        <v>1701</v>
      </c>
      <c r="AB535" s="8" t="s">
        <v>307</v>
      </c>
      <c r="AC535" s="8" t="s">
        <v>307</v>
      </c>
      <c r="AD535" s="8" t="s">
        <v>134</v>
      </c>
      <c r="AE535" s="8">
        <v>3102620243</v>
      </c>
      <c r="AF535" s="8" t="s">
        <v>276</v>
      </c>
      <c r="AG535" s="8" t="s">
        <v>295</v>
      </c>
      <c r="AH535" s="51">
        <v>35694</v>
      </c>
      <c r="AI535" s="28">
        <v>29</v>
      </c>
      <c r="AJ535" s="51" t="s">
        <v>1853</v>
      </c>
    </row>
    <row r="536" spans="1:36" ht="12.65" customHeight="1" x14ac:dyDescent="0.35">
      <c r="A536" s="8" t="s">
        <v>139</v>
      </c>
      <c r="B536" s="8" t="s">
        <v>136</v>
      </c>
      <c r="C536" s="8" t="s">
        <v>135</v>
      </c>
      <c r="D536" s="34" t="s">
        <v>1665</v>
      </c>
      <c r="E536" s="14" t="s">
        <v>1666</v>
      </c>
      <c r="F536" s="28" t="s">
        <v>69</v>
      </c>
      <c r="G536" s="28" t="s">
        <v>125</v>
      </c>
      <c r="H536" s="14" t="s">
        <v>9</v>
      </c>
      <c r="I536" s="34" t="s">
        <v>1542</v>
      </c>
      <c r="J536" s="8" t="s">
        <v>1543</v>
      </c>
      <c r="K536" s="69" t="s">
        <v>1831</v>
      </c>
      <c r="L536" s="8" t="s">
        <v>871</v>
      </c>
      <c r="M536" s="8" t="s">
        <v>872</v>
      </c>
      <c r="N536" s="8" t="s">
        <v>393</v>
      </c>
      <c r="O536" s="8" t="s">
        <v>11</v>
      </c>
      <c r="P536" s="8" t="s">
        <v>274</v>
      </c>
      <c r="Q536" s="8" t="s">
        <v>275</v>
      </c>
      <c r="R536" s="8" t="s">
        <v>231</v>
      </c>
      <c r="S536" s="8" t="s">
        <v>247</v>
      </c>
      <c r="T536" s="14" t="s">
        <v>1666</v>
      </c>
      <c r="U536" s="8" t="s">
        <v>54</v>
      </c>
      <c r="V536" s="8">
        <v>0</v>
      </c>
      <c r="W536" s="18">
        <v>3.4482758620689655E-2</v>
      </c>
      <c r="X536" s="51">
        <v>45887</v>
      </c>
      <c r="Y536" s="51">
        <v>43867</v>
      </c>
      <c r="Z536" s="28">
        <v>80</v>
      </c>
      <c r="AA536" s="16" t="s">
        <v>1701</v>
      </c>
      <c r="AB536" s="8" t="s">
        <v>307</v>
      </c>
      <c r="AC536" s="8" t="s">
        <v>307</v>
      </c>
      <c r="AD536" s="8" t="s">
        <v>134</v>
      </c>
      <c r="AE536" s="8">
        <v>3102620243</v>
      </c>
      <c r="AF536" s="8" t="s">
        <v>276</v>
      </c>
      <c r="AG536" s="8" t="s">
        <v>295</v>
      </c>
      <c r="AH536" s="51">
        <v>35694</v>
      </c>
      <c r="AI536" s="28">
        <v>29</v>
      </c>
      <c r="AJ536" s="51" t="s">
        <v>1853</v>
      </c>
    </row>
    <row r="537" spans="1:36" ht="12.65" customHeight="1" x14ac:dyDescent="0.35">
      <c r="A537" s="8" t="s">
        <v>139</v>
      </c>
      <c r="B537" s="8" t="s">
        <v>136</v>
      </c>
      <c r="C537" s="8" t="s">
        <v>135</v>
      </c>
      <c r="D537" s="34" t="s">
        <v>1665</v>
      </c>
      <c r="E537" s="14" t="s">
        <v>1666</v>
      </c>
      <c r="F537" s="28" t="s">
        <v>69</v>
      </c>
      <c r="G537" s="28" t="s">
        <v>125</v>
      </c>
      <c r="H537" s="14" t="s">
        <v>9</v>
      </c>
      <c r="I537" s="34" t="s">
        <v>831</v>
      </c>
      <c r="J537" s="8" t="s">
        <v>832</v>
      </c>
      <c r="K537" s="69" t="s">
        <v>1832</v>
      </c>
      <c r="L537" s="8" t="s">
        <v>871</v>
      </c>
      <c r="M537" s="8" t="s">
        <v>872</v>
      </c>
      <c r="N537" s="8" t="s">
        <v>393</v>
      </c>
      <c r="O537" s="8" t="s">
        <v>11</v>
      </c>
      <c r="P537" s="8" t="s">
        <v>274</v>
      </c>
      <c r="Q537" s="8" t="s">
        <v>275</v>
      </c>
      <c r="R537" s="8" t="s">
        <v>231</v>
      </c>
      <c r="S537" s="8" t="s">
        <v>247</v>
      </c>
      <c r="T537" s="14" t="s">
        <v>1666</v>
      </c>
      <c r="U537" s="8" t="s">
        <v>54</v>
      </c>
      <c r="V537" s="8">
        <v>0</v>
      </c>
      <c r="W537" s="18">
        <v>3.4482758620689655E-2</v>
      </c>
      <c r="X537" s="51">
        <v>45887</v>
      </c>
      <c r="Y537" s="51">
        <v>43867</v>
      </c>
      <c r="Z537" s="28">
        <v>80</v>
      </c>
      <c r="AA537" s="16" t="s">
        <v>1701</v>
      </c>
      <c r="AB537" s="8" t="s">
        <v>307</v>
      </c>
      <c r="AC537" s="8" t="s">
        <v>307</v>
      </c>
      <c r="AD537" s="8" t="s">
        <v>134</v>
      </c>
      <c r="AE537" s="8">
        <v>3102620243</v>
      </c>
      <c r="AF537" s="8" t="s">
        <v>276</v>
      </c>
      <c r="AG537" s="8" t="s">
        <v>295</v>
      </c>
      <c r="AH537" s="51">
        <v>35694</v>
      </c>
      <c r="AI537" s="28">
        <v>29</v>
      </c>
      <c r="AJ537" s="51" t="s">
        <v>1853</v>
      </c>
    </row>
    <row r="538" spans="1:36" ht="12.65" customHeight="1" x14ac:dyDescent="0.35">
      <c r="A538" s="8" t="s">
        <v>139</v>
      </c>
      <c r="B538" s="8" t="s">
        <v>136</v>
      </c>
      <c r="C538" s="8" t="s">
        <v>135</v>
      </c>
      <c r="D538" s="34" t="s">
        <v>1665</v>
      </c>
      <c r="E538" s="14" t="s">
        <v>1666</v>
      </c>
      <c r="F538" s="28" t="s">
        <v>69</v>
      </c>
      <c r="G538" s="28" t="s">
        <v>125</v>
      </c>
      <c r="H538" s="14" t="s">
        <v>9</v>
      </c>
      <c r="I538" s="34" t="s">
        <v>752</v>
      </c>
      <c r="J538" s="8" t="s">
        <v>1835</v>
      </c>
      <c r="K538" s="69" t="s">
        <v>1834</v>
      </c>
      <c r="L538" s="8" t="s">
        <v>871</v>
      </c>
      <c r="M538" s="8" t="s">
        <v>872</v>
      </c>
      <c r="N538" s="8" t="s">
        <v>393</v>
      </c>
      <c r="O538" s="8" t="s">
        <v>11</v>
      </c>
      <c r="P538" s="8" t="s">
        <v>274</v>
      </c>
      <c r="Q538" s="8" t="s">
        <v>275</v>
      </c>
      <c r="R538" s="8" t="s">
        <v>231</v>
      </c>
      <c r="S538" s="8" t="s">
        <v>247</v>
      </c>
      <c r="T538" s="14" t="s">
        <v>1666</v>
      </c>
      <c r="U538" s="8" t="s">
        <v>54</v>
      </c>
      <c r="V538" s="8">
        <v>0</v>
      </c>
      <c r="W538" s="18">
        <v>3.4482758620689655E-2</v>
      </c>
      <c r="X538" s="51">
        <v>45887</v>
      </c>
      <c r="Y538" s="51">
        <v>43867</v>
      </c>
      <c r="Z538" s="28">
        <v>80</v>
      </c>
      <c r="AA538" s="16" t="s">
        <v>1701</v>
      </c>
      <c r="AB538" s="8" t="s">
        <v>307</v>
      </c>
      <c r="AC538" s="8" t="s">
        <v>307</v>
      </c>
      <c r="AD538" s="8" t="s">
        <v>134</v>
      </c>
      <c r="AE538" s="8">
        <v>3102620243</v>
      </c>
      <c r="AF538" s="8" t="s">
        <v>276</v>
      </c>
      <c r="AG538" s="8" t="s">
        <v>295</v>
      </c>
      <c r="AH538" s="51">
        <v>35694</v>
      </c>
      <c r="AI538" s="28">
        <v>29</v>
      </c>
      <c r="AJ538" s="51" t="s">
        <v>1853</v>
      </c>
    </row>
    <row r="539" spans="1:36" ht="12.65" customHeight="1" x14ac:dyDescent="0.35">
      <c r="A539" s="8" t="s">
        <v>139</v>
      </c>
      <c r="B539" s="8" t="s">
        <v>136</v>
      </c>
      <c r="C539" s="8" t="s">
        <v>135</v>
      </c>
      <c r="D539" s="34" t="s">
        <v>1665</v>
      </c>
      <c r="E539" s="14" t="s">
        <v>1666</v>
      </c>
      <c r="F539" s="28" t="s">
        <v>69</v>
      </c>
      <c r="G539" s="28" t="s">
        <v>125</v>
      </c>
      <c r="H539" s="14" t="s">
        <v>9</v>
      </c>
      <c r="I539" s="34" t="s">
        <v>1305</v>
      </c>
      <c r="J539" s="8" t="s">
        <v>1306</v>
      </c>
      <c r="K539" s="69" t="s">
        <v>1836</v>
      </c>
      <c r="L539" s="8" t="s">
        <v>871</v>
      </c>
      <c r="M539" s="8" t="s">
        <v>872</v>
      </c>
      <c r="N539" s="8" t="s">
        <v>393</v>
      </c>
      <c r="O539" s="8" t="s">
        <v>11</v>
      </c>
      <c r="P539" s="8" t="s">
        <v>274</v>
      </c>
      <c r="Q539" s="8" t="s">
        <v>275</v>
      </c>
      <c r="R539" s="8" t="s">
        <v>231</v>
      </c>
      <c r="S539" s="8" t="s">
        <v>247</v>
      </c>
      <c r="T539" s="14" t="s">
        <v>1666</v>
      </c>
      <c r="U539" s="8" t="s">
        <v>54</v>
      </c>
      <c r="V539" s="8">
        <v>0</v>
      </c>
      <c r="W539" s="18">
        <v>3.4482758620689655E-2</v>
      </c>
      <c r="X539" s="51">
        <v>45887</v>
      </c>
      <c r="Y539" s="51">
        <v>43867</v>
      </c>
      <c r="Z539" s="28">
        <v>80</v>
      </c>
      <c r="AA539" s="16" t="s">
        <v>1701</v>
      </c>
      <c r="AB539" s="8" t="s">
        <v>307</v>
      </c>
      <c r="AC539" s="8" t="s">
        <v>307</v>
      </c>
      <c r="AD539" s="8" t="s">
        <v>134</v>
      </c>
      <c r="AE539" s="8">
        <v>3102620243</v>
      </c>
      <c r="AF539" s="8" t="s">
        <v>276</v>
      </c>
      <c r="AG539" s="8" t="s">
        <v>295</v>
      </c>
      <c r="AH539" s="51">
        <v>35694</v>
      </c>
      <c r="AI539" s="28">
        <v>29</v>
      </c>
      <c r="AJ539" s="51" t="s">
        <v>1853</v>
      </c>
    </row>
    <row r="540" spans="1:36" ht="12.65" customHeight="1" x14ac:dyDescent="0.35">
      <c r="A540" s="8" t="s">
        <v>139</v>
      </c>
      <c r="B540" s="8" t="s">
        <v>136</v>
      </c>
      <c r="C540" s="8" t="s">
        <v>135</v>
      </c>
      <c r="D540" s="34" t="s">
        <v>1665</v>
      </c>
      <c r="E540" s="14" t="s">
        <v>1666</v>
      </c>
      <c r="F540" s="28" t="s">
        <v>69</v>
      </c>
      <c r="G540" s="28" t="s">
        <v>125</v>
      </c>
      <c r="H540" s="14" t="s">
        <v>9</v>
      </c>
      <c r="I540" s="34" t="s">
        <v>747</v>
      </c>
      <c r="J540" s="8" t="s">
        <v>748</v>
      </c>
      <c r="K540" s="69" t="s">
        <v>1837</v>
      </c>
      <c r="L540" s="8" t="s">
        <v>871</v>
      </c>
      <c r="M540" s="8" t="s">
        <v>872</v>
      </c>
      <c r="N540" s="8" t="s">
        <v>393</v>
      </c>
      <c r="O540" s="8" t="s">
        <v>11</v>
      </c>
      <c r="P540" s="8" t="s">
        <v>274</v>
      </c>
      <c r="Q540" s="8" t="s">
        <v>275</v>
      </c>
      <c r="R540" s="8" t="s">
        <v>231</v>
      </c>
      <c r="S540" s="8" t="s">
        <v>247</v>
      </c>
      <c r="T540" s="14" t="s">
        <v>1666</v>
      </c>
      <c r="U540" s="8" t="s">
        <v>54</v>
      </c>
      <c r="V540" s="8">
        <v>0</v>
      </c>
      <c r="W540" s="18">
        <v>3.4482758620689655E-2</v>
      </c>
      <c r="X540" s="51">
        <v>45887</v>
      </c>
      <c r="Y540" s="51">
        <v>43867</v>
      </c>
      <c r="Z540" s="28">
        <v>80</v>
      </c>
      <c r="AA540" s="16" t="s">
        <v>1701</v>
      </c>
      <c r="AB540" s="8" t="s">
        <v>307</v>
      </c>
      <c r="AC540" s="8" t="s">
        <v>307</v>
      </c>
      <c r="AD540" s="8" t="s">
        <v>134</v>
      </c>
      <c r="AE540" s="8">
        <v>3102620243</v>
      </c>
      <c r="AF540" s="8" t="s">
        <v>276</v>
      </c>
      <c r="AG540" s="8" t="s">
        <v>295</v>
      </c>
      <c r="AH540" s="51">
        <v>35694</v>
      </c>
      <c r="AI540" s="28">
        <v>29</v>
      </c>
      <c r="AJ540" s="51" t="s">
        <v>1853</v>
      </c>
    </row>
    <row r="541" spans="1:36" ht="12.65" customHeight="1" x14ac:dyDescent="0.35">
      <c r="A541" s="8" t="s">
        <v>139</v>
      </c>
      <c r="B541" s="8" t="s">
        <v>136</v>
      </c>
      <c r="C541" s="8" t="s">
        <v>135</v>
      </c>
      <c r="D541" s="34" t="s">
        <v>1665</v>
      </c>
      <c r="E541" s="14" t="s">
        <v>1666</v>
      </c>
      <c r="F541" s="28" t="s">
        <v>69</v>
      </c>
      <c r="G541" s="28" t="s">
        <v>125</v>
      </c>
      <c r="H541" s="14" t="s">
        <v>9</v>
      </c>
      <c r="I541" s="34" t="s">
        <v>809</v>
      </c>
      <c r="J541" s="8" t="s">
        <v>24</v>
      </c>
      <c r="K541" s="69" t="s">
        <v>1838</v>
      </c>
      <c r="L541" s="8" t="s">
        <v>871</v>
      </c>
      <c r="M541" s="8" t="s">
        <v>872</v>
      </c>
      <c r="N541" s="8" t="s">
        <v>393</v>
      </c>
      <c r="O541" s="8" t="s">
        <v>11</v>
      </c>
      <c r="P541" s="8" t="s">
        <v>274</v>
      </c>
      <c r="Q541" s="8" t="s">
        <v>275</v>
      </c>
      <c r="R541" s="8" t="s">
        <v>231</v>
      </c>
      <c r="S541" s="8" t="s">
        <v>247</v>
      </c>
      <c r="T541" s="14" t="s">
        <v>1666</v>
      </c>
      <c r="U541" s="8" t="s">
        <v>54</v>
      </c>
      <c r="V541" s="8">
        <v>0</v>
      </c>
      <c r="W541" s="18">
        <v>3.4482758620689655E-2</v>
      </c>
      <c r="X541" s="51">
        <v>45887</v>
      </c>
      <c r="Y541" s="51">
        <v>43867</v>
      </c>
      <c r="Z541" s="28">
        <v>80</v>
      </c>
      <c r="AA541" s="16" t="s">
        <v>1701</v>
      </c>
      <c r="AB541" s="8" t="s">
        <v>307</v>
      </c>
      <c r="AC541" s="8" t="s">
        <v>307</v>
      </c>
      <c r="AD541" s="8" t="s">
        <v>134</v>
      </c>
      <c r="AE541" s="8">
        <v>3102620243</v>
      </c>
      <c r="AF541" s="8" t="s">
        <v>276</v>
      </c>
      <c r="AG541" s="8" t="s">
        <v>295</v>
      </c>
      <c r="AH541" s="51">
        <v>35694</v>
      </c>
      <c r="AI541" s="28">
        <v>29</v>
      </c>
      <c r="AJ541" s="51" t="s">
        <v>1853</v>
      </c>
    </row>
    <row r="542" spans="1:36" ht="12.65" customHeight="1" x14ac:dyDescent="0.35">
      <c r="A542" s="8" t="s">
        <v>139</v>
      </c>
      <c r="B542" s="8" t="s">
        <v>136</v>
      </c>
      <c r="C542" s="8" t="s">
        <v>135</v>
      </c>
      <c r="D542" s="34" t="s">
        <v>1665</v>
      </c>
      <c r="E542" s="14" t="s">
        <v>1666</v>
      </c>
      <c r="F542" s="28" t="s">
        <v>69</v>
      </c>
      <c r="G542" s="28" t="s">
        <v>125</v>
      </c>
      <c r="H542" s="14" t="s">
        <v>9</v>
      </c>
      <c r="I542" s="34" t="s">
        <v>1544</v>
      </c>
      <c r="J542" s="8" t="s">
        <v>1545</v>
      </c>
      <c r="K542" s="69" t="s">
        <v>1839</v>
      </c>
      <c r="L542" s="8" t="s">
        <v>871</v>
      </c>
      <c r="M542" s="8" t="s">
        <v>872</v>
      </c>
      <c r="N542" s="8" t="s">
        <v>393</v>
      </c>
      <c r="O542" s="8" t="s">
        <v>11</v>
      </c>
      <c r="P542" s="8" t="s">
        <v>274</v>
      </c>
      <c r="Q542" s="8" t="s">
        <v>275</v>
      </c>
      <c r="R542" s="8" t="s">
        <v>231</v>
      </c>
      <c r="S542" s="8" t="s">
        <v>247</v>
      </c>
      <c r="T542" s="14" t="s">
        <v>1666</v>
      </c>
      <c r="U542" s="8" t="s">
        <v>54</v>
      </c>
      <c r="V542" s="8">
        <v>0</v>
      </c>
      <c r="W542" s="18">
        <v>3.4482758620689655E-2</v>
      </c>
      <c r="X542" s="51">
        <v>45887</v>
      </c>
      <c r="Y542" s="51">
        <v>43867</v>
      </c>
      <c r="Z542" s="28">
        <v>80</v>
      </c>
      <c r="AA542" s="16" t="s">
        <v>1701</v>
      </c>
      <c r="AB542" s="8" t="s">
        <v>307</v>
      </c>
      <c r="AC542" s="8" t="s">
        <v>307</v>
      </c>
      <c r="AD542" s="8" t="s">
        <v>134</v>
      </c>
      <c r="AE542" s="8">
        <v>3102620243</v>
      </c>
      <c r="AF542" s="8" t="s">
        <v>276</v>
      </c>
      <c r="AG542" s="8" t="s">
        <v>295</v>
      </c>
      <c r="AH542" s="51">
        <v>35694</v>
      </c>
      <c r="AI542" s="28">
        <v>29</v>
      </c>
      <c r="AJ542" s="51" t="s">
        <v>1853</v>
      </c>
    </row>
    <row r="543" spans="1:36" ht="12.65" customHeight="1" x14ac:dyDescent="0.35">
      <c r="A543" s="8" t="s">
        <v>139</v>
      </c>
      <c r="B543" s="8" t="s">
        <v>136</v>
      </c>
      <c r="C543" s="8" t="s">
        <v>135</v>
      </c>
      <c r="D543" s="34" t="s">
        <v>1665</v>
      </c>
      <c r="E543" s="14" t="s">
        <v>1666</v>
      </c>
      <c r="F543" s="28" t="s">
        <v>69</v>
      </c>
      <c r="G543" s="28" t="s">
        <v>125</v>
      </c>
      <c r="H543" s="31" t="s">
        <v>9</v>
      </c>
      <c r="I543" s="34" t="s">
        <v>1706</v>
      </c>
      <c r="J543" s="8" t="s">
        <v>1707</v>
      </c>
      <c r="K543" s="69" t="s">
        <v>1833</v>
      </c>
      <c r="L543" s="8" t="s">
        <v>871</v>
      </c>
      <c r="M543" s="8" t="s">
        <v>872</v>
      </c>
      <c r="N543" s="8" t="s">
        <v>393</v>
      </c>
      <c r="O543" s="8" t="s">
        <v>11</v>
      </c>
      <c r="P543" s="8" t="s">
        <v>274</v>
      </c>
      <c r="Q543" s="8" t="s">
        <v>275</v>
      </c>
      <c r="R543" s="8" t="s">
        <v>231</v>
      </c>
      <c r="S543" s="8" t="s">
        <v>247</v>
      </c>
      <c r="T543" s="14" t="s">
        <v>1666</v>
      </c>
      <c r="U543" s="8" t="s">
        <v>54</v>
      </c>
      <c r="V543" s="8">
        <v>0</v>
      </c>
      <c r="W543" s="18">
        <v>3.4482758620689655E-2</v>
      </c>
      <c r="X543" s="51">
        <v>45887</v>
      </c>
      <c r="Y543" s="51">
        <v>43867</v>
      </c>
      <c r="Z543" s="28">
        <v>80</v>
      </c>
      <c r="AA543" s="16" t="s">
        <v>1701</v>
      </c>
      <c r="AB543" s="8" t="s">
        <v>307</v>
      </c>
      <c r="AC543" s="8" t="s">
        <v>307</v>
      </c>
      <c r="AD543" s="8" t="s">
        <v>134</v>
      </c>
      <c r="AE543" s="8">
        <v>3102620243</v>
      </c>
      <c r="AF543" s="8" t="s">
        <v>276</v>
      </c>
      <c r="AG543" s="8" t="s">
        <v>295</v>
      </c>
      <c r="AH543" s="51">
        <v>35694</v>
      </c>
      <c r="AI543" s="28">
        <v>29</v>
      </c>
      <c r="AJ543" s="51" t="s">
        <v>1853</v>
      </c>
    </row>
    <row r="544" spans="1:36" ht="12.65" customHeight="1" x14ac:dyDescent="0.35">
      <c r="A544" s="8" t="s">
        <v>139</v>
      </c>
      <c r="B544" s="8" t="s">
        <v>136</v>
      </c>
      <c r="C544" s="8" t="s">
        <v>135</v>
      </c>
      <c r="D544" s="34" t="s">
        <v>1665</v>
      </c>
      <c r="E544" s="14" t="s">
        <v>1666</v>
      </c>
      <c r="F544" s="28" t="s">
        <v>69</v>
      </c>
      <c r="G544" s="28" t="s">
        <v>125</v>
      </c>
      <c r="H544" s="31" t="s">
        <v>9</v>
      </c>
      <c r="I544" s="8" t="s">
        <v>1259</v>
      </c>
      <c r="J544" s="8" t="s">
        <v>1260</v>
      </c>
      <c r="K544" s="69" t="s">
        <v>1261</v>
      </c>
      <c r="L544" s="8" t="s">
        <v>871</v>
      </c>
      <c r="M544" s="8" t="s">
        <v>872</v>
      </c>
      <c r="N544" s="8" t="s">
        <v>393</v>
      </c>
      <c r="O544" s="8" t="s">
        <v>11</v>
      </c>
      <c r="P544" s="8" t="s">
        <v>274</v>
      </c>
      <c r="Q544" s="8" t="s">
        <v>275</v>
      </c>
      <c r="R544" s="8" t="s">
        <v>231</v>
      </c>
      <c r="S544" s="8" t="s">
        <v>247</v>
      </c>
      <c r="T544" s="14" t="s">
        <v>1666</v>
      </c>
      <c r="U544" s="14" t="s">
        <v>54</v>
      </c>
      <c r="V544" s="8">
        <v>0</v>
      </c>
      <c r="W544" s="18">
        <v>3.4482758620689655E-2</v>
      </c>
      <c r="X544" s="51">
        <v>45887</v>
      </c>
      <c r="Y544" s="51">
        <v>43867</v>
      </c>
      <c r="Z544" s="28">
        <v>80</v>
      </c>
      <c r="AA544" s="16" t="s">
        <v>1701</v>
      </c>
      <c r="AB544" s="8" t="s">
        <v>307</v>
      </c>
      <c r="AC544" s="8" t="s">
        <v>307</v>
      </c>
      <c r="AD544" s="8" t="s">
        <v>134</v>
      </c>
      <c r="AE544" s="8">
        <v>3102620243</v>
      </c>
      <c r="AF544" s="8" t="s">
        <v>276</v>
      </c>
      <c r="AG544" s="8" t="s">
        <v>295</v>
      </c>
      <c r="AH544" s="51">
        <v>35694</v>
      </c>
      <c r="AI544" s="28">
        <v>29</v>
      </c>
      <c r="AJ544" s="51" t="s">
        <v>1853</v>
      </c>
    </row>
    <row r="545" spans="1:36" ht="12.65" customHeight="1" x14ac:dyDescent="0.35">
      <c r="A545" s="8" t="s">
        <v>139</v>
      </c>
      <c r="B545" s="8" t="s">
        <v>136</v>
      </c>
      <c r="C545" s="8" t="s">
        <v>135</v>
      </c>
      <c r="D545" s="34" t="s">
        <v>1665</v>
      </c>
      <c r="E545" s="14" t="s">
        <v>1666</v>
      </c>
      <c r="F545" s="28" t="s">
        <v>69</v>
      </c>
      <c r="G545" s="28" t="s">
        <v>125</v>
      </c>
      <c r="H545" s="31" t="s">
        <v>9</v>
      </c>
      <c r="I545" s="8" t="s">
        <v>767</v>
      </c>
      <c r="J545" s="8" t="s">
        <v>1351</v>
      </c>
      <c r="K545" s="69" t="s">
        <v>768</v>
      </c>
      <c r="L545" s="8" t="s">
        <v>871</v>
      </c>
      <c r="M545" s="8" t="s">
        <v>872</v>
      </c>
      <c r="N545" s="8" t="s">
        <v>393</v>
      </c>
      <c r="O545" s="8" t="s">
        <v>11</v>
      </c>
      <c r="P545" s="8" t="s">
        <v>274</v>
      </c>
      <c r="Q545" s="8" t="s">
        <v>275</v>
      </c>
      <c r="R545" s="8" t="s">
        <v>231</v>
      </c>
      <c r="S545" s="8" t="s">
        <v>247</v>
      </c>
      <c r="T545" s="14" t="s">
        <v>1666</v>
      </c>
      <c r="U545" s="8" t="s">
        <v>54</v>
      </c>
      <c r="V545" s="8">
        <v>0</v>
      </c>
      <c r="W545" s="18">
        <v>3.4482758620689655E-2</v>
      </c>
      <c r="X545" s="51">
        <v>45887</v>
      </c>
      <c r="Y545" s="51">
        <v>43867</v>
      </c>
      <c r="Z545" s="28">
        <v>80</v>
      </c>
      <c r="AA545" s="16" t="s">
        <v>1701</v>
      </c>
      <c r="AB545" s="8" t="s">
        <v>307</v>
      </c>
      <c r="AC545" s="8" t="s">
        <v>307</v>
      </c>
      <c r="AD545" s="8" t="s">
        <v>134</v>
      </c>
      <c r="AE545" s="8">
        <v>3102620243</v>
      </c>
      <c r="AF545" s="8" t="s">
        <v>276</v>
      </c>
      <c r="AG545" s="8" t="s">
        <v>295</v>
      </c>
      <c r="AH545" s="51">
        <v>35694</v>
      </c>
      <c r="AI545" s="28">
        <v>29</v>
      </c>
      <c r="AJ545" s="51" t="s">
        <v>1853</v>
      </c>
    </row>
    <row r="546" spans="1:36" ht="12.65" customHeight="1" x14ac:dyDescent="0.35">
      <c r="A546" s="8" t="s">
        <v>139</v>
      </c>
      <c r="B546" s="8" t="s">
        <v>136</v>
      </c>
      <c r="C546" s="8" t="s">
        <v>135</v>
      </c>
      <c r="D546" s="34" t="s">
        <v>1665</v>
      </c>
      <c r="E546" s="14" t="s">
        <v>1666</v>
      </c>
      <c r="F546" s="28" t="s">
        <v>69</v>
      </c>
      <c r="G546" s="28" t="s">
        <v>125</v>
      </c>
      <c r="H546" s="31" t="s">
        <v>9</v>
      </c>
      <c r="I546" s="8" t="s">
        <v>756</v>
      </c>
      <c r="J546" s="8" t="s">
        <v>1215</v>
      </c>
      <c r="K546" s="69" t="s">
        <v>757</v>
      </c>
      <c r="L546" s="8" t="s">
        <v>871</v>
      </c>
      <c r="M546" s="8" t="s">
        <v>872</v>
      </c>
      <c r="N546" s="8" t="s">
        <v>393</v>
      </c>
      <c r="O546" s="8" t="s">
        <v>21</v>
      </c>
      <c r="P546" s="8" t="s">
        <v>274</v>
      </c>
      <c r="Q546" s="8" t="s">
        <v>275</v>
      </c>
      <c r="R546" s="8" t="s">
        <v>231</v>
      </c>
      <c r="S546" s="8" t="s">
        <v>247</v>
      </c>
      <c r="T546" s="14" t="s">
        <v>1666</v>
      </c>
      <c r="U546" s="8" t="s">
        <v>54</v>
      </c>
      <c r="V546" s="8">
        <v>0</v>
      </c>
      <c r="W546" s="18">
        <v>3.4482758620689655E-2</v>
      </c>
      <c r="X546" s="51">
        <v>45887</v>
      </c>
      <c r="Y546" s="51">
        <v>43867</v>
      </c>
      <c r="Z546" s="28">
        <v>80</v>
      </c>
      <c r="AA546" s="16" t="s">
        <v>1701</v>
      </c>
      <c r="AB546" s="8" t="s">
        <v>307</v>
      </c>
      <c r="AC546" s="8" t="s">
        <v>307</v>
      </c>
      <c r="AD546" s="8" t="s">
        <v>134</v>
      </c>
      <c r="AE546" s="8">
        <v>3102620243</v>
      </c>
      <c r="AF546" s="8" t="s">
        <v>276</v>
      </c>
      <c r="AG546" s="8" t="s">
        <v>295</v>
      </c>
      <c r="AH546" s="51">
        <v>35694</v>
      </c>
      <c r="AI546" s="28">
        <v>29</v>
      </c>
      <c r="AJ546" s="51" t="s">
        <v>1853</v>
      </c>
    </row>
    <row r="547" spans="1:36" ht="12.65" customHeight="1" x14ac:dyDescent="0.35">
      <c r="A547" s="8" t="s">
        <v>139</v>
      </c>
      <c r="B547" s="8" t="s">
        <v>136</v>
      </c>
      <c r="C547" s="8" t="s">
        <v>135</v>
      </c>
      <c r="D547" s="34" t="s">
        <v>1665</v>
      </c>
      <c r="E547" s="14" t="s">
        <v>1666</v>
      </c>
      <c r="F547" s="28" t="s">
        <v>69</v>
      </c>
      <c r="G547" s="28" t="s">
        <v>125</v>
      </c>
      <c r="H547" s="31" t="s">
        <v>9</v>
      </c>
      <c r="I547" s="8" t="s">
        <v>1376</v>
      </c>
      <c r="J547" s="8" t="s">
        <v>1377</v>
      </c>
      <c r="K547" s="69" t="s">
        <v>1378</v>
      </c>
      <c r="L547" s="8" t="s">
        <v>871</v>
      </c>
      <c r="M547" s="8" t="s">
        <v>872</v>
      </c>
      <c r="N547" s="8" t="s">
        <v>393</v>
      </c>
      <c r="O547" s="8" t="s">
        <v>11</v>
      </c>
      <c r="P547" s="8" t="s">
        <v>274</v>
      </c>
      <c r="Q547" s="8" t="s">
        <v>275</v>
      </c>
      <c r="R547" s="8" t="s">
        <v>231</v>
      </c>
      <c r="S547" s="8" t="s">
        <v>247</v>
      </c>
      <c r="T547" s="14" t="s">
        <v>1666</v>
      </c>
      <c r="U547" s="8" t="s">
        <v>54</v>
      </c>
      <c r="V547" s="8">
        <v>0</v>
      </c>
      <c r="W547" s="18">
        <v>3.4482758620689655E-2</v>
      </c>
      <c r="X547" s="51">
        <v>45887</v>
      </c>
      <c r="Y547" s="51">
        <v>43867</v>
      </c>
      <c r="Z547" s="28">
        <v>80</v>
      </c>
      <c r="AA547" s="16" t="s">
        <v>1701</v>
      </c>
      <c r="AB547" s="8" t="s">
        <v>307</v>
      </c>
      <c r="AC547" s="8" t="s">
        <v>307</v>
      </c>
      <c r="AD547" s="8" t="s">
        <v>134</v>
      </c>
      <c r="AE547" s="8">
        <v>3102620243</v>
      </c>
      <c r="AF547" s="8" t="s">
        <v>276</v>
      </c>
      <c r="AG547" s="8" t="s">
        <v>295</v>
      </c>
      <c r="AH547" s="51">
        <v>35694</v>
      </c>
      <c r="AI547" s="28">
        <v>29</v>
      </c>
      <c r="AJ547" s="51" t="s">
        <v>1853</v>
      </c>
    </row>
    <row r="548" spans="1:36" ht="12.65" customHeight="1" x14ac:dyDescent="0.35">
      <c r="A548" s="8" t="s">
        <v>139</v>
      </c>
      <c r="B548" s="8" t="s">
        <v>136</v>
      </c>
      <c r="C548" s="8" t="s">
        <v>135</v>
      </c>
      <c r="D548" s="34" t="s">
        <v>1665</v>
      </c>
      <c r="E548" s="14" t="s">
        <v>1666</v>
      </c>
      <c r="F548" s="28" t="s">
        <v>69</v>
      </c>
      <c r="G548" s="28" t="s">
        <v>125</v>
      </c>
      <c r="H548" s="31" t="s">
        <v>9</v>
      </c>
      <c r="I548" s="8" t="s">
        <v>845</v>
      </c>
      <c r="J548" s="8" t="s">
        <v>846</v>
      </c>
      <c r="K548" s="69" t="s">
        <v>847</v>
      </c>
      <c r="L548" s="8" t="s">
        <v>871</v>
      </c>
      <c r="M548" s="8" t="s">
        <v>872</v>
      </c>
      <c r="N548" s="8" t="s">
        <v>393</v>
      </c>
      <c r="O548" s="8" t="s">
        <v>11</v>
      </c>
      <c r="P548" s="8" t="s">
        <v>274</v>
      </c>
      <c r="Q548" s="8" t="s">
        <v>275</v>
      </c>
      <c r="R548" s="8" t="s">
        <v>231</v>
      </c>
      <c r="S548" s="8" t="s">
        <v>247</v>
      </c>
      <c r="T548" s="14" t="s">
        <v>1666</v>
      </c>
      <c r="U548" s="8" t="s">
        <v>54</v>
      </c>
      <c r="V548" s="8">
        <v>0</v>
      </c>
      <c r="W548" s="18">
        <v>3.4482758620689655E-2</v>
      </c>
      <c r="X548" s="51">
        <v>45887</v>
      </c>
      <c r="Y548" s="51">
        <v>43867</v>
      </c>
      <c r="Z548" s="28">
        <v>80</v>
      </c>
      <c r="AA548" s="16" t="s">
        <v>1701</v>
      </c>
      <c r="AB548" s="8" t="s">
        <v>307</v>
      </c>
      <c r="AC548" s="8" t="s">
        <v>307</v>
      </c>
      <c r="AD548" s="8" t="s">
        <v>134</v>
      </c>
      <c r="AE548" s="8">
        <v>3102620243</v>
      </c>
      <c r="AF548" s="8" t="s">
        <v>276</v>
      </c>
      <c r="AG548" s="8" t="s">
        <v>295</v>
      </c>
      <c r="AH548" s="51">
        <v>35694</v>
      </c>
      <c r="AI548" s="28">
        <v>29</v>
      </c>
      <c r="AJ548" s="51" t="s">
        <v>1853</v>
      </c>
    </row>
    <row r="549" spans="1:36" ht="12.65" customHeight="1" x14ac:dyDescent="0.35">
      <c r="A549" s="8" t="s">
        <v>139</v>
      </c>
      <c r="B549" s="8" t="s">
        <v>136</v>
      </c>
      <c r="C549" s="8" t="s">
        <v>135</v>
      </c>
      <c r="D549" s="34" t="s">
        <v>1665</v>
      </c>
      <c r="E549" s="14" t="s">
        <v>1666</v>
      </c>
      <c r="F549" s="28" t="s">
        <v>69</v>
      </c>
      <c r="G549" s="28" t="s">
        <v>125</v>
      </c>
      <c r="H549" s="31" t="s">
        <v>9</v>
      </c>
      <c r="I549" s="8" t="s">
        <v>1331</v>
      </c>
      <c r="J549" s="8" t="s">
        <v>1332</v>
      </c>
      <c r="K549" s="69" t="s">
        <v>1328</v>
      </c>
      <c r="L549" s="8" t="s">
        <v>871</v>
      </c>
      <c r="M549" s="8" t="s">
        <v>872</v>
      </c>
      <c r="N549" s="8" t="s">
        <v>393</v>
      </c>
      <c r="O549" s="8" t="s">
        <v>11</v>
      </c>
      <c r="P549" s="8" t="s">
        <v>274</v>
      </c>
      <c r="Q549" s="8" t="s">
        <v>275</v>
      </c>
      <c r="R549" s="8" t="s">
        <v>231</v>
      </c>
      <c r="S549" s="8" t="s">
        <v>247</v>
      </c>
      <c r="T549" s="14" t="s">
        <v>1666</v>
      </c>
      <c r="U549" s="8" t="s">
        <v>54</v>
      </c>
      <c r="V549" s="8">
        <v>0</v>
      </c>
      <c r="W549" s="18">
        <v>3.4482758620689655E-2</v>
      </c>
      <c r="X549" s="51">
        <v>45887</v>
      </c>
      <c r="Y549" s="51">
        <v>43867</v>
      </c>
      <c r="Z549" s="28">
        <v>80</v>
      </c>
      <c r="AA549" s="16" t="s">
        <v>1701</v>
      </c>
      <c r="AB549" s="8" t="s">
        <v>307</v>
      </c>
      <c r="AC549" s="8" t="s">
        <v>307</v>
      </c>
      <c r="AD549" s="8" t="s">
        <v>134</v>
      </c>
      <c r="AE549" s="8">
        <v>3102620243</v>
      </c>
      <c r="AF549" s="8" t="s">
        <v>276</v>
      </c>
      <c r="AG549" s="8" t="s">
        <v>295</v>
      </c>
      <c r="AH549" s="51">
        <v>35694</v>
      </c>
      <c r="AI549" s="28">
        <v>29</v>
      </c>
      <c r="AJ549" s="51" t="s">
        <v>1853</v>
      </c>
    </row>
    <row r="550" spans="1:36" ht="12.65" customHeight="1" x14ac:dyDescent="0.35">
      <c r="A550" s="8" t="s">
        <v>139</v>
      </c>
      <c r="B550" s="8" t="s">
        <v>136</v>
      </c>
      <c r="C550" s="8" t="s">
        <v>135</v>
      </c>
      <c r="D550" s="34" t="s">
        <v>1665</v>
      </c>
      <c r="E550" s="14" t="s">
        <v>1666</v>
      </c>
      <c r="F550" s="28" t="s">
        <v>69</v>
      </c>
      <c r="G550" s="28" t="s">
        <v>125</v>
      </c>
      <c r="H550" s="31" t="s">
        <v>9</v>
      </c>
      <c r="I550" s="8" t="s">
        <v>1183</v>
      </c>
      <c r="J550" s="8" t="s">
        <v>1184</v>
      </c>
      <c r="K550" s="69" t="s">
        <v>1185</v>
      </c>
      <c r="L550" s="8" t="s">
        <v>871</v>
      </c>
      <c r="M550" s="8" t="s">
        <v>872</v>
      </c>
      <c r="N550" s="8" t="s">
        <v>393</v>
      </c>
      <c r="O550" s="8" t="s">
        <v>11</v>
      </c>
      <c r="P550" s="8" t="s">
        <v>274</v>
      </c>
      <c r="Q550" s="8" t="s">
        <v>275</v>
      </c>
      <c r="R550" s="8" t="s">
        <v>231</v>
      </c>
      <c r="S550" s="8" t="s">
        <v>247</v>
      </c>
      <c r="T550" s="14" t="s">
        <v>1666</v>
      </c>
      <c r="U550" s="8" t="s">
        <v>54</v>
      </c>
      <c r="V550" s="8">
        <v>0</v>
      </c>
      <c r="W550" s="18">
        <v>3.4482758620689655E-2</v>
      </c>
      <c r="X550" s="51">
        <v>45887</v>
      </c>
      <c r="Y550" s="51">
        <v>43867</v>
      </c>
      <c r="Z550" s="28">
        <v>80</v>
      </c>
      <c r="AA550" s="16" t="s">
        <v>1701</v>
      </c>
      <c r="AB550" s="8" t="s">
        <v>307</v>
      </c>
      <c r="AC550" s="8" t="s">
        <v>307</v>
      </c>
      <c r="AD550" s="8" t="s">
        <v>134</v>
      </c>
      <c r="AE550" s="8">
        <v>3102620243</v>
      </c>
      <c r="AF550" s="8" t="s">
        <v>276</v>
      </c>
      <c r="AG550" s="8" t="s">
        <v>295</v>
      </c>
      <c r="AH550" s="51">
        <v>35694</v>
      </c>
      <c r="AI550" s="28">
        <v>29</v>
      </c>
      <c r="AJ550" s="51" t="s">
        <v>1853</v>
      </c>
    </row>
    <row r="551" spans="1:36" ht="12.65" customHeight="1" x14ac:dyDescent="0.35">
      <c r="A551" s="8" t="s">
        <v>139</v>
      </c>
      <c r="B551" s="8" t="s">
        <v>136</v>
      </c>
      <c r="C551" s="8" t="s">
        <v>135</v>
      </c>
      <c r="D551" s="34" t="s">
        <v>1665</v>
      </c>
      <c r="E551" s="14" t="s">
        <v>1666</v>
      </c>
      <c r="F551" s="28" t="s">
        <v>69</v>
      </c>
      <c r="G551" s="28" t="s">
        <v>125</v>
      </c>
      <c r="H551" s="31" t="s">
        <v>9</v>
      </c>
      <c r="I551" s="8" t="s">
        <v>782</v>
      </c>
      <c r="J551" s="8" t="s">
        <v>783</v>
      </c>
      <c r="K551" s="69" t="s">
        <v>784</v>
      </c>
      <c r="L551" s="8" t="s">
        <v>871</v>
      </c>
      <c r="M551" s="8" t="s">
        <v>872</v>
      </c>
      <c r="N551" s="8" t="s">
        <v>393</v>
      </c>
      <c r="O551" s="8" t="s">
        <v>11</v>
      </c>
      <c r="P551" s="8" t="s">
        <v>274</v>
      </c>
      <c r="Q551" s="8" t="s">
        <v>275</v>
      </c>
      <c r="R551" s="8" t="s">
        <v>231</v>
      </c>
      <c r="S551" s="8" t="s">
        <v>247</v>
      </c>
      <c r="T551" s="14" t="s">
        <v>1666</v>
      </c>
      <c r="U551" s="8" t="s">
        <v>54</v>
      </c>
      <c r="V551" s="8">
        <v>0</v>
      </c>
      <c r="W551" s="18">
        <v>3.4482758620689655E-2</v>
      </c>
      <c r="X551" s="51">
        <v>45887</v>
      </c>
      <c r="Y551" s="51">
        <v>43867</v>
      </c>
      <c r="Z551" s="28">
        <v>80</v>
      </c>
      <c r="AA551" s="16" t="s">
        <v>1701</v>
      </c>
      <c r="AB551" s="8" t="s">
        <v>307</v>
      </c>
      <c r="AC551" s="8" t="s">
        <v>307</v>
      </c>
      <c r="AD551" s="8" t="s">
        <v>134</v>
      </c>
      <c r="AE551" s="8">
        <v>3102620243</v>
      </c>
      <c r="AF551" s="8" t="s">
        <v>276</v>
      </c>
      <c r="AG551" s="8" t="s">
        <v>295</v>
      </c>
      <c r="AH551" s="51">
        <v>35694</v>
      </c>
      <c r="AI551" s="28">
        <v>29</v>
      </c>
      <c r="AJ551" s="51" t="s">
        <v>1853</v>
      </c>
    </row>
    <row r="552" spans="1:36" ht="12.65" customHeight="1" x14ac:dyDescent="0.35">
      <c r="A552" s="8" t="s">
        <v>139</v>
      </c>
      <c r="B552" s="8" t="s">
        <v>136</v>
      </c>
      <c r="C552" s="8" t="s">
        <v>135</v>
      </c>
      <c r="D552" s="34" t="s">
        <v>1665</v>
      </c>
      <c r="E552" s="14" t="s">
        <v>1666</v>
      </c>
      <c r="F552" s="28" t="s">
        <v>69</v>
      </c>
      <c r="G552" s="28" t="s">
        <v>125</v>
      </c>
      <c r="H552" s="31" t="s">
        <v>9</v>
      </c>
      <c r="I552" s="8" t="s">
        <v>772</v>
      </c>
      <c r="J552" s="8" t="s">
        <v>773</v>
      </c>
      <c r="K552" s="69" t="s">
        <v>774</v>
      </c>
      <c r="L552" s="8" t="s">
        <v>871</v>
      </c>
      <c r="M552" s="8" t="s">
        <v>872</v>
      </c>
      <c r="N552" s="8" t="s">
        <v>393</v>
      </c>
      <c r="O552" s="8" t="s">
        <v>11</v>
      </c>
      <c r="P552" s="8" t="s">
        <v>274</v>
      </c>
      <c r="Q552" s="8" t="s">
        <v>275</v>
      </c>
      <c r="R552" s="8" t="s">
        <v>231</v>
      </c>
      <c r="S552" s="8" t="s">
        <v>247</v>
      </c>
      <c r="T552" s="14" t="s">
        <v>1666</v>
      </c>
      <c r="U552" s="8" t="s">
        <v>54</v>
      </c>
      <c r="V552" s="8">
        <v>0</v>
      </c>
      <c r="W552" s="18">
        <v>3.4482758620689655E-2</v>
      </c>
      <c r="X552" s="51">
        <v>45887</v>
      </c>
      <c r="Y552" s="51">
        <v>43867</v>
      </c>
      <c r="Z552" s="28">
        <v>80</v>
      </c>
      <c r="AA552" s="16" t="s">
        <v>1701</v>
      </c>
      <c r="AB552" s="8" t="s">
        <v>307</v>
      </c>
      <c r="AC552" s="8" t="s">
        <v>307</v>
      </c>
      <c r="AD552" s="8" t="s">
        <v>134</v>
      </c>
      <c r="AE552" s="8">
        <v>3102620243</v>
      </c>
      <c r="AF552" s="8" t="s">
        <v>276</v>
      </c>
      <c r="AG552" s="8" t="s">
        <v>295</v>
      </c>
      <c r="AH552" s="51">
        <v>35694</v>
      </c>
      <c r="AI552" s="28">
        <v>29</v>
      </c>
      <c r="AJ552" s="51" t="s">
        <v>1853</v>
      </c>
    </row>
    <row r="553" spans="1:36" ht="12.65" customHeight="1" x14ac:dyDescent="0.35">
      <c r="A553" s="8" t="s">
        <v>139</v>
      </c>
      <c r="B553" s="8" t="s">
        <v>136</v>
      </c>
      <c r="C553" s="8" t="s">
        <v>135</v>
      </c>
      <c r="D553" s="34" t="s">
        <v>1665</v>
      </c>
      <c r="E553" s="14" t="s">
        <v>1666</v>
      </c>
      <c r="F553" s="28" t="s">
        <v>69</v>
      </c>
      <c r="G553" s="28" t="s">
        <v>125</v>
      </c>
      <c r="H553" s="31" t="s">
        <v>9</v>
      </c>
      <c r="I553" s="8" t="s">
        <v>777</v>
      </c>
      <c r="J553" s="8" t="s">
        <v>778</v>
      </c>
      <c r="K553" s="69" t="s">
        <v>779</v>
      </c>
      <c r="L553" s="8" t="s">
        <v>871</v>
      </c>
      <c r="M553" s="8" t="s">
        <v>872</v>
      </c>
      <c r="N553" s="8" t="s">
        <v>393</v>
      </c>
      <c r="O553" s="8" t="s">
        <v>11</v>
      </c>
      <c r="P553" s="8" t="s">
        <v>274</v>
      </c>
      <c r="Q553" s="8" t="s">
        <v>275</v>
      </c>
      <c r="R553" s="8" t="s">
        <v>231</v>
      </c>
      <c r="S553" s="8" t="s">
        <v>247</v>
      </c>
      <c r="T553" s="14" t="s">
        <v>1666</v>
      </c>
      <c r="U553" s="8" t="s">
        <v>54</v>
      </c>
      <c r="V553" s="8">
        <v>0</v>
      </c>
      <c r="W553" s="18">
        <v>3.4482758620689655E-2</v>
      </c>
      <c r="X553" s="51">
        <v>45887</v>
      </c>
      <c r="Y553" s="51">
        <v>43867</v>
      </c>
      <c r="Z553" s="28">
        <v>80</v>
      </c>
      <c r="AA553" s="16" t="s">
        <v>1701</v>
      </c>
      <c r="AB553" s="8" t="s">
        <v>307</v>
      </c>
      <c r="AC553" s="8" t="s">
        <v>307</v>
      </c>
      <c r="AD553" s="8" t="s">
        <v>134</v>
      </c>
      <c r="AE553" s="8">
        <v>3102620243</v>
      </c>
      <c r="AF553" s="8" t="s">
        <v>276</v>
      </c>
      <c r="AG553" s="8" t="s">
        <v>295</v>
      </c>
      <c r="AH553" s="51">
        <v>35694</v>
      </c>
      <c r="AI553" s="28">
        <v>29</v>
      </c>
      <c r="AJ553" s="51" t="s">
        <v>1853</v>
      </c>
    </row>
    <row r="554" spans="1:36" ht="12.65" customHeight="1" x14ac:dyDescent="0.35">
      <c r="A554" s="8" t="s">
        <v>139</v>
      </c>
      <c r="B554" s="8" t="s">
        <v>136</v>
      </c>
      <c r="C554" s="8" t="s">
        <v>135</v>
      </c>
      <c r="D554" s="34" t="s">
        <v>1665</v>
      </c>
      <c r="E554" s="14" t="s">
        <v>1666</v>
      </c>
      <c r="F554" s="28" t="s">
        <v>69</v>
      </c>
      <c r="G554" s="28" t="s">
        <v>125</v>
      </c>
      <c r="H554" s="31" t="s">
        <v>9</v>
      </c>
      <c r="I554" s="8" t="s">
        <v>792</v>
      </c>
      <c r="J554" s="8" t="s">
        <v>793</v>
      </c>
      <c r="K554" s="69" t="s">
        <v>794</v>
      </c>
      <c r="L554" s="8" t="s">
        <v>871</v>
      </c>
      <c r="M554" s="8" t="s">
        <v>872</v>
      </c>
      <c r="N554" s="8" t="s">
        <v>393</v>
      </c>
      <c r="O554" s="8" t="s">
        <v>11</v>
      </c>
      <c r="P554" s="8" t="s">
        <v>274</v>
      </c>
      <c r="Q554" s="8" t="s">
        <v>275</v>
      </c>
      <c r="R554" s="8" t="s">
        <v>231</v>
      </c>
      <c r="S554" s="8" t="s">
        <v>247</v>
      </c>
      <c r="T554" s="14" t="s">
        <v>1666</v>
      </c>
      <c r="U554" s="8" t="s">
        <v>54</v>
      </c>
      <c r="V554" s="8">
        <v>0</v>
      </c>
      <c r="W554" s="18">
        <v>3.4482758620689655E-2</v>
      </c>
      <c r="X554" s="51">
        <v>45887</v>
      </c>
      <c r="Y554" s="51">
        <v>43867</v>
      </c>
      <c r="Z554" s="28">
        <v>80</v>
      </c>
      <c r="AA554" s="16" t="s">
        <v>1701</v>
      </c>
      <c r="AB554" s="8" t="s">
        <v>307</v>
      </c>
      <c r="AC554" s="8" t="s">
        <v>307</v>
      </c>
      <c r="AD554" s="8" t="s">
        <v>134</v>
      </c>
      <c r="AE554" s="8">
        <v>3102620243</v>
      </c>
      <c r="AF554" s="8" t="s">
        <v>276</v>
      </c>
      <c r="AG554" s="8" t="s">
        <v>295</v>
      </c>
      <c r="AH554" s="51">
        <v>35694</v>
      </c>
      <c r="AI554" s="28">
        <v>29</v>
      </c>
      <c r="AJ554" s="51" t="s">
        <v>1853</v>
      </c>
    </row>
    <row r="555" spans="1:36" ht="12.65" customHeight="1" x14ac:dyDescent="0.35">
      <c r="A555" s="8" t="s">
        <v>139</v>
      </c>
      <c r="B555" s="8" t="s">
        <v>136</v>
      </c>
      <c r="C555" s="8" t="s">
        <v>135</v>
      </c>
      <c r="D555" s="34" t="s">
        <v>1665</v>
      </c>
      <c r="E555" s="14" t="s">
        <v>1666</v>
      </c>
      <c r="F555" s="28" t="s">
        <v>69</v>
      </c>
      <c r="G555" s="28" t="s">
        <v>125</v>
      </c>
      <c r="H555" s="31" t="s">
        <v>9</v>
      </c>
      <c r="I555" s="8" t="s">
        <v>812</v>
      </c>
      <c r="J555" s="8" t="s">
        <v>813</v>
      </c>
      <c r="K555" s="69" t="s">
        <v>814</v>
      </c>
      <c r="L555" s="8" t="s">
        <v>871</v>
      </c>
      <c r="M555" s="8" t="s">
        <v>872</v>
      </c>
      <c r="N555" s="8" t="s">
        <v>393</v>
      </c>
      <c r="O555" s="8" t="s">
        <v>11</v>
      </c>
      <c r="P555" s="8" t="s">
        <v>274</v>
      </c>
      <c r="Q555" s="8" t="s">
        <v>275</v>
      </c>
      <c r="R555" s="8" t="s">
        <v>231</v>
      </c>
      <c r="S555" s="8" t="s">
        <v>247</v>
      </c>
      <c r="T555" s="14" t="s">
        <v>1666</v>
      </c>
      <c r="U555" s="8" t="s">
        <v>54</v>
      </c>
      <c r="V555" s="8">
        <v>0</v>
      </c>
      <c r="W555" s="18">
        <v>3.4482758620689655E-2</v>
      </c>
      <c r="X555" s="51">
        <v>45887</v>
      </c>
      <c r="Y555" s="51">
        <v>43867</v>
      </c>
      <c r="Z555" s="28">
        <v>80</v>
      </c>
      <c r="AA555" s="16" t="s">
        <v>1701</v>
      </c>
      <c r="AB555" s="8" t="s">
        <v>307</v>
      </c>
      <c r="AC555" s="8" t="s">
        <v>307</v>
      </c>
      <c r="AD555" s="8" t="s">
        <v>134</v>
      </c>
      <c r="AE555" s="8">
        <v>3102620243</v>
      </c>
      <c r="AF555" s="8" t="s">
        <v>276</v>
      </c>
      <c r="AG555" s="8" t="s">
        <v>295</v>
      </c>
      <c r="AH555" s="51">
        <v>35694</v>
      </c>
      <c r="AI555" s="28">
        <v>29</v>
      </c>
      <c r="AJ555" s="51" t="s">
        <v>1853</v>
      </c>
    </row>
    <row r="556" spans="1:36" ht="12.65" customHeight="1" x14ac:dyDescent="0.35">
      <c r="A556" s="8" t="s">
        <v>139</v>
      </c>
      <c r="B556" s="8" t="s">
        <v>136</v>
      </c>
      <c r="C556" s="8" t="s">
        <v>135</v>
      </c>
      <c r="D556" s="34" t="s">
        <v>1665</v>
      </c>
      <c r="E556" s="14" t="s">
        <v>1666</v>
      </c>
      <c r="F556" s="28" t="s">
        <v>69</v>
      </c>
      <c r="G556" s="28" t="s">
        <v>125</v>
      </c>
      <c r="H556" s="31" t="s">
        <v>9</v>
      </c>
      <c r="I556" s="8" t="s">
        <v>806</v>
      </c>
      <c r="J556" s="8" t="s">
        <v>807</v>
      </c>
      <c r="K556" s="69" t="s">
        <v>808</v>
      </c>
      <c r="L556" s="8" t="s">
        <v>871</v>
      </c>
      <c r="M556" s="8" t="s">
        <v>872</v>
      </c>
      <c r="N556" s="8" t="s">
        <v>393</v>
      </c>
      <c r="O556" s="8" t="s">
        <v>11</v>
      </c>
      <c r="P556" s="8" t="s">
        <v>274</v>
      </c>
      <c r="Q556" s="8" t="s">
        <v>275</v>
      </c>
      <c r="R556" s="8" t="s">
        <v>231</v>
      </c>
      <c r="S556" s="8" t="s">
        <v>247</v>
      </c>
      <c r="T556" s="14" t="s">
        <v>1666</v>
      </c>
      <c r="U556" s="8" t="s">
        <v>54</v>
      </c>
      <c r="V556" s="8">
        <v>0</v>
      </c>
      <c r="W556" s="18">
        <v>3.4482758620689655E-2</v>
      </c>
      <c r="X556" s="51">
        <v>45887</v>
      </c>
      <c r="Y556" s="51">
        <v>43867</v>
      </c>
      <c r="Z556" s="28">
        <v>80</v>
      </c>
      <c r="AA556" s="16" t="s">
        <v>1701</v>
      </c>
      <c r="AB556" s="8" t="s">
        <v>307</v>
      </c>
      <c r="AC556" s="8" t="s">
        <v>307</v>
      </c>
      <c r="AD556" s="8" t="s">
        <v>134</v>
      </c>
      <c r="AE556" s="8">
        <v>3102620243</v>
      </c>
      <c r="AF556" s="8" t="s">
        <v>276</v>
      </c>
      <c r="AG556" s="8" t="s">
        <v>295</v>
      </c>
      <c r="AH556" s="51">
        <v>35694</v>
      </c>
      <c r="AI556" s="28">
        <v>29</v>
      </c>
      <c r="AJ556" s="51" t="s">
        <v>1853</v>
      </c>
    </row>
    <row r="557" spans="1:36" ht="12.65" customHeight="1" x14ac:dyDescent="0.35">
      <c r="A557" s="8" t="s">
        <v>139</v>
      </c>
      <c r="B557" s="8" t="s">
        <v>136</v>
      </c>
      <c r="C557" s="8" t="s">
        <v>135</v>
      </c>
      <c r="D557" s="34" t="s">
        <v>1665</v>
      </c>
      <c r="E557" s="14" t="s">
        <v>1666</v>
      </c>
      <c r="F557" s="28" t="s">
        <v>69</v>
      </c>
      <c r="G557" s="28" t="s">
        <v>125</v>
      </c>
      <c r="H557" s="31" t="s">
        <v>9</v>
      </c>
      <c r="I557" s="8" t="s">
        <v>840</v>
      </c>
      <c r="J557" s="8" t="s">
        <v>841</v>
      </c>
      <c r="K557" s="69" t="s">
        <v>842</v>
      </c>
      <c r="L557" s="8" t="s">
        <v>871</v>
      </c>
      <c r="M557" s="8" t="s">
        <v>872</v>
      </c>
      <c r="N557" s="8" t="s">
        <v>393</v>
      </c>
      <c r="O557" s="8" t="s">
        <v>11</v>
      </c>
      <c r="P557" s="8" t="s">
        <v>274</v>
      </c>
      <c r="Q557" s="8" t="s">
        <v>275</v>
      </c>
      <c r="R557" s="8" t="s">
        <v>231</v>
      </c>
      <c r="S557" s="8" t="s">
        <v>247</v>
      </c>
      <c r="T557" s="14" t="s">
        <v>1666</v>
      </c>
      <c r="U557" s="8" t="s">
        <v>54</v>
      </c>
      <c r="V557" s="8">
        <v>0</v>
      </c>
      <c r="W557" s="18">
        <v>3.4482758620689655E-2</v>
      </c>
      <c r="X557" s="51">
        <v>45887</v>
      </c>
      <c r="Y557" s="51">
        <v>43867</v>
      </c>
      <c r="Z557" s="28">
        <v>80</v>
      </c>
      <c r="AA557" s="16" t="s">
        <v>1701</v>
      </c>
      <c r="AB557" s="8" t="s">
        <v>294</v>
      </c>
      <c r="AC557" s="8" t="s">
        <v>294</v>
      </c>
      <c r="AD557" s="8" t="s">
        <v>134</v>
      </c>
      <c r="AE557" s="8">
        <v>3102620243</v>
      </c>
      <c r="AF557" s="8" t="s">
        <v>276</v>
      </c>
      <c r="AG557" s="8" t="s">
        <v>295</v>
      </c>
      <c r="AH557" s="51">
        <v>35694</v>
      </c>
      <c r="AI557" s="28">
        <v>29</v>
      </c>
      <c r="AJ557" s="51" t="s">
        <v>1853</v>
      </c>
    </row>
    <row r="558" spans="1:36" ht="12.65" customHeight="1" x14ac:dyDescent="0.35">
      <c r="A558" s="8" t="s">
        <v>139</v>
      </c>
      <c r="B558" s="8" t="s">
        <v>136</v>
      </c>
      <c r="C558" s="8" t="s">
        <v>135</v>
      </c>
      <c r="D558" s="34" t="s">
        <v>1665</v>
      </c>
      <c r="E558" s="14" t="s">
        <v>1666</v>
      </c>
      <c r="F558" s="28" t="s">
        <v>69</v>
      </c>
      <c r="G558" s="28" t="s">
        <v>125</v>
      </c>
      <c r="H558" s="31" t="s">
        <v>9</v>
      </c>
      <c r="I558" s="8" t="s">
        <v>749</v>
      </c>
      <c r="J558" s="8" t="s">
        <v>750</v>
      </c>
      <c r="K558" s="69" t="s">
        <v>751</v>
      </c>
      <c r="L558" s="8" t="s">
        <v>871</v>
      </c>
      <c r="M558" s="8" t="s">
        <v>872</v>
      </c>
      <c r="N558" s="8" t="s">
        <v>393</v>
      </c>
      <c r="O558" s="8" t="s">
        <v>296</v>
      </c>
      <c r="P558" s="8" t="s">
        <v>274</v>
      </c>
      <c r="Q558" s="8" t="s">
        <v>275</v>
      </c>
      <c r="R558" s="8" t="s">
        <v>231</v>
      </c>
      <c r="S558" s="8" t="s">
        <v>247</v>
      </c>
      <c r="T558" s="14" t="s">
        <v>1666</v>
      </c>
      <c r="U558" s="8" t="s">
        <v>54</v>
      </c>
      <c r="V558" s="8">
        <v>0</v>
      </c>
      <c r="W558" s="18">
        <v>3.4482758620689655E-2</v>
      </c>
      <c r="X558" s="51">
        <v>45887</v>
      </c>
      <c r="Y558" s="51">
        <v>43867</v>
      </c>
      <c r="Z558" s="28">
        <v>80</v>
      </c>
      <c r="AA558" s="16" t="s">
        <v>1701</v>
      </c>
      <c r="AB558" s="8" t="s">
        <v>294</v>
      </c>
      <c r="AC558" s="8" t="s">
        <v>294</v>
      </c>
      <c r="AD558" s="8" t="s">
        <v>134</v>
      </c>
      <c r="AE558" s="8">
        <v>3102620243</v>
      </c>
      <c r="AF558" s="8" t="s">
        <v>276</v>
      </c>
      <c r="AG558" s="8" t="s">
        <v>295</v>
      </c>
      <c r="AH558" s="51">
        <v>35694</v>
      </c>
      <c r="AI558" s="28">
        <v>29</v>
      </c>
      <c r="AJ558" s="51" t="s">
        <v>1853</v>
      </c>
    </row>
    <row r="559" spans="1:36" ht="12.65" customHeight="1" x14ac:dyDescent="0.35">
      <c r="A559" s="8" t="s">
        <v>139</v>
      </c>
      <c r="B559" s="8" t="s">
        <v>136</v>
      </c>
      <c r="C559" s="8" t="s">
        <v>135</v>
      </c>
      <c r="D559" s="34" t="s">
        <v>162</v>
      </c>
      <c r="E559" s="14" t="s">
        <v>163</v>
      </c>
      <c r="F559" s="28" t="s">
        <v>69</v>
      </c>
      <c r="G559" s="28" t="s">
        <v>125</v>
      </c>
      <c r="H559" s="31" t="s">
        <v>9</v>
      </c>
      <c r="I559" s="8" t="s">
        <v>732</v>
      </c>
      <c r="J559" s="8" t="s">
        <v>733</v>
      </c>
      <c r="K559" s="69" t="s">
        <v>734</v>
      </c>
      <c r="L559" s="8" t="s">
        <v>382</v>
      </c>
      <c r="M559" s="8" t="s">
        <v>382</v>
      </c>
      <c r="N559" s="8" t="s">
        <v>306</v>
      </c>
      <c r="O559" s="8" t="s">
        <v>11</v>
      </c>
      <c r="P559" s="8" t="s">
        <v>274</v>
      </c>
      <c r="Q559" s="8" t="s">
        <v>275</v>
      </c>
      <c r="R559" s="8" t="s">
        <v>1628</v>
      </c>
      <c r="S559" s="8" t="s">
        <v>247</v>
      </c>
      <c r="T559" s="8" t="s">
        <v>163</v>
      </c>
      <c r="U559" s="8" t="s">
        <v>192</v>
      </c>
      <c r="V559" s="8">
        <v>1</v>
      </c>
      <c r="W559" s="18">
        <v>5.2631578947368418E-2</v>
      </c>
      <c r="X559" s="51">
        <v>46139</v>
      </c>
      <c r="Y559" s="51">
        <v>46139</v>
      </c>
      <c r="Z559" s="28">
        <v>5</v>
      </c>
      <c r="AA559" s="16" t="s">
        <v>1699</v>
      </c>
      <c r="AB559" s="8" t="s">
        <v>294</v>
      </c>
      <c r="AC559" s="8" t="s">
        <v>294</v>
      </c>
      <c r="AD559" s="8" t="s">
        <v>137</v>
      </c>
      <c r="AE559" s="8">
        <v>3102712507</v>
      </c>
      <c r="AF559" s="8" t="s">
        <v>276</v>
      </c>
      <c r="AG559" s="8" t="s">
        <v>292</v>
      </c>
      <c r="AH559" s="51">
        <v>31979</v>
      </c>
      <c r="AI559" s="28">
        <v>39</v>
      </c>
      <c r="AJ559" s="51" t="s">
        <v>1852</v>
      </c>
    </row>
    <row r="560" spans="1:36" ht="12.65" customHeight="1" x14ac:dyDescent="0.35">
      <c r="A560" s="8" t="s">
        <v>139</v>
      </c>
      <c r="B560" s="8" t="s">
        <v>136</v>
      </c>
      <c r="C560" s="8" t="s">
        <v>135</v>
      </c>
      <c r="D560" s="34" t="s">
        <v>162</v>
      </c>
      <c r="E560" s="14" t="s">
        <v>163</v>
      </c>
      <c r="F560" s="28" t="s">
        <v>69</v>
      </c>
      <c r="G560" s="28" t="s">
        <v>125</v>
      </c>
      <c r="H560" s="31" t="s">
        <v>9</v>
      </c>
      <c r="I560" s="8" t="s">
        <v>758</v>
      </c>
      <c r="J560" s="8" t="s">
        <v>34</v>
      </c>
      <c r="K560" s="69" t="s">
        <v>759</v>
      </c>
      <c r="L560" s="8" t="s">
        <v>382</v>
      </c>
      <c r="M560" s="8" t="s">
        <v>382</v>
      </c>
      <c r="N560" s="8" t="s">
        <v>306</v>
      </c>
      <c r="O560" s="8" t="s">
        <v>11</v>
      </c>
      <c r="P560" s="8" t="s">
        <v>274</v>
      </c>
      <c r="Q560" s="8" t="s">
        <v>275</v>
      </c>
      <c r="R560" s="8" t="s">
        <v>1628</v>
      </c>
      <c r="S560" s="8" t="s">
        <v>247</v>
      </c>
      <c r="T560" s="8" t="s">
        <v>163</v>
      </c>
      <c r="U560" s="8" t="s">
        <v>192</v>
      </c>
      <c r="V560" s="8">
        <v>0</v>
      </c>
      <c r="W560" s="18">
        <v>5.2631578947368418E-2</v>
      </c>
      <c r="X560" s="51">
        <v>46139</v>
      </c>
      <c r="Y560" s="51">
        <v>46139</v>
      </c>
      <c r="Z560" s="28">
        <v>5</v>
      </c>
      <c r="AA560" s="16" t="s">
        <v>1699</v>
      </c>
      <c r="AB560" s="8" t="s">
        <v>291</v>
      </c>
      <c r="AC560" s="8" t="s">
        <v>293</v>
      </c>
      <c r="AD560" s="8" t="s">
        <v>137</v>
      </c>
      <c r="AE560" s="8">
        <v>3102712507</v>
      </c>
      <c r="AF560" s="8" t="s">
        <v>276</v>
      </c>
      <c r="AG560" s="8" t="s">
        <v>292</v>
      </c>
      <c r="AH560" s="51">
        <v>31979</v>
      </c>
      <c r="AI560" s="28">
        <v>39</v>
      </c>
      <c r="AJ560" s="51" t="s">
        <v>1852</v>
      </c>
    </row>
    <row r="561" spans="1:36" ht="12.65" customHeight="1" x14ac:dyDescent="0.35">
      <c r="A561" s="8" t="s">
        <v>139</v>
      </c>
      <c r="B561" s="8" t="s">
        <v>136</v>
      </c>
      <c r="C561" s="8" t="s">
        <v>135</v>
      </c>
      <c r="D561" s="34" t="s">
        <v>162</v>
      </c>
      <c r="E561" s="14" t="s">
        <v>163</v>
      </c>
      <c r="F561" s="28" t="s">
        <v>69</v>
      </c>
      <c r="G561" s="28" t="s">
        <v>125</v>
      </c>
      <c r="H561" s="31" t="s">
        <v>9</v>
      </c>
      <c r="I561" s="8" t="s">
        <v>644</v>
      </c>
      <c r="J561" s="8" t="s">
        <v>645</v>
      </c>
      <c r="K561" s="69" t="s">
        <v>646</v>
      </c>
      <c r="L561" s="8" t="s">
        <v>382</v>
      </c>
      <c r="M561" s="8" t="s">
        <v>382</v>
      </c>
      <c r="N561" s="8" t="s">
        <v>306</v>
      </c>
      <c r="O561" s="8" t="s">
        <v>351</v>
      </c>
      <c r="P561" s="8" t="s">
        <v>274</v>
      </c>
      <c r="Q561" s="8" t="s">
        <v>275</v>
      </c>
      <c r="R561" s="8" t="s">
        <v>1628</v>
      </c>
      <c r="S561" s="8" t="s">
        <v>247</v>
      </c>
      <c r="T561" s="8" t="s">
        <v>163</v>
      </c>
      <c r="U561" s="8" t="s">
        <v>192</v>
      </c>
      <c r="V561" s="8">
        <v>0</v>
      </c>
      <c r="W561" s="18">
        <v>5.2631578947368418E-2</v>
      </c>
      <c r="X561" s="51">
        <v>46139</v>
      </c>
      <c r="Y561" s="51">
        <v>46139</v>
      </c>
      <c r="Z561" s="28">
        <v>5</v>
      </c>
      <c r="AA561" s="16" t="s">
        <v>1699</v>
      </c>
      <c r="AB561" s="8" t="s">
        <v>294</v>
      </c>
      <c r="AC561" s="8" t="s">
        <v>291</v>
      </c>
      <c r="AD561" s="8" t="s">
        <v>137</v>
      </c>
      <c r="AE561" s="8">
        <v>3102712507</v>
      </c>
      <c r="AF561" s="8" t="s">
        <v>276</v>
      </c>
      <c r="AG561" s="8" t="s">
        <v>292</v>
      </c>
      <c r="AH561" s="51">
        <v>31979</v>
      </c>
      <c r="AI561" s="28">
        <v>39</v>
      </c>
      <c r="AJ561" s="51" t="s">
        <v>1852</v>
      </c>
    </row>
    <row r="562" spans="1:36" ht="12.65" customHeight="1" x14ac:dyDescent="0.35">
      <c r="A562" s="8" t="s">
        <v>139</v>
      </c>
      <c r="B562" s="8" t="s">
        <v>136</v>
      </c>
      <c r="C562" s="8" t="s">
        <v>135</v>
      </c>
      <c r="D562" s="33" t="s">
        <v>1096</v>
      </c>
      <c r="E562" s="14" t="s">
        <v>1097</v>
      </c>
      <c r="F562" s="14" t="s">
        <v>57</v>
      </c>
      <c r="G562" s="14" t="s">
        <v>1</v>
      </c>
      <c r="H562" s="31" t="s">
        <v>9</v>
      </c>
      <c r="I562" s="8" t="s">
        <v>753</v>
      </c>
      <c r="J562" s="8" t="s">
        <v>754</v>
      </c>
      <c r="K562" s="69" t="s">
        <v>755</v>
      </c>
      <c r="L562" s="8" t="s">
        <v>382</v>
      </c>
      <c r="M562" s="8" t="s">
        <v>382</v>
      </c>
      <c r="N562" s="8" t="s">
        <v>306</v>
      </c>
      <c r="O562" s="8" t="s">
        <v>11</v>
      </c>
      <c r="P562" s="8" t="s">
        <v>274</v>
      </c>
      <c r="Q562" s="8" t="s">
        <v>275</v>
      </c>
      <c r="R562" s="8" t="s">
        <v>1628</v>
      </c>
      <c r="S562" s="8" t="s">
        <v>247</v>
      </c>
      <c r="T562" s="8" t="s">
        <v>163</v>
      </c>
      <c r="U562" s="8" t="s">
        <v>192</v>
      </c>
      <c r="V562" s="8">
        <v>0</v>
      </c>
      <c r="W562" s="18">
        <v>0.5</v>
      </c>
      <c r="X562" s="51">
        <v>45950</v>
      </c>
      <c r="Y562" s="51">
        <v>45950</v>
      </c>
      <c r="Z562" s="28">
        <v>11</v>
      </c>
      <c r="AA562" s="16" t="s">
        <v>1711</v>
      </c>
      <c r="AB562" s="8" t="s">
        <v>395</v>
      </c>
      <c r="AC562" s="8" t="s">
        <v>395</v>
      </c>
      <c r="AD562" s="19" t="s">
        <v>137</v>
      </c>
      <c r="AE562" s="19">
        <v>3102683817</v>
      </c>
      <c r="AF562" s="19" t="s">
        <v>276</v>
      </c>
      <c r="AG562" s="8" t="s">
        <v>295</v>
      </c>
      <c r="AH562" s="51">
        <v>37984</v>
      </c>
      <c r="AI562" s="28">
        <v>22</v>
      </c>
      <c r="AJ562" s="19" t="s">
        <v>1852</v>
      </c>
    </row>
    <row r="563" spans="1:36" ht="12.65" customHeight="1" x14ac:dyDescent="0.35">
      <c r="A563" s="8" t="s">
        <v>139</v>
      </c>
      <c r="B563" s="8" t="s">
        <v>136</v>
      </c>
      <c r="C563" s="8" t="s">
        <v>135</v>
      </c>
      <c r="D563" s="34" t="s">
        <v>162</v>
      </c>
      <c r="E563" s="14" t="s">
        <v>163</v>
      </c>
      <c r="F563" s="28" t="s">
        <v>69</v>
      </c>
      <c r="G563" s="28" t="s">
        <v>125</v>
      </c>
      <c r="H563" s="31" t="s">
        <v>9</v>
      </c>
      <c r="I563" s="8" t="s">
        <v>855</v>
      </c>
      <c r="J563" s="8" t="s">
        <v>856</v>
      </c>
      <c r="K563" s="69" t="s">
        <v>857</v>
      </c>
      <c r="L563" s="8" t="s">
        <v>382</v>
      </c>
      <c r="M563" s="8" t="s">
        <v>382</v>
      </c>
      <c r="N563" s="8" t="s">
        <v>306</v>
      </c>
      <c r="O563" s="8" t="s">
        <v>11</v>
      </c>
      <c r="P563" s="8" t="s">
        <v>274</v>
      </c>
      <c r="Q563" s="8" t="s">
        <v>275</v>
      </c>
      <c r="R563" s="8" t="s">
        <v>1628</v>
      </c>
      <c r="S563" s="8" t="s">
        <v>247</v>
      </c>
      <c r="T563" s="8" t="s">
        <v>163</v>
      </c>
      <c r="U563" s="8" t="s">
        <v>192</v>
      </c>
      <c r="V563" s="8">
        <v>0</v>
      </c>
      <c r="W563" s="18">
        <v>5.2631578947368418E-2</v>
      </c>
      <c r="X563" s="51">
        <v>46139</v>
      </c>
      <c r="Y563" s="51">
        <v>46139</v>
      </c>
      <c r="Z563" s="28">
        <v>5</v>
      </c>
      <c r="AA563" s="16" t="s">
        <v>1699</v>
      </c>
      <c r="AB563" s="8" t="s">
        <v>293</v>
      </c>
      <c r="AC563" s="8" t="s">
        <v>293</v>
      </c>
      <c r="AD563" s="8" t="s">
        <v>137</v>
      </c>
      <c r="AE563" s="8">
        <v>3102712507</v>
      </c>
      <c r="AF563" s="8" t="s">
        <v>276</v>
      </c>
      <c r="AG563" s="8" t="s">
        <v>295</v>
      </c>
      <c r="AH563" s="51">
        <v>31979</v>
      </c>
      <c r="AI563" s="28">
        <v>39</v>
      </c>
      <c r="AJ563" s="51" t="s">
        <v>1852</v>
      </c>
    </row>
    <row r="564" spans="1:36" ht="12.65" customHeight="1" x14ac:dyDescent="0.35">
      <c r="A564" s="8" t="s">
        <v>139</v>
      </c>
      <c r="B564" s="8" t="s">
        <v>136</v>
      </c>
      <c r="C564" s="8" t="s">
        <v>135</v>
      </c>
      <c r="D564" s="34" t="s">
        <v>162</v>
      </c>
      <c r="E564" s="14" t="s">
        <v>163</v>
      </c>
      <c r="F564" s="28" t="s">
        <v>69</v>
      </c>
      <c r="G564" s="28" t="s">
        <v>125</v>
      </c>
      <c r="H564" s="31" t="s">
        <v>9</v>
      </c>
      <c r="I564" s="8" t="s">
        <v>753</v>
      </c>
      <c r="J564" s="8" t="s">
        <v>754</v>
      </c>
      <c r="K564" s="69" t="s">
        <v>755</v>
      </c>
      <c r="L564" s="8" t="s">
        <v>382</v>
      </c>
      <c r="M564" s="8" t="s">
        <v>382</v>
      </c>
      <c r="N564" s="8" t="s">
        <v>306</v>
      </c>
      <c r="O564" s="8" t="s">
        <v>11</v>
      </c>
      <c r="P564" s="8" t="s">
        <v>274</v>
      </c>
      <c r="Q564" s="8" t="s">
        <v>275</v>
      </c>
      <c r="R564" s="8" t="s">
        <v>1628</v>
      </c>
      <c r="S564" s="8" t="s">
        <v>247</v>
      </c>
      <c r="T564" s="8" t="s">
        <v>163</v>
      </c>
      <c r="U564" s="8" t="s">
        <v>192</v>
      </c>
      <c r="V564" s="8">
        <v>0</v>
      </c>
      <c r="W564" s="18">
        <v>5.2631578947368418E-2</v>
      </c>
      <c r="X564" s="51">
        <v>46139</v>
      </c>
      <c r="Y564" s="51">
        <v>46139</v>
      </c>
      <c r="Z564" s="28">
        <v>5</v>
      </c>
      <c r="AA564" s="16" t="s">
        <v>1699</v>
      </c>
      <c r="AB564" s="8" t="s">
        <v>395</v>
      </c>
      <c r="AC564" s="8" t="s">
        <v>395</v>
      </c>
      <c r="AD564" s="8" t="s">
        <v>137</v>
      </c>
      <c r="AE564" s="8">
        <v>3102712507</v>
      </c>
      <c r="AF564" s="8" t="s">
        <v>276</v>
      </c>
      <c r="AG564" s="8" t="s">
        <v>295</v>
      </c>
      <c r="AH564" s="51">
        <v>31979</v>
      </c>
      <c r="AI564" s="28">
        <v>39</v>
      </c>
      <c r="AJ564" s="51" t="s">
        <v>1852</v>
      </c>
    </row>
    <row r="565" spans="1:36" ht="12.65" customHeight="1" x14ac:dyDescent="0.35">
      <c r="A565" s="8" t="s">
        <v>139</v>
      </c>
      <c r="B565" s="8" t="s">
        <v>136</v>
      </c>
      <c r="C565" s="8" t="s">
        <v>135</v>
      </c>
      <c r="D565" s="34" t="s">
        <v>162</v>
      </c>
      <c r="E565" s="14" t="s">
        <v>163</v>
      </c>
      <c r="F565" s="28" t="s">
        <v>69</v>
      </c>
      <c r="G565" s="28" t="s">
        <v>125</v>
      </c>
      <c r="H565" s="31" t="s">
        <v>9</v>
      </c>
      <c r="I565" s="8" t="s">
        <v>526</v>
      </c>
      <c r="J565" s="8" t="s">
        <v>35</v>
      </c>
      <c r="K565" s="69" t="s">
        <v>527</v>
      </c>
      <c r="L565" s="8" t="s">
        <v>382</v>
      </c>
      <c r="M565" s="8" t="s">
        <v>382</v>
      </c>
      <c r="N565" s="8" t="s">
        <v>306</v>
      </c>
      <c r="O565" s="8" t="s">
        <v>11</v>
      </c>
      <c r="P565" s="8" t="s">
        <v>274</v>
      </c>
      <c r="Q565" s="8" t="s">
        <v>275</v>
      </c>
      <c r="R565" s="8" t="s">
        <v>1628</v>
      </c>
      <c r="S565" s="8" t="s">
        <v>247</v>
      </c>
      <c r="T565" s="8" t="s">
        <v>163</v>
      </c>
      <c r="U565" s="8" t="s">
        <v>192</v>
      </c>
      <c r="V565" s="8">
        <v>0</v>
      </c>
      <c r="W565" s="18">
        <v>5.2631578947368418E-2</v>
      </c>
      <c r="X565" s="51">
        <v>46139</v>
      </c>
      <c r="Y565" s="51">
        <v>46139</v>
      </c>
      <c r="Z565" s="28">
        <v>5</v>
      </c>
      <c r="AA565" s="16" t="s">
        <v>1699</v>
      </c>
      <c r="AB565" s="8" t="s">
        <v>291</v>
      </c>
      <c r="AC565" s="8" t="s">
        <v>293</v>
      </c>
      <c r="AD565" s="8" t="s">
        <v>137</v>
      </c>
      <c r="AE565" s="8">
        <v>3102712507</v>
      </c>
      <c r="AF565" s="8" t="s">
        <v>276</v>
      </c>
      <c r="AG565" s="8" t="s">
        <v>292</v>
      </c>
      <c r="AH565" s="51">
        <v>31979</v>
      </c>
      <c r="AI565" s="28">
        <v>39</v>
      </c>
      <c r="AJ565" s="51" t="s">
        <v>1852</v>
      </c>
    </row>
    <row r="566" spans="1:36" ht="12.65" customHeight="1" x14ac:dyDescent="0.35">
      <c r="A566" s="8" t="s">
        <v>139</v>
      </c>
      <c r="B566" s="8" t="s">
        <v>136</v>
      </c>
      <c r="C566" s="8" t="s">
        <v>135</v>
      </c>
      <c r="D566" s="34" t="s">
        <v>162</v>
      </c>
      <c r="E566" s="14" t="s">
        <v>163</v>
      </c>
      <c r="F566" s="28" t="s">
        <v>69</v>
      </c>
      <c r="G566" s="28" t="s">
        <v>125</v>
      </c>
      <c r="H566" s="31" t="s">
        <v>9</v>
      </c>
      <c r="I566" s="8" t="s">
        <v>770</v>
      </c>
      <c r="J566" s="8" t="s">
        <v>33</v>
      </c>
      <c r="K566" s="69" t="s">
        <v>771</v>
      </c>
      <c r="L566" s="8" t="s">
        <v>382</v>
      </c>
      <c r="M566" s="8" t="s">
        <v>382</v>
      </c>
      <c r="N566" s="8" t="s">
        <v>306</v>
      </c>
      <c r="O566" s="8" t="s">
        <v>11</v>
      </c>
      <c r="P566" s="8" t="s">
        <v>274</v>
      </c>
      <c r="Q566" s="8" t="s">
        <v>275</v>
      </c>
      <c r="R566" s="8" t="s">
        <v>1628</v>
      </c>
      <c r="S566" s="8" t="s">
        <v>247</v>
      </c>
      <c r="T566" s="8" t="s">
        <v>163</v>
      </c>
      <c r="U566" s="8" t="s">
        <v>192</v>
      </c>
      <c r="V566" s="8">
        <v>0</v>
      </c>
      <c r="W566" s="18">
        <v>5.2631578947368418E-2</v>
      </c>
      <c r="X566" s="51">
        <v>46139</v>
      </c>
      <c r="Y566" s="51">
        <v>46139</v>
      </c>
      <c r="Z566" s="28">
        <v>5</v>
      </c>
      <c r="AA566" s="16" t="s">
        <v>1699</v>
      </c>
      <c r="AB566" s="8" t="s">
        <v>293</v>
      </c>
      <c r="AC566" s="8" t="s">
        <v>293</v>
      </c>
      <c r="AD566" s="8" t="s">
        <v>137</v>
      </c>
      <c r="AE566" s="8">
        <v>3102712507</v>
      </c>
      <c r="AF566" s="8" t="s">
        <v>276</v>
      </c>
      <c r="AG566" s="8" t="s">
        <v>292</v>
      </c>
      <c r="AH566" s="51">
        <v>31979</v>
      </c>
      <c r="AI566" s="28">
        <v>39</v>
      </c>
      <c r="AJ566" s="51" t="s">
        <v>1852</v>
      </c>
    </row>
    <row r="567" spans="1:36" ht="12.65" customHeight="1" x14ac:dyDescent="0.35">
      <c r="A567" s="8" t="s">
        <v>139</v>
      </c>
      <c r="B567" s="8" t="s">
        <v>136</v>
      </c>
      <c r="C567" s="8" t="s">
        <v>135</v>
      </c>
      <c r="D567" s="34" t="s">
        <v>1665</v>
      </c>
      <c r="E567" s="14" t="s">
        <v>1666</v>
      </c>
      <c r="F567" s="28" t="s">
        <v>69</v>
      </c>
      <c r="G567" s="28" t="s">
        <v>125</v>
      </c>
      <c r="H567" s="31" t="s">
        <v>9</v>
      </c>
      <c r="I567" s="8" t="s">
        <v>1262</v>
      </c>
      <c r="J567" s="8" t="s">
        <v>1263</v>
      </c>
      <c r="K567" s="69" t="s">
        <v>1264</v>
      </c>
      <c r="L567" s="8" t="s">
        <v>871</v>
      </c>
      <c r="M567" s="8" t="s">
        <v>872</v>
      </c>
      <c r="N567" s="8" t="s">
        <v>393</v>
      </c>
      <c r="O567" s="8" t="s">
        <v>11</v>
      </c>
      <c r="P567" s="8" t="s">
        <v>274</v>
      </c>
      <c r="Q567" s="8" t="s">
        <v>275</v>
      </c>
      <c r="R567" s="8" t="s">
        <v>231</v>
      </c>
      <c r="S567" s="8" t="s">
        <v>247</v>
      </c>
      <c r="T567" s="14" t="s">
        <v>1666</v>
      </c>
      <c r="U567" s="8" t="s">
        <v>54</v>
      </c>
      <c r="V567" s="8">
        <v>0</v>
      </c>
      <c r="W567" s="18">
        <v>3.4482758620689655E-2</v>
      </c>
      <c r="X567" s="51">
        <v>45887</v>
      </c>
      <c r="Y567" s="51">
        <v>43867</v>
      </c>
      <c r="Z567" s="28">
        <v>80</v>
      </c>
      <c r="AA567" s="16" t="s">
        <v>1701</v>
      </c>
      <c r="AB567" s="8" t="s">
        <v>307</v>
      </c>
      <c r="AC567" s="8" t="s">
        <v>307</v>
      </c>
      <c r="AD567" s="8" t="s">
        <v>134</v>
      </c>
      <c r="AE567" s="8">
        <v>3102620243</v>
      </c>
      <c r="AF567" s="8" t="s">
        <v>276</v>
      </c>
      <c r="AG567" s="8" t="s">
        <v>295</v>
      </c>
      <c r="AH567" s="51">
        <v>35694</v>
      </c>
      <c r="AI567" s="28">
        <v>29</v>
      </c>
      <c r="AJ567" s="51" t="s">
        <v>1853</v>
      </c>
    </row>
    <row r="568" spans="1:36" ht="12.65" customHeight="1" x14ac:dyDescent="0.35">
      <c r="A568" s="8" t="s">
        <v>139</v>
      </c>
      <c r="B568" s="8" t="s">
        <v>136</v>
      </c>
      <c r="C568" s="8" t="s">
        <v>135</v>
      </c>
      <c r="D568" s="34" t="s">
        <v>1665</v>
      </c>
      <c r="E568" s="14" t="s">
        <v>1666</v>
      </c>
      <c r="F568" s="28" t="s">
        <v>69</v>
      </c>
      <c r="G568" s="28" t="s">
        <v>125</v>
      </c>
      <c r="H568" s="31" t="s">
        <v>9</v>
      </c>
      <c r="I568" s="8" t="s">
        <v>1144</v>
      </c>
      <c r="J568" s="8" t="s">
        <v>1145</v>
      </c>
      <c r="K568" s="69" t="s">
        <v>1146</v>
      </c>
      <c r="L568" s="8" t="s">
        <v>871</v>
      </c>
      <c r="M568" s="8" t="s">
        <v>872</v>
      </c>
      <c r="N568" s="8" t="s">
        <v>393</v>
      </c>
      <c r="O568" s="8" t="s">
        <v>11</v>
      </c>
      <c r="P568" s="8" t="s">
        <v>274</v>
      </c>
      <c r="Q568" s="8" t="s">
        <v>275</v>
      </c>
      <c r="R568" s="8" t="s">
        <v>231</v>
      </c>
      <c r="S568" s="8" t="s">
        <v>247</v>
      </c>
      <c r="T568" s="14" t="s">
        <v>1666</v>
      </c>
      <c r="U568" s="8" t="s">
        <v>54</v>
      </c>
      <c r="V568" s="8">
        <v>0</v>
      </c>
      <c r="W568" s="18">
        <v>3.4482758620689655E-2</v>
      </c>
      <c r="X568" s="51">
        <v>45887</v>
      </c>
      <c r="Y568" s="51">
        <v>43867</v>
      </c>
      <c r="Z568" s="28">
        <v>80</v>
      </c>
      <c r="AA568" s="16" t="s">
        <v>1701</v>
      </c>
      <c r="AB568" s="8" t="s">
        <v>307</v>
      </c>
      <c r="AC568" s="8" t="s">
        <v>307</v>
      </c>
      <c r="AD568" s="8" t="s">
        <v>134</v>
      </c>
      <c r="AE568" s="8">
        <v>3102620243</v>
      </c>
      <c r="AF568" s="8" t="s">
        <v>276</v>
      </c>
      <c r="AG568" s="8" t="s">
        <v>295</v>
      </c>
      <c r="AH568" s="51">
        <v>35694</v>
      </c>
      <c r="AI568" s="28">
        <v>29</v>
      </c>
      <c r="AJ568" s="51" t="s">
        <v>1853</v>
      </c>
    </row>
    <row r="569" spans="1:36" ht="12.65" customHeight="1" x14ac:dyDescent="0.35">
      <c r="A569" s="8" t="s">
        <v>139</v>
      </c>
      <c r="B569" s="8" t="s">
        <v>136</v>
      </c>
      <c r="C569" s="8" t="s">
        <v>135</v>
      </c>
      <c r="D569" s="34" t="s">
        <v>1665</v>
      </c>
      <c r="E569" s="14" t="s">
        <v>1666</v>
      </c>
      <c r="F569" s="28" t="s">
        <v>69</v>
      </c>
      <c r="G569" s="28" t="s">
        <v>125</v>
      </c>
      <c r="H569" s="31" t="s">
        <v>9</v>
      </c>
      <c r="I569" s="8" t="s">
        <v>1252</v>
      </c>
      <c r="J569" s="8" t="s">
        <v>1253</v>
      </c>
      <c r="K569" s="69" t="s">
        <v>1254</v>
      </c>
      <c r="L569" s="8" t="s">
        <v>871</v>
      </c>
      <c r="M569" s="8" t="s">
        <v>872</v>
      </c>
      <c r="N569" s="8" t="s">
        <v>393</v>
      </c>
      <c r="O569" s="8" t="s">
        <v>11</v>
      </c>
      <c r="P569" s="8" t="s">
        <v>274</v>
      </c>
      <c r="Q569" s="8" t="s">
        <v>275</v>
      </c>
      <c r="R569" s="8" t="s">
        <v>231</v>
      </c>
      <c r="S569" s="8" t="s">
        <v>247</v>
      </c>
      <c r="T569" s="14" t="s">
        <v>1666</v>
      </c>
      <c r="U569" s="8" t="s">
        <v>54</v>
      </c>
      <c r="V569" s="8">
        <v>0</v>
      </c>
      <c r="W569" s="18">
        <v>3.4482758620689655E-2</v>
      </c>
      <c r="X569" s="51">
        <v>45887</v>
      </c>
      <c r="Y569" s="51">
        <v>43867</v>
      </c>
      <c r="Z569" s="28">
        <v>80</v>
      </c>
      <c r="AA569" s="16" t="s">
        <v>1701</v>
      </c>
      <c r="AB569" s="8" t="s">
        <v>307</v>
      </c>
      <c r="AC569" s="8" t="s">
        <v>307</v>
      </c>
      <c r="AD569" s="8" t="s">
        <v>134</v>
      </c>
      <c r="AE569" s="8">
        <v>3102620243</v>
      </c>
      <c r="AF569" s="8" t="s">
        <v>276</v>
      </c>
      <c r="AG569" s="8" t="s">
        <v>295</v>
      </c>
      <c r="AH569" s="51">
        <v>35694</v>
      </c>
      <c r="AI569" s="28">
        <v>29</v>
      </c>
      <c r="AJ569" s="51" t="s">
        <v>1853</v>
      </c>
    </row>
    <row r="570" spans="1:36" ht="12.65" customHeight="1" x14ac:dyDescent="0.35">
      <c r="A570" s="8" t="s">
        <v>139</v>
      </c>
      <c r="B570" s="8" t="s">
        <v>136</v>
      </c>
      <c r="C570" s="8" t="s">
        <v>135</v>
      </c>
      <c r="D570" s="34" t="s">
        <v>1665</v>
      </c>
      <c r="E570" s="14" t="s">
        <v>1666</v>
      </c>
      <c r="F570" s="28" t="s">
        <v>69</v>
      </c>
      <c r="G570" s="28" t="s">
        <v>125</v>
      </c>
      <c r="H570" s="31" t="s">
        <v>9</v>
      </c>
      <c r="I570" s="8" t="s">
        <v>1326</v>
      </c>
      <c r="J570" s="8" t="s">
        <v>1327</v>
      </c>
      <c r="K570" s="69" t="s">
        <v>1328</v>
      </c>
      <c r="L570" s="8" t="s">
        <v>871</v>
      </c>
      <c r="M570" s="8" t="s">
        <v>872</v>
      </c>
      <c r="N570" s="8" t="s">
        <v>393</v>
      </c>
      <c r="O570" s="8" t="s">
        <v>11</v>
      </c>
      <c r="P570" s="8" t="s">
        <v>274</v>
      </c>
      <c r="Q570" s="8" t="s">
        <v>275</v>
      </c>
      <c r="R570" s="8" t="s">
        <v>231</v>
      </c>
      <c r="S570" s="8" t="s">
        <v>247</v>
      </c>
      <c r="T570" s="14" t="s">
        <v>1666</v>
      </c>
      <c r="U570" s="8" t="s">
        <v>54</v>
      </c>
      <c r="V570" s="8">
        <v>0</v>
      </c>
      <c r="W570" s="18">
        <v>3.4482758620689655E-2</v>
      </c>
      <c r="X570" s="51">
        <v>45887</v>
      </c>
      <c r="Y570" s="51">
        <v>43867</v>
      </c>
      <c r="Z570" s="28">
        <v>80</v>
      </c>
      <c r="AA570" s="16" t="s">
        <v>1701</v>
      </c>
      <c r="AB570" s="8" t="s">
        <v>294</v>
      </c>
      <c r="AC570" s="8" t="s">
        <v>294</v>
      </c>
      <c r="AD570" s="8" t="s">
        <v>134</v>
      </c>
      <c r="AE570" s="8">
        <v>3102620243</v>
      </c>
      <c r="AF570" s="8" t="s">
        <v>276</v>
      </c>
      <c r="AG570" s="8" t="s">
        <v>295</v>
      </c>
      <c r="AH570" s="51">
        <v>35694</v>
      </c>
      <c r="AI570" s="28">
        <v>29</v>
      </c>
      <c r="AJ570" s="51" t="s">
        <v>1853</v>
      </c>
    </row>
    <row r="571" spans="1:36" ht="12.65" customHeight="1" x14ac:dyDescent="0.35">
      <c r="A571" s="8" t="s">
        <v>139</v>
      </c>
      <c r="B571" s="8" t="s">
        <v>136</v>
      </c>
      <c r="C571" s="8" t="s">
        <v>135</v>
      </c>
      <c r="D571" s="34" t="s">
        <v>162</v>
      </c>
      <c r="E571" s="14" t="s">
        <v>163</v>
      </c>
      <c r="F571" s="28" t="s">
        <v>69</v>
      </c>
      <c r="G571" s="28" t="s">
        <v>125</v>
      </c>
      <c r="H571" s="31" t="s">
        <v>9</v>
      </c>
      <c r="I571" s="8" t="s">
        <v>487</v>
      </c>
      <c r="J571" s="8" t="s">
        <v>488</v>
      </c>
      <c r="K571" s="69" t="s">
        <v>489</v>
      </c>
      <c r="L571" s="8" t="s">
        <v>471</v>
      </c>
      <c r="M571" s="8" t="s">
        <v>490</v>
      </c>
      <c r="N571" s="8" t="s">
        <v>393</v>
      </c>
      <c r="O571" s="8" t="s">
        <v>11</v>
      </c>
      <c r="P571" s="8" t="s">
        <v>274</v>
      </c>
      <c r="Q571" s="8" t="s">
        <v>275</v>
      </c>
      <c r="R571" s="8" t="s">
        <v>1628</v>
      </c>
      <c r="S571" s="8" t="s">
        <v>247</v>
      </c>
      <c r="T571" s="8" t="s">
        <v>163</v>
      </c>
      <c r="U571" s="8" t="s">
        <v>183</v>
      </c>
      <c r="V571" s="8">
        <v>0</v>
      </c>
      <c r="W571" s="18">
        <v>5.2631578947368418E-2</v>
      </c>
      <c r="X571" s="51">
        <v>46139</v>
      </c>
      <c r="Y571" s="51">
        <v>46139</v>
      </c>
      <c r="Z571" s="28">
        <v>5</v>
      </c>
      <c r="AA571" s="16" t="s">
        <v>1699</v>
      </c>
      <c r="AB571" s="8" t="s">
        <v>307</v>
      </c>
      <c r="AC571" s="8" t="s">
        <v>307</v>
      </c>
      <c r="AD571" s="8" t="s">
        <v>137</v>
      </c>
      <c r="AE571" s="8">
        <v>3102712507</v>
      </c>
      <c r="AF571" s="8" t="s">
        <v>276</v>
      </c>
      <c r="AG571" s="8" t="s">
        <v>295</v>
      </c>
      <c r="AH571" s="51">
        <v>31979</v>
      </c>
      <c r="AI571" s="28">
        <v>39</v>
      </c>
      <c r="AJ571" s="51" t="s">
        <v>1852</v>
      </c>
    </row>
    <row r="572" spans="1:36" ht="12.65" customHeight="1" x14ac:dyDescent="0.35">
      <c r="A572" s="8" t="s">
        <v>139</v>
      </c>
      <c r="B572" s="8" t="s">
        <v>136</v>
      </c>
      <c r="C572" s="8" t="s">
        <v>135</v>
      </c>
      <c r="D572" s="34" t="s">
        <v>162</v>
      </c>
      <c r="E572" s="14" t="s">
        <v>163</v>
      </c>
      <c r="F572" s="28" t="s">
        <v>69</v>
      </c>
      <c r="G572" s="28" t="s">
        <v>125</v>
      </c>
      <c r="H572" s="31" t="s">
        <v>9</v>
      </c>
      <c r="I572" s="8" t="s">
        <v>702</v>
      </c>
      <c r="J572" s="8" t="s">
        <v>703</v>
      </c>
      <c r="K572" s="69" t="s">
        <v>704</v>
      </c>
      <c r="L572" s="8" t="s">
        <v>471</v>
      </c>
      <c r="M572" s="8" t="s">
        <v>490</v>
      </c>
      <c r="N572" s="8" t="s">
        <v>393</v>
      </c>
      <c r="O572" s="8" t="s">
        <v>11</v>
      </c>
      <c r="P572" s="8" t="s">
        <v>274</v>
      </c>
      <c r="Q572" s="8" t="s">
        <v>275</v>
      </c>
      <c r="R572" s="8" t="s">
        <v>1628</v>
      </c>
      <c r="S572" s="8" t="s">
        <v>247</v>
      </c>
      <c r="T572" s="8" t="s">
        <v>163</v>
      </c>
      <c r="U572" s="8" t="s">
        <v>183</v>
      </c>
      <c r="V572" s="8">
        <v>0</v>
      </c>
      <c r="W572" s="18">
        <v>5.2631578947368418E-2</v>
      </c>
      <c r="X572" s="51">
        <v>46139</v>
      </c>
      <c r="Y572" s="51">
        <v>46139</v>
      </c>
      <c r="Z572" s="28">
        <v>5</v>
      </c>
      <c r="AA572" s="16" t="s">
        <v>1699</v>
      </c>
      <c r="AB572" s="8" t="s">
        <v>307</v>
      </c>
      <c r="AC572" s="8" t="s">
        <v>307</v>
      </c>
      <c r="AD572" s="8" t="s">
        <v>137</v>
      </c>
      <c r="AE572" s="8">
        <v>3102712507</v>
      </c>
      <c r="AF572" s="8" t="s">
        <v>276</v>
      </c>
      <c r="AG572" s="8" t="s">
        <v>295</v>
      </c>
      <c r="AH572" s="51">
        <v>31979</v>
      </c>
      <c r="AI572" s="28">
        <v>39</v>
      </c>
      <c r="AJ572" s="51" t="s">
        <v>1852</v>
      </c>
    </row>
    <row r="573" spans="1:36" ht="12.65" customHeight="1" x14ac:dyDescent="0.35">
      <c r="A573" s="8" t="s">
        <v>139</v>
      </c>
      <c r="B573" s="8" t="s">
        <v>136</v>
      </c>
      <c r="C573" s="8" t="s">
        <v>135</v>
      </c>
      <c r="D573" s="34" t="s">
        <v>162</v>
      </c>
      <c r="E573" s="14" t="s">
        <v>163</v>
      </c>
      <c r="F573" s="28" t="s">
        <v>69</v>
      </c>
      <c r="G573" s="28" t="s">
        <v>125</v>
      </c>
      <c r="H573" s="31" t="s">
        <v>9</v>
      </c>
      <c r="I573" s="8" t="s">
        <v>491</v>
      </c>
      <c r="J573" s="8" t="s">
        <v>492</v>
      </c>
      <c r="K573" s="69" t="s">
        <v>493</v>
      </c>
      <c r="L573" s="8" t="s">
        <v>471</v>
      </c>
      <c r="M573" s="8" t="s">
        <v>490</v>
      </c>
      <c r="N573" s="8" t="s">
        <v>393</v>
      </c>
      <c r="O573" s="8" t="s">
        <v>11</v>
      </c>
      <c r="P573" s="8" t="s">
        <v>274</v>
      </c>
      <c r="Q573" s="8" t="s">
        <v>275</v>
      </c>
      <c r="R573" s="8" t="s">
        <v>1628</v>
      </c>
      <c r="S573" s="8" t="s">
        <v>247</v>
      </c>
      <c r="T573" s="8" t="s">
        <v>163</v>
      </c>
      <c r="U573" s="8" t="s">
        <v>183</v>
      </c>
      <c r="V573" s="8">
        <v>0</v>
      </c>
      <c r="W573" s="18">
        <v>5.2631578947368418E-2</v>
      </c>
      <c r="X573" s="51">
        <v>46139</v>
      </c>
      <c r="Y573" s="51">
        <v>46139</v>
      </c>
      <c r="Z573" s="28">
        <v>5</v>
      </c>
      <c r="AA573" s="16" t="s">
        <v>1699</v>
      </c>
      <c r="AB573" s="8" t="s">
        <v>307</v>
      </c>
      <c r="AC573" s="8" t="s">
        <v>307</v>
      </c>
      <c r="AD573" s="8" t="s">
        <v>137</v>
      </c>
      <c r="AE573" s="8">
        <v>3102712507</v>
      </c>
      <c r="AF573" s="8" t="s">
        <v>276</v>
      </c>
      <c r="AG573" s="8" t="s">
        <v>295</v>
      </c>
      <c r="AH573" s="51">
        <v>31979</v>
      </c>
      <c r="AI573" s="28">
        <v>39</v>
      </c>
      <c r="AJ573" s="51" t="s">
        <v>1852</v>
      </c>
    </row>
    <row r="574" spans="1:36" ht="12.65" customHeight="1" x14ac:dyDescent="0.35">
      <c r="A574" s="8" t="s">
        <v>139</v>
      </c>
      <c r="B574" s="8" t="s">
        <v>136</v>
      </c>
      <c r="C574" s="8" t="s">
        <v>135</v>
      </c>
      <c r="D574" s="34" t="s">
        <v>162</v>
      </c>
      <c r="E574" s="14" t="s">
        <v>163</v>
      </c>
      <c r="F574" s="28" t="s">
        <v>69</v>
      </c>
      <c r="G574" s="28" t="s">
        <v>125</v>
      </c>
      <c r="H574" s="31" t="s">
        <v>9</v>
      </c>
      <c r="I574" s="8" t="s">
        <v>705</v>
      </c>
      <c r="J574" s="8" t="s">
        <v>706</v>
      </c>
      <c r="K574" s="69" t="s">
        <v>707</v>
      </c>
      <c r="L574" s="8" t="s">
        <v>471</v>
      </c>
      <c r="M574" s="8" t="s">
        <v>490</v>
      </c>
      <c r="N574" s="8" t="s">
        <v>393</v>
      </c>
      <c r="O574" s="8" t="s">
        <v>11</v>
      </c>
      <c r="P574" s="8" t="s">
        <v>274</v>
      </c>
      <c r="Q574" s="8" t="s">
        <v>275</v>
      </c>
      <c r="R574" s="8" t="s">
        <v>1628</v>
      </c>
      <c r="S574" s="8" t="s">
        <v>247</v>
      </c>
      <c r="T574" s="8" t="s">
        <v>163</v>
      </c>
      <c r="U574" s="8" t="s">
        <v>183</v>
      </c>
      <c r="V574" s="8">
        <v>0</v>
      </c>
      <c r="W574" s="18">
        <v>5.2631578947368418E-2</v>
      </c>
      <c r="X574" s="51">
        <v>46139</v>
      </c>
      <c r="Y574" s="51">
        <v>46139</v>
      </c>
      <c r="Z574" s="28">
        <v>5</v>
      </c>
      <c r="AA574" s="16" t="s">
        <v>1699</v>
      </c>
      <c r="AB574" s="8" t="s">
        <v>307</v>
      </c>
      <c r="AC574" s="8" t="s">
        <v>307</v>
      </c>
      <c r="AD574" s="8" t="s">
        <v>137</v>
      </c>
      <c r="AE574" s="8">
        <v>3102712507</v>
      </c>
      <c r="AF574" s="8" t="s">
        <v>276</v>
      </c>
      <c r="AG574" s="8" t="s">
        <v>295</v>
      </c>
      <c r="AH574" s="51">
        <v>31979</v>
      </c>
      <c r="AI574" s="28">
        <v>39</v>
      </c>
      <c r="AJ574" s="51" t="s">
        <v>1852</v>
      </c>
    </row>
    <row r="575" spans="1:36" ht="12.65" customHeight="1" x14ac:dyDescent="0.35">
      <c r="A575" s="8" t="s">
        <v>139</v>
      </c>
      <c r="B575" s="8" t="s">
        <v>136</v>
      </c>
      <c r="C575" s="8" t="s">
        <v>135</v>
      </c>
      <c r="D575" s="34" t="s">
        <v>254</v>
      </c>
      <c r="E575" s="14" t="s">
        <v>255</v>
      </c>
      <c r="F575" s="28" t="s">
        <v>69</v>
      </c>
      <c r="G575" s="28" t="s">
        <v>125</v>
      </c>
      <c r="H575" s="31" t="s">
        <v>9</v>
      </c>
      <c r="I575" s="34" t="s">
        <v>1740</v>
      </c>
      <c r="J575" s="8" t="s">
        <v>1741</v>
      </c>
      <c r="K575" s="69" t="s">
        <v>1742</v>
      </c>
      <c r="L575" s="8" t="s">
        <v>410</v>
      </c>
      <c r="M575" s="8" t="s">
        <v>410</v>
      </c>
      <c r="N575" s="8" t="s">
        <v>306</v>
      </c>
      <c r="O575" s="8" t="s">
        <v>1546</v>
      </c>
      <c r="P575" s="8" t="s">
        <v>274</v>
      </c>
      <c r="Q575" s="8" t="s">
        <v>275</v>
      </c>
      <c r="R575" s="8" t="s">
        <v>231</v>
      </c>
      <c r="S575" s="8" t="s">
        <v>247</v>
      </c>
      <c r="T575" s="8" t="s">
        <v>255</v>
      </c>
      <c r="U575" s="8" t="s">
        <v>54</v>
      </c>
      <c r="V575" s="8">
        <v>1</v>
      </c>
      <c r="W575" s="18">
        <v>0.1</v>
      </c>
      <c r="X575" s="51">
        <v>45712</v>
      </c>
      <c r="Y575" s="51">
        <v>45712</v>
      </c>
      <c r="Z575" s="28">
        <v>19</v>
      </c>
      <c r="AA575" s="16" t="s">
        <v>1700</v>
      </c>
      <c r="AB575" s="8" t="s">
        <v>294</v>
      </c>
      <c r="AC575" s="8" t="s">
        <v>395</v>
      </c>
      <c r="AD575" s="8" t="s">
        <v>137</v>
      </c>
      <c r="AE575" s="8">
        <v>3102716176</v>
      </c>
      <c r="AF575" s="8" t="s">
        <v>276</v>
      </c>
      <c r="AG575" s="8" t="s">
        <v>295</v>
      </c>
      <c r="AH575" s="51">
        <v>32473</v>
      </c>
      <c r="AI575" s="28">
        <v>37</v>
      </c>
      <c r="AJ575" s="51" t="s">
        <v>1852</v>
      </c>
    </row>
    <row r="576" spans="1:36" ht="12.65" customHeight="1" x14ac:dyDescent="0.35">
      <c r="A576" s="8" t="s">
        <v>139</v>
      </c>
      <c r="B576" s="8" t="s">
        <v>136</v>
      </c>
      <c r="C576" s="8" t="s">
        <v>135</v>
      </c>
      <c r="D576" s="34" t="s">
        <v>254</v>
      </c>
      <c r="E576" s="14" t="s">
        <v>255</v>
      </c>
      <c r="F576" s="28" t="s">
        <v>69</v>
      </c>
      <c r="G576" s="28" t="s">
        <v>125</v>
      </c>
      <c r="H576" s="31" t="s">
        <v>9</v>
      </c>
      <c r="I576" s="8" t="s">
        <v>607</v>
      </c>
      <c r="J576" s="8" t="s">
        <v>990</v>
      </c>
      <c r="K576" s="69" t="s">
        <v>608</v>
      </c>
      <c r="L576" s="8" t="s">
        <v>410</v>
      </c>
      <c r="M576" s="8" t="s">
        <v>410</v>
      </c>
      <c r="N576" s="8" t="s">
        <v>306</v>
      </c>
      <c r="O576" s="8" t="s">
        <v>11</v>
      </c>
      <c r="P576" s="8" t="s">
        <v>274</v>
      </c>
      <c r="Q576" s="8" t="s">
        <v>275</v>
      </c>
      <c r="R576" s="8" t="s">
        <v>231</v>
      </c>
      <c r="S576" s="8" t="s">
        <v>247</v>
      </c>
      <c r="T576" s="8" t="s">
        <v>255</v>
      </c>
      <c r="U576" s="8" t="s">
        <v>54</v>
      </c>
      <c r="V576" s="8">
        <v>0</v>
      </c>
      <c r="W576" s="18">
        <v>0.1</v>
      </c>
      <c r="X576" s="51">
        <v>45712</v>
      </c>
      <c r="Y576" s="51">
        <v>45712</v>
      </c>
      <c r="Z576" s="28">
        <v>19</v>
      </c>
      <c r="AA576" s="16" t="s">
        <v>1700</v>
      </c>
      <c r="AB576" s="8" t="s">
        <v>291</v>
      </c>
      <c r="AC576" s="8" t="s">
        <v>395</v>
      </c>
      <c r="AD576" s="8" t="s">
        <v>137</v>
      </c>
      <c r="AE576" s="8">
        <v>3102716176</v>
      </c>
      <c r="AF576" s="8" t="s">
        <v>276</v>
      </c>
      <c r="AG576" s="8" t="s">
        <v>292</v>
      </c>
      <c r="AH576" s="51">
        <v>32473</v>
      </c>
      <c r="AI576" s="28">
        <v>37</v>
      </c>
      <c r="AJ576" s="51" t="s">
        <v>1852</v>
      </c>
    </row>
    <row r="577" spans="1:36" ht="12.65" customHeight="1" x14ac:dyDescent="0.35">
      <c r="A577" s="8" t="s">
        <v>139</v>
      </c>
      <c r="B577" s="8" t="s">
        <v>136</v>
      </c>
      <c r="C577" s="8" t="s">
        <v>135</v>
      </c>
      <c r="D577" s="34" t="s">
        <v>254</v>
      </c>
      <c r="E577" s="14" t="s">
        <v>255</v>
      </c>
      <c r="F577" s="28" t="s">
        <v>69</v>
      </c>
      <c r="G577" s="28" t="s">
        <v>125</v>
      </c>
      <c r="H577" s="31" t="s">
        <v>9</v>
      </c>
      <c r="I577" s="8" t="s">
        <v>785</v>
      </c>
      <c r="J577" s="8" t="s">
        <v>906</v>
      </c>
      <c r="K577" s="69" t="s">
        <v>786</v>
      </c>
      <c r="L577" s="8" t="s">
        <v>410</v>
      </c>
      <c r="M577" s="8" t="s">
        <v>410</v>
      </c>
      <c r="N577" s="8" t="s">
        <v>306</v>
      </c>
      <c r="O577" s="8" t="s">
        <v>11</v>
      </c>
      <c r="P577" s="8" t="s">
        <v>274</v>
      </c>
      <c r="Q577" s="8" t="s">
        <v>275</v>
      </c>
      <c r="R577" s="8" t="s">
        <v>231</v>
      </c>
      <c r="S577" s="8" t="s">
        <v>247</v>
      </c>
      <c r="T577" s="8" t="s">
        <v>255</v>
      </c>
      <c r="U577" s="8" t="s">
        <v>54</v>
      </c>
      <c r="V577" s="8">
        <v>0</v>
      </c>
      <c r="W577" s="18">
        <v>0.1</v>
      </c>
      <c r="X577" s="51">
        <v>45712</v>
      </c>
      <c r="Y577" s="51">
        <v>45712</v>
      </c>
      <c r="Z577" s="28">
        <v>19</v>
      </c>
      <c r="AA577" s="16" t="s">
        <v>1700</v>
      </c>
      <c r="AB577" s="8" t="s">
        <v>294</v>
      </c>
      <c r="AC577" s="8" t="s">
        <v>294</v>
      </c>
      <c r="AD577" s="8" t="s">
        <v>137</v>
      </c>
      <c r="AE577" s="8">
        <v>3102716176</v>
      </c>
      <c r="AF577" s="8" t="s">
        <v>276</v>
      </c>
      <c r="AG577" s="8" t="s">
        <v>292</v>
      </c>
      <c r="AH577" s="51">
        <v>32473</v>
      </c>
      <c r="AI577" s="28">
        <v>37</v>
      </c>
      <c r="AJ577" s="51" t="s">
        <v>1852</v>
      </c>
    </row>
    <row r="578" spans="1:36" ht="12.65" customHeight="1" x14ac:dyDescent="0.35">
      <c r="A578" s="8" t="s">
        <v>139</v>
      </c>
      <c r="B578" s="8" t="s">
        <v>136</v>
      </c>
      <c r="C578" s="8" t="s">
        <v>135</v>
      </c>
      <c r="D578" s="34" t="s">
        <v>254</v>
      </c>
      <c r="E578" s="14" t="s">
        <v>255</v>
      </c>
      <c r="F578" s="28" t="s">
        <v>69</v>
      </c>
      <c r="G578" s="28" t="s">
        <v>125</v>
      </c>
      <c r="H578" s="31" t="s">
        <v>9</v>
      </c>
      <c r="I578" s="8" t="s">
        <v>787</v>
      </c>
      <c r="J578" s="8" t="s">
        <v>912</v>
      </c>
      <c r="K578" s="69" t="s">
        <v>788</v>
      </c>
      <c r="L578" s="8" t="s">
        <v>410</v>
      </c>
      <c r="M578" s="8" t="s">
        <v>410</v>
      </c>
      <c r="N578" s="8" t="s">
        <v>306</v>
      </c>
      <c r="O578" s="8" t="s">
        <v>296</v>
      </c>
      <c r="P578" s="8" t="s">
        <v>274</v>
      </c>
      <c r="Q578" s="8" t="s">
        <v>275</v>
      </c>
      <c r="R578" s="8" t="s">
        <v>231</v>
      </c>
      <c r="S578" s="8" t="s">
        <v>247</v>
      </c>
      <c r="T578" s="8" t="s">
        <v>255</v>
      </c>
      <c r="U578" s="8" t="s">
        <v>54</v>
      </c>
      <c r="V578" s="8">
        <v>0</v>
      </c>
      <c r="W578" s="18">
        <v>0.1</v>
      </c>
      <c r="X578" s="51">
        <v>45712</v>
      </c>
      <c r="Y578" s="51">
        <v>45712</v>
      </c>
      <c r="Z578" s="28">
        <v>19</v>
      </c>
      <c r="AA578" s="16" t="s">
        <v>1700</v>
      </c>
      <c r="AB578" s="8" t="s">
        <v>291</v>
      </c>
      <c r="AC578" s="8" t="s">
        <v>291</v>
      </c>
      <c r="AD578" s="8" t="s">
        <v>137</v>
      </c>
      <c r="AE578" s="8">
        <v>3102716176</v>
      </c>
      <c r="AF578" s="8" t="s">
        <v>276</v>
      </c>
      <c r="AG578" s="8" t="s">
        <v>292</v>
      </c>
      <c r="AH578" s="51">
        <v>32473</v>
      </c>
      <c r="AI578" s="28">
        <v>37</v>
      </c>
      <c r="AJ578" s="51" t="s">
        <v>1852</v>
      </c>
    </row>
    <row r="579" spans="1:36" ht="12.65" customHeight="1" x14ac:dyDescent="0.35">
      <c r="A579" s="8" t="s">
        <v>139</v>
      </c>
      <c r="B579" s="8" t="s">
        <v>136</v>
      </c>
      <c r="C579" s="8" t="s">
        <v>135</v>
      </c>
      <c r="D579" s="34" t="s">
        <v>254</v>
      </c>
      <c r="E579" s="14" t="s">
        <v>255</v>
      </c>
      <c r="F579" s="28" t="s">
        <v>69</v>
      </c>
      <c r="G579" s="28" t="s">
        <v>125</v>
      </c>
      <c r="H579" s="31" t="s">
        <v>9</v>
      </c>
      <c r="I579" s="8" t="s">
        <v>1050</v>
      </c>
      <c r="J579" s="8" t="s">
        <v>1051</v>
      </c>
      <c r="K579" s="69" t="s">
        <v>1052</v>
      </c>
      <c r="L579" s="8" t="s">
        <v>410</v>
      </c>
      <c r="M579" s="8" t="s">
        <v>410</v>
      </c>
      <c r="N579" s="8" t="s">
        <v>306</v>
      </c>
      <c r="O579" s="8" t="s">
        <v>11</v>
      </c>
      <c r="P579" s="8" t="s">
        <v>274</v>
      </c>
      <c r="Q579" s="8" t="s">
        <v>275</v>
      </c>
      <c r="R579" s="8" t="s">
        <v>231</v>
      </c>
      <c r="S579" s="8" t="s">
        <v>247</v>
      </c>
      <c r="T579" s="8" t="s">
        <v>255</v>
      </c>
      <c r="U579" s="8" t="s">
        <v>54</v>
      </c>
      <c r="V579" s="8">
        <v>0</v>
      </c>
      <c r="W579" s="18">
        <v>0.1</v>
      </c>
      <c r="X579" s="51">
        <v>45712</v>
      </c>
      <c r="Y579" s="51">
        <v>45712</v>
      </c>
      <c r="Z579" s="28">
        <v>19</v>
      </c>
      <c r="AA579" s="16" t="s">
        <v>1700</v>
      </c>
      <c r="AB579" s="8" t="s">
        <v>291</v>
      </c>
      <c r="AC579" s="8" t="s">
        <v>291</v>
      </c>
      <c r="AD579" s="8" t="s">
        <v>137</v>
      </c>
      <c r="AE579" s="8">
        <v>3102716176</v>
      </c>
      <c r="AF579" s="8" t="s">
        <v>276</v>
      </c>
      <c r="AG579" s="8" t="s">
        <v>292</v>
      </c>
      <c r="AH579" s="51">
        <v>32473</v>
      </c>
      <c r="AI579" s="28">
        <v>37</v>
      </c>
      <c r="AJ579" s="51" t="s">
        <v>1852</v>
      </c>
    </row>
    <row r="580" spans="1:36" ht="12.65" customHeight="1" x14ac:dyDescent="0.35">
      <c r="A580" s="8" t="s">
        <v>139</v>
      </c>
      <c r="B580" s="8" t="s">
        <v>136</v>
      </c>
      <c r="C580" s="8" t="s">
        <v>135</v>
      </c>
      <c r="D580" s="34" t="s">
        <v>254</v>
      </c>
      <c r="E580" s="14" t="s">
        <v>255</v>
      </c>
      <c r="F580" s="28" t="s">
        <v>69</v>
      </c>
      <c r="G580" s="28" t="s">
        <v>125</v>
      </c>
      <c r="H580" s="31" t="s">
        <v>9</v>
      </c>
      <c r="I580" s="8" t="s">
        <v>1658</v>
      </c>
      <c r="J580" s="8" t="s">
        <v>1659</v>
      </c>
      <c r="K580" s="69" t="s">
        <v>1660</v>
      </c>
      <c r="L580" s="8" t="s">
        <v>1614</v>
      </c>
      <c r="M580" s="8" t="s">
        <v>1573</v>
      </c>
      <c r="N580" s="8" t="s">
        <v>393</v>
      </c>
      <c r="O580" s="8" t="s">
        <v>146</v>
      </c>
      <c r="P580" s="8" t="s">
        <v>283</v>
      </c>
      <c r="Q580" s="8" t="s">
        <v>326</v>
      </c>
      <c r="R580" s="8" t="s">
        <v>234</v>
      </c>
      <c r="S580" s="8" t="s">
        <v>241</v>
      </c>
      <c r="T580" s="8" t="s">
        <v>255</v>
      </c>
      <c r="U580" s="8" t="s">
        <v>54</v>
      </c>
      <c r="V580" s="8">
        <v>0</v>
      </c>
      <c r="W580" s="18">
        <v>0.1</v>
      </c>
      <c r="X580" s="51">
        <v>45712</v>
      </c>
      <c r="Y580" s="51">
        <v>45712</v>
      </c>
      <c r="Z580" s="28">
        <v>19</v>
      </c>
      <c r="AA580" s="16" t="s">
        <v>1700</v>
      </c>
      <c r="AB580" s="8" t="s">
        <v>395</v>
      </c>
      <c r="AC580" s="8" t="s">
        <v>395</v>
      </c>
      <c r="AD580" s="8" t="s">
        <v>137</v>
      </c>
      <c r="AE580" s="8">
        <v>3102716176</v>
      </c>
      <c r="AF580" s="8" t="s">
        <v>276</v>
      </c>
      <c r="AG580" s="8" t="s">
        <v>295</v>
      </c>
      <c r="AH580" s="51">
        <v>32473</v>
      </c>
      <c r="AI580" s="28">
        <v>37</v>
      </c>
      <c r="AJ580" s="51" t="s">
        <v>1852</v>
      </c>
    </row>
    <row r="581" spans="1:36" ht="12.65" customHeight="1" x14ac:dyDescent="0.35">
      <c r="A581" s="8" t="s">
        <v>139</v>
      </c>
      <c r="B581" s="8" t="s">
        <v>136</v>
      </c>
      <c r="C581" s="8" t="s">
        <v>135</v>
      </c>
      <c r="D581" s="34" t="s">
        <v>254</v>
      </c>
      <c r="E581" s="14" t="s">
        <v>255</v>
      </c>
      <c r="F581" s="28" t="s">
        <v>69</v>
      </c>
      <c r="G581" s="28" t="s">
        <v>125</v>
      </c>
      <c r="H581" s="31" t="s">
        <v>9</v>
      </c>
      <c r="I581" s="8" t="s">
        <v>1611</v>
      </c>
      <c r="J581" s="8" t="s">
        <v>1612</v>
      </c>
      <c r="K581" s="69" t="s">
        <v>1613</v>
      </c>
      <c r="L581" s="8" t="s">
        <v>1614</v>
      </c>
      <c r="M581" s="8" t="s">
        <v>1573</v>
      </c>
      <c r="N581" s="8" t="s">
        <v>393</v>
      </c>
      <c r="O581" s="8" t="s">
        <v>1615</v>
      </c>
      <c r="P581" s="8" t="s">
        <v>274</v>
      </c>
      <c r="Q581" s="8" t="s">
        <v>275</v>
      </c>
      <c r="R581" s="8" t="s">
        <v>231</v>
      </c>
      <c r="S581" s="8" t="s">
        <v>247</v>
      </c>
      <c r="T581" s="8" t="s">
        <v>255</v>
      </c>
      <c r="U581" s="8" t="s">
        <v>54</v>
      </c>
      <c r="V581" s="8">
        <v>0</v>
      </c>
      <c r="W581" s="18">
        <v>0.1</v>
      </c>
      <c r="X581" s="51">
        <v>45712</v>
      </c>
      <c r="Y581" s="51">
        <v>45712</v>
      </c>
      <c r="Z581" s="28">
        <v>19</v>
      </c>
      <c r="AA581" s="16" t="s">
        <v>1700</v>
      </c>
      <c r="AB581" s="8" t="s">
        <v>291</v>
      </c>
      <c r="AC581" s="8" t="s">
        <v>291</v>
      </c>
      <c r="AD581" s="8" t="s">
        <v>137</v>
      </c>
      <c r="AE581" s="8">
        <v>3102716176</v>
      </c>
      <c r="AF581" s="8" t="s">
        <v>276</v>
      </c>
      <c r="AG581" s="8" t="s">
        <v>295</v>
      </c>
      <c r="AH581" s="51">
        <v>32473</v>
      </c>
      <c r="AI581" s="28">
        <v>37</v>
      </c>
      <c r="AJ581" s="51" t="s">
        <v>1852</v>
      </c>
    </row>
    <row r="582" spans="1:36" ht="12.65" customHeight="1" x14ac:dyDescent="0.35">
      <c r="A582" s="8" t="s">
        <v>139</v>
      </c>
      <c r="B582" s="8" t="s">
        <v>136</v>
      </c>
      <c r="C582" s="8" t="s">
        <v>135</v>
      </c>
      <c r="D582" s="34" t="s">
        <v>254</v>
      </c>
      <c r="E582" s="14" t="s">
        <v>255</v>
      </c>
      <c r="F582" s="28" t="s">
        <v>69</v>
      </c>
      <c r="G582" s="28" t="s">
        <v>125</v>
      </c>
      <c r="H582" s="31" t="s">
        <v>9</v>
      </c>
      <c r="I582" s="8" t="s">
        <v>1633</v>
      </c>
      <c r="J582" s="8" t="s">
        <v>1634</v>
      </c>
      <c r="K582" s="69" t="s">
        <v>1635</v>
      </c>
      <c r="L582" s="8" t="s">
        <v>1614</v>
      </c>
      <c r="M582" s="8" t="s">
        <v>1573</v>
      </c>
      <c r="N582" s="8" t="s">
        <v>393</v>
      </c>
      <c r="O582" s="8" t="s">
        <v>151</v>
      </c>
      <c r="P582" s="8" t="s">
        <v>289</v>
      </c>
      <c r="Q582" s="8" t="s">
        <v>331</v>
      </c>
      <c r="R582" s="8" t="s">
        <v>222</v>
      </c>
      <c r="S582" s="8" t="s">
        <v>237</v>
      </c>
      <c r="T582" s="8" t="s">
        <v>255</v>
      </c>
      <c r="U582" s="8" t="s">
        <v>54</v>
      </c>
      <c r="V582" s="8">
        <v>0</v>
      </c>
      <c r="W582" s="18">
        <v>0.1</v>
      </c>
      <c r="X582" s="51">
        <v>45712</v>
      </c>
      <c r="Y582" s="51">
        <v>45712</v>
      </c>
      <c r="Z582" s="28">
        <v>19</v>
      </c>
      <c r="AA582" s="16" t="s">
        <v>1700</v>
      </c>
      <c r="AB582" s="8" t="s">
        <v>307</v>
      </c>
      <c r="AC582" s="8" t="s">
        <v>307</v>
      </c>
      <c r="AD582" s="8" t="s">
        <v>137</v>
      </c>
      <c r="AE582" s="8">
        <v>3102716176</v>
      </c>
      <c r="AF582" s="8" t="s">
        <v>276</v>
      </c>
      <c r="AG582" s="8" t="s">
        <v>295</v>
      </c>
      <c r="AH582" s="51">
        <v>32473</v>
      </c>
      <c r="AI582" s="28">
        <v>37</v>
      </c>
      <c r="AJ582" s="51" t="s">
        <v>1852</v>
      </c>
    </row>
    <row r="583" spans="1:36" ht="12.65" customHeight="1" x14ac:dyDescent="0.35">
      <c r="A583" s="8" t="s">
        <v>139</v>
      </c>
      <c r="B583" s="8" t="s">
        <v>136</v>
      </c>
      <c r="C583" s="8" t="s">
        <v>135</v>
      </c>
      <c r="D583" s="34" t="s">
        <v>254</v>
      </c>
      <c r="E583" s="14" t="s">
        <v>255</v>
      </c>
      <c r="F583" s="28" t="s">
        <v>69</v>
      </c>
      <c r="G583" s="28" t="s">
        <v>125</v>
      </c>
      <c r="H583" s="31" t="s">
        <v>9</v>
      </c>
      <c r="I583" s="8" t="s">
        <v>1620</v>
      </c>
      <c r="J583" s="8" t="s">
        <v>1621</v>
      </c>
      <c r="K583" s="69" t="s">
        <v>1622</v>
      </c>
      <c r="L583" s="8" t="s">
        <v>1614</v>
      </c>
      <c r="M583" s="8" t="s">
        <v>1573</v>
      </c>
      <c r="N583" s="8" t="s">
        <v>393</v>
      </c>
      <c r="O583" s="8" t="s">
        <v>13</v>
      </c>
      <c r="P583" s="8" t="s">
        <v>285</v>
      </c>
      <c r="Q583" s="8" t="s">
        <v>285</v>
      </c>
      <c r="R583" s="8" t="s">
        <v>225</v>
      </c>
      <c r="S583" s="8" t="s">
        <v>237</v>
      </c>
      <c r="T583" s="8" t="s">
        <v>255</v>
      </c>
      <c r="U583" s="8" t="s">
        <v>54</v>
      </c>
      <c r="V583" s="8">
        <v>0</v>
      </c>
      <c r="W583" s="18">
        <v>0.1</v>
      </c>
      <c r="X583" s="51">
        <v>45712</v>
      </c>
      <c r="Y583" s="51">
        <v>45712</v>
      </c>
      <c r="Z583" s="28">
        <v>19</v>
      </c>
      <c r="AA583" s="16" t="s">
        <v>1700</v>
      </c>
      <c r="AB583" s="8" t="s">
        <v>291</v>
      </c>
      <c r="AC583" s="8" t="s">
        <v>291</v>
      </c>
      <c r="AD583" s="8" t="s">
        <v>137</v>
      </c>
      <c r="AE583" s="8">
        <v>3102716176</v>
      </c>
      <c r="AF583" s="8" t="s">
        <v>276</v>
      </c>
      <c r="AG583" s="8" t="s">
        <v>295</v>
      </c>
      <c r="AH583" s="51">
        <v>32473</v>
      </c>
      <c r="AI583" s="28">
        <v>37</v>
      </c>
      <c r="AJ583" s="51" t="s">
        <v>1852</v>
      </c>
    </row>
    <row r="584" spans="1:36" ht="12.65" customHeight="1" x14ac:dyDescent="0.35">
      <c r="A584" s="8" t="s">
        <v>139</v>
      </c>
      <c r="B584" s="8" t="s">
        <v>136</v>
      </c>
      <c r="C584" s="8" t="s">
        <v>135</v>
      </c>
      <c r="D584" s="34" t="s">
        <v>162</v>
      </c>
      <c r="E584" s="14" t="s">
        <v>163</v>
      </c>
      <c r="F584" s="28" t="s">
        <v>69</v>
      </c>
      <c r="G584" s="28" t="s">
        <v>125</v>
      </c>
      <c r="H584" s="31" t="s">
        <v>9</v>
      </c>
      <c r="I584" s="8" t="s">
        <v>708</v>
      </c>
      <c r="J584" s="8" t="s">
        <v>709</v>
      </c>
      <c r="K584" s="69" t="s">
        <v>710</v>
      </c>
      <c r="L584" s="8" t="s">
        <v>471</v>
      </c>
      <c r="M584" s="8" t="s">
        <v>490</v>
      </c>
      <c r="N584" s="8" t="s">
        <v>393</v>
      </c>
      <c r="O584" s="8" t="s">
        <v>11</v>
      </c>
      <c r="P584" s="8" t="s">
        <v>274</v>
      </c>
      <c r="Q584" s="8" t="s">
        <v>275</v>
      </c>
      <c r="R584" s="8" t="s">
        <v>1628</v>
      </c>
      <c r="S584" s="8" t="s">
        <v>247</v>
      </c>
      <c r="T584" s="8" t="s">
        <v>163</v>
      </c>
      <c r="U584" s="8" t="s">
        <v>183</v>
      </c>
      <c r="V584" s="8">
        <v>0</v>
      </c>
      <c r="W584" s="18">
        <v>5.2631578947368418E-2</v>
      </c>
      <c r="X584" s="51">
        <v>46139</v>
      </c>
      <c r="Y584" s="51">
        <v>46139</v>
      </c>
      <c r="Z584" s="28">
        <v>5</v>
      </c>
      <c r="AA584" s="16" t="s">
        <v>1699</v>
      </c>
      <c r="AB584" s="8" t="s">
        <v>307</v>
      </c>
      <c r="AC584" s="8" t="s">
        <v>307</v>
      </c>
      <c r="AD584" s="8" t="s">
        <v>137</v>
      </c>
      <c r="AE584" s="8">
        <v>3102712507</v>
      </c>
      <c r="AF584" s="8" t="s">
        <v>276</v>
      </c>
      <c r="AG584" s="8" t="s">
        <v>295</v>
      </c>
      <c r="AH584" s="51">
        <v>31979</v>
      </c>
      <c r="AI584" s="28">
        <v>39</v>
      </c>
      <c r="AJ584" s="51" t="s">
        <v>1852</v>
      </c>
    </row>
    <row r="585" spans="1:36" ht="12.65" customHeight="1" x14ac:dyDescent="0.35">
      <c r="A585" s="8" t="s">
        <v>139</v>
      </c>
      <c r="B585" s="8" t="s">
        <v>136</v>
      </c>
      <c r="C585" s="8" t="s">
        <v>135</v>
      </c>
      <c r="D585" s="34" t="s">
        <v>162</v>
      </c>
      <c r="E585" s="14" t="s">
        <v>163</v>
      </c>
      <c r="F585" s="28" t="s">
        <v>69</v>
      </c>
      <c r="G585" s="28" t="s">
        <v>125</v>
      </c>
      <c r="H585" s="31" t="s">
        <v>9</v>
      </c>
      <c r="I585" s="8" t="s">
        <v>1487</v>
      </c>
      <c r="J585" s="8" t="s">
        <v>1488</v>
      </c>
      <c r="K585" s="69" t="s">
        <v>1489</v>
      </c>
      <c r="L585" s="8" t="s">
        <v>406</v>
      </c>
      <c r="M585" s="8" t="s">
        <v>456</v>
      </c>
      <c r="N585" s="8" t="s">
        <v>393</v>
      </c>
      <c r="O585" s="8" t="s">
        <v>11</v>
      </c>
      <c r="P585" s="8" t="s">
        <v>274</v>
      </c>
      <c r="Q585" s="8" t="s">
        <v>275</v>
      </c>
      <c r="R585" s="8" t="s">
        <v>231</v>
      </c>
      <c r="S585" s="8" t="s">
        <v>247</v>
      </c>
      <c r="T585" s="8" t="s">
        <v>163</v>
      </c>
      <c r="U585" s="8" t="s">
        <v>192</v>
      </c>
      <c r="V585" s="8">
        <v>0</v>
      </c>
      <c r="W585" s="18">
        <v>5.2631578947368418E-2</v>
      </c>
      <c r="X585" s="51">
        <v>46139</v>
      </c>
      <c r="Y585" s="51">
        <v>46139</v>
      </c>
      <c r="Z585" s="28">
        <v>5</v>
      </c>
      <c r="AA585" s="16" t="s">
        <v>1699</v>
      </c>
      <c r="AB585" s="8" t="s">
        <v>294</v>
      </c>
      <c r="AC585" s="8" t="s">
        <v>294</v>
      </c>
      <c r="AD585" s="8" t="s">
        <v>137</v>
      </c>
      <c r="AE585" s="8">
        <v>3102712507</v>
      </c>
      <c r="AF585" s="8" t="s">
        <v>276</v>
      </c>
      <c r="AG585" s="8" t="s">
        <v>295</v>
      </c>
      <c r="AH585" s="51">
        <v>31979</v>
      </c>
      <c r="AI585" s="28">
        <v>39</v>
      </c>
      <c r="AJ585" s="51" t="s">
        <v>1852</v>
      </c>
    </row>
    <row r="586" spans="1:36" ht="12.65" customHeight="1" x14ac:dyDescent="0.35">
      <c r="A586" s="8" t="s">
        <v>139</v>
      </c>
      <c r="B586" s="8" t="s">
        <v>136</v>
      </c>
      <c r="C586" s="8" t="s">
        <v>135</v>
      </c>
      <c r="D586" s="34" t="s">
        <v>162</v>
      </c>
      <c r="E586" s="14" t="s">
        <v>163</v>
      </c>
      <c r="F586" s="28" t="s">
        <v>69</v>
      </c>
      <c r="G586" s="28" t="s">
        <v>125</v>
      </c>
      <c r="H586" s="31" t="s">
        <v>9</v>
      </c>
      <c r="I586" s="8" t="s">
        <v>540</v>
      </c>
      <c r="J586" s="8" t="s">
        <v>541</v>
      </c>
      <c r="K586" s="69" t="s">
        <v>542</v>
      </c>
      <c r="L586" s="8" t="s">
        <v>406</v>
      </c>
      <c r="M586" s="8" t="s">
        <v>456</v>
      </c>
      <c r="N586" s="8" t="s">
        <v>393</v>
      </c>
      <c r="O586" s="8" t="s">
        <v>11</v>
      </c>
      <c r="P586" s="8" t="s">
        <v>274</v>
      </c>
      <c r="Q586" s="8" t="s">
        <v>275</v>
      </c>
      <c r="R586" s="8" t="s">
        <v>231</v>
      </c>
      <c r="S586" s="8" t="s">
        <v>247</v>
      </c>
      <c r="T586" s="8" t="s">
        <v>163</v>
      </c>
      <c r="U586" s="8" t="s">
        <v>192</v>
      </c>
      <c r="V586" s="8">
        <v>0</v>
      </c>
      <c r="W586" s="18">
        <v>5.2631578947368418E-2</v>
      </c>
      <c r="X586" s="51">
        <v>46139</v>
      </c>
      <c r="Y586" s="51">
        <v>46139</v>
      </c>
      <c r="Z586" s="28">
        <v>5</v>
      </c>
      <c r="AA586" s="16" t="s">
        <v>1699</v>
      </c>
      <c r="AB586" s="8" t="s">
        <v>293</v>
      </c>
      <c r="AC586" s="8" t="s">
        <v>293</v>
      </c>
      <c r="AD586" s="8" t="s">
        <v>137</v>
      </c>
      <c r="AE586" s="8">
        <v>3102712507</v>
      </c>
      <c r="AF586" s="8" t="s">
        <v>276</v>
      </c>
      <c r="AG586" s="8" t="s">
        <v>295</v>
      </c>
      <c r="AH586" s="51">
        <v>31979</v>
      </c>
      <c r="AI586" s="28">
        <v>39</v>
      </c>
      <c r="AJ586" s="51" t="s">
        <v>1852</v>
      </c>
    </row>
    <row r="587" spans="1:36" ht="12.65" customHeight="1" x14ac:dyDescent="0.35">
      <c r="A587" s="8" t="s">
        <v>139</v>
      </c>
      <c r="B587" s="8" t="s">
        <v>136</v>
      </c>
      <c r="C587" s="8" t="s">
        <v>135</v>
      </c>
      <c r="D587" s="34" t="s">
        <v>162</v>
      </c>
      <c r="E587" s="14" t="s">
        <v>163</v>
      </c>
      <c r="F587" s="28" t="s">
        <v>69</v>
      </c>
      <c r="G587" s="28" t="s">
        <v>125</v>
      </c>
      <c r="H587" s="31" t="s">
        <v>9</v>
      </c>
      <c r="I587" s="8" t="s">
        <v>605</v>
      </c>
      <c r="J587" s="8" t="s">
        <v>970</v>
      </c>
      <c r="K587" s="69" t="s">
        <v>606</v>
      </c>
      <c r="L587" s="8" t="s">
        <v>406</v>
      </c>
      <c r="M587" s="8" t="s">
        <v>456</v>
      </c>
      <c r="N587" s="8" t="s">
        <v>393</v>
      </c>
      <c r="O587" s="8" t="s">
        <v>11</v>
      </c>
      <c r="P587" s="8" t="s">
        <v>274</v>
      </c>
      <c r="Q587" s="8" t="s">
        <v>275</v>
      </c>
      <c r="R587" s="8" t="s">
        <v>231</v>
      </c>
      <c r="S587" s="8" t="s">
        <v>247</v>
      </c>
      <c r="T587" s="8" t="s">
        <v>163</v>
      </c>
      <c r="U587" s="8" t="s">
        <v>192</v>
      </c>
      <c r="V587" s="8">
        <v>0</v>
      </c>
      <c r="W587" s="18">
        <v>5.2631578947368418E-2</v>
      </c>
      <c r="X587" s="51">
        <v>46139</v>
      </c>
      <c r="Y587" s="51">
        <v>46139</v>
      </c>
      <c r="Z587" s="28">
        <v>5</v>
      </c>
      <c r="AA587" s="16" t="s">
        <v>1699</v>
      </c>
      <c r="AB587" s="8" t="s">
        <v>294</v>
      </c>
      <c r="AC587" s="8" t="s">
        <v>294</v>
      </c>
      <c r="AD587" s="8" t="s">
        <v>137</v>
      </c>
      <c r="AE587" s="8">
        <v>3102712507</v>
      </c>
      <c r="AF587" s="8" t="s">
        <v>276</v>
      </c>
      <c r="AG587" s="8" t="s">
        <v>295</v>
      </c>
      <c r="AH587" s="51">
        <v>31979</v>
      </c>
      <c r="AI587" s="28">
        <v>39</v>
      </c>
      <c r="AJ587" s="51" t="s">
        <v>1852</v>
      </c>
    </row>
    <row r="588" spans="1:36" ht="12.65" customHeight="1" x14ac:dyDescent="0.35">
      <c r="A588" s="8" t="s">
        <v>139</v>
      </c>
      <c r="B588" s="8" t="s">
        <v>136</v>
      </c>
      <c r="C588" s="8" t="s">
        <v>135</v>
      </c>
      <c r="D588" s="34" t="s">
        <v>162</v>
      </c>
      <c r="E588" s="14" t="s">
        <v>163</v>
      </c>
      <c r="F588" s="28" t="s">
        <v>69</v>
      </c>
      <c r="G588" s="28" t="s">
        <v>125</v>
      </c>
      <c r="H588" s="31" t="s">
        <v>9</v>
      </c>
      <c r="I588" s="8" t="s">
        <v>537</v>
      </c>
      <c r="J588" s="8" t="s">
        <v>538</v>
      </c>
      <c r="K588" s="69" t="s">
        <v>539</v>
      </c>
      <c r="L588" s="8" t="s">
        <v>406</v>
      </c>
      <c r="M588" s="8" t="s">
        <v>456</v>
      </c>
      <c r="N588" s="8" t="s">
        <v>393</v>
      </c>
      <c r="O588" s="8" t="s">
        <v>11</v>
      </c>
      <c r="P588" s="8" t="s">
        <v>274</v>
      </c>
      <c r="Q588" s="8" t="s">
        <v>275</v>
      </c>
      <c r="R588" s="8" t="s">
        <v>231</v>
      </c>
      <c r="S588" s="8" t="s">
        <v>247</v>
      </c>
      <c r="T588" s="8" t="s">
        <v>163</v>
      </c>
      <c r="U588" s="8" t="s">
        <v>192</v>
      </c>
      <c r="V588" s="8">
        <v>0</v>
      </c>
      <c r="W588" s="18">
        <v>5.2631578947368418E-2</v>
      </c>
      <c r="X588" s="51">
        <v>46139</v>
      </c>
      <c r="Y588" s="51">
        <v>46139</v>
      </c>
      <c r="Z588" s="28">
        <v>5</v>
      </c>
      <c r="AA588" s="16" t="s">
        <v>1699</v>
      </c>
      <c r="AB588" s="8" t="s">
        <v>294</v>
      </c>
      <c r="AC588" s="8" t="s">
        <v>294</v>
      </c>
      <c r="AD588" s="8" t="s">
        <v>137</v>
      </c>
      <c r="AE588" s="8">
        <v>3102712507</v>
      </c>
      <c r="AF588" s="8" t="s">
        <v>276</v>
      </c>
      <c r="AG588" s="8" t="s">
        <v>295</v>
      </c>
      <c r="AH588" s="51">
        <v>31979</v>
      </c>
      <c r="AI588" s="28">
        <v>39</v>
      </c>
      <c r="AJ588" s="51" t="s">
        <v>1852</v>
      </c>
    </row>
    <row r="589" spans="1:36" ht="12.65" customHeight="1" x14ac:dyDescent="0.35">
      <c r="A589" s="8" t="s">
        <v>139</v>
      </c>
      <c r="B589" s="8" t="s">
        <v>136</v>
      </c>
      <c r="C589" s="8" t="s">
        <v>135</v>
      </c>
      <c r="D589" s="34" t="s">
        <v>162</v>
      </c>
      <c r="E589" s="14" t="s">
        <v>163</v>
      </c>
      <c r="F589" s="28" t="s">
        <v>69</v>
      </c>
      <c r="G589" s="28" t="s">
        <v>125</v>
      </c>
      <c r="H589" s="31" t="s">
        <v>9</v>
      </c>
      <c r="I589" s="8" t="s">
        <v>453</v>
      </c>
      <c r="J589" s="8" t="s">
        <v>454</v>
      </c>
      <c r="K589" s="69" t="s">
        <v>455</v>
      </c>
      <c r="L589" s="8" t="s">
        <v>406</v>
      </c>
      <c r="M589" s="8" t="s">
        <v>456</v>
      </c>
      <c r="N589" s="8" t="s">
        <v>393</v>
      </c>
      <c r="O589" s="8" t="s">
        <v>11</v>
      </c>
      <c r="P589" s="8" t="s">
        <v>274</v>
      </c>
      <c r="Q589" s="8" t="s">
        <v>275</v>
      </c>
      <c r="R589" s="8" t="s">
        <v>231</v>
      </c>
      <c r="S589" s="8" t="s">
        <v>247</v>
      </c>
      <c r="T589" s="8" t="s">
        <v>163</v>
      </c>
      <c r="U589" s="8" t="s">
        <v>192</v>
      </c>
      <c r="V589" s="8">
        <v>0</v>
      </c>
      <c r="W589" s="18">
        <v>5.2631578947368418E-2</v>
      </c>
      <c r="X589" s="51">
        <v>46139</v>
      </c>
      <c r="Y589" s="51">
        <v>46139</v>
      </c>
      <c r="Z589" s="28">
        <v>5</v>
      </c>
      <c r="AA589" s="16" t="s">
        <v>1699</v>
      </c>
      <c r="AB589" s="8" t="s">
        <v>293</v>
      </c>
      <c r="AC589" s="8" t="s">
        <v>293</v>
      </c>
      <c r="AD589" s="8" t="s">
        <v>137</v>
      </c>
      <c r="AE589" s="8">
        <v>3102712507</v>
      </c>
      <c r="AF589" s="8" t="s">
        <v>276</v>
      </c>
      <c r="AG589" s="8" t="s">
        <v>295</v>
      </c>
      <c r="AH589" s="51">
        <v>31979</v>
      </c>
      <c r="AI589" s="28">
        <v>39</v>
      </c>
      <c r="AJ589" s="51" t="s">
        <v>1852</v>
      </c>
    </row>
    <row r="590" spans="1:36" ht="12.65" customHeight="1" x14ac:dyDescent="0.35">
      <c r="A590" s="8" t="s">
        <v>139</v>
      </c>
      <c r="B590" s="8" t="s">
        <v>136</v>
      </c>
      <c r="C590" s="8" t="s">
        <v>135</v>
      </c>
      <c r="D590" s="34" t="s">
        <v>162</v>
      </c>
      <c r="E590" s="14" t="s">
        <v>163</v>
      </c>
      <c r="F590" s="28" t="s">
        <v>69</v>
      </c>
      <c r="G590" s="28" t="s">
        <v>125</v>
      </c>
      <c r="H590" s="31" t="s">
        <v>9</v>
      </c>
      <c r="I590" s="8" t="s">
        <v>1318</v>
      </c>
      <c r="J590" s="8" t="s">
        <v>1319</v>
      </c>
      <c r="K590" s="69" t="s">
        <v>1320</v>
      </c>
      <c r="L590" s="8" t="s">
        <v>406</v>
      </c>
      <c r="M590" s="8" t="s">
        <v>456</v>
      </c>
      <c r="N590" s="8" t="s">
        <v>393</v>
      </c>
      <c r="O590" s="8" t="s">
        <v>11</v>
      </c>
      <c r="P590" s="8" t="s">
        <v>274</v>
      </c>
      <c r="Q590" s="8" t="s">
        <v>275</v>
      </c>
      <c r="R590" s="8" t="s">
        <v>231</v>
      </c>
      <c r="S590" s="8" t="s">
        <v>247</v>
      </c>
      <c r="T590" s="8" t="s">
        <v>163</v>
      </c>
      <c r="U590" s="8" t="s">
        <v>192</v>
      </c>
      <c r="V590" s="8">
        <v>0</v>
      </c>
      <c r="W590" s="18">
        <v>5.2631578947368418E-2</v>
      </c>
      <c r="X590" s="51">
        <v>46139</v>
      </c>
      <c r="Y590" s="51">
        <v>46139</v>
      </c>
      <c r="Z590" s="28">
        <v>5</v>
      </c>
      <c r="AA590" s="16" t="s">
        <v>1699</v>
      </c>
      <c r="AB590" s="8" t="s">
        <v>307</v>
      </c>
      <c r="AC590" s="8" t="s">
        <v>307</v>
      </c>
      <c r="AD590" s="8" t="s">
        <v>137</v>
      </c>
      <c r="AE590" s="8">
        <v>3102712507</v>
      </c>
      <c r="AF590" s="8" t="s">
        <v>276</v>
      </c>
      <c r="AG590" s="8" t="s">
        <v>295</v>
      </c>
      <c r="AH590" s="51">
        <v>31979</v>
      </c>
      <c r="AI590" s="28">
        <v>39</v>
      </c>
      <c r="AJ590" s="51" t="s">
        <v>1852</v>
      </c>
    </row>
    <row r="591" spans="1:36" ht="12.65" customHeight="1" x14ac:dyDescent="0.35">
      <c r="A591" s="8" t="s">
        <v>139</v>
      </c>
      <c r="B591" s="8" t="s">
        <v>136</v>
      </c>
      <c r="C591" s="8" t="s">
        <v>135</v>
      </c>
      <c r="D591" s="34" t="s">
        <v>162</v>
      </c>
      <c r="E591" s="14" t="s">
        <v>163</v>
      </c>
      <c r="F591" s="28" t="s">
        <v>69</v>
      </c>
      <c r="G591" s="28" t="s">
        <v>125</v>
      </c>
      <c r="H591" s="31" t="s">
        <v>9</v>
      </c>
      <c r="I591" s="8" t="s">
        <v>463</v>
      </c>
      <c r="J591" s="8" t="s">
        <v>1321</v>
      </c>
      <c r="K591" s="69" t="s">
        <v>464</v>
      </c>
      <c r="L591" s="8" t="s">
        <v>406</v>
      </c>
      <c r="M591" s="8" t="s">
        <v>456</v>
      </c>
      <c r="N591" s="8" t="s">
        <v>393</v>
      </c>
      <c r="O591" s="8" t="s">
        <v>11</v>
      </c>
      <c r="P591" s="8" t="s">
        <v>274</v>
      </c>
      <c r="Q591" s="8" t="s">
        <v>275</v>
      </c>
      <c r="R591" s="8" t="s">
        <v>231</v>
      </c>
      <c r="S591" s="8" t="s">
        <v>247</v>
      </c>
      <c r="T591" s="8" t="s">
        <v>163</v>
      </c>
      <c r="U591" s="8" t="s">
        <v>192</v>
      </c>
      <c r="V591" s="8">
        <v>0</v>
      </c>
      <c r="W591" s="18">
        <v>5.2631578947368418E-2</v>
      </c>
      <c r="X591" s="51">
        <v>46139</v>
      </c>
      <c r="Y591" s="51">
        <v>46139</v>
      </c>
      <c r="Z591" s="28">
        <v>5</v>
      </c>
      <c r="AA591" s="16" t="s">
        <v>1699</v>
      </c>
      <c r="AB591" s="8" t="s">
        <v>294</v>
      </c>
      <c r="AC591" s="8" t="s">
        <v>294</v>
      </c>
      <c r="AD591" s="8" t="s">
        <v>137</v>
      </c>
      <c r="AE591" s="8">
        <v>3102712507</v>
      </c>
      <c r="AF591" s="8" t="s">
        <v>276</v>
      </c>
      <c r="AG591" s="8" t="s">
        <v>295</v>
      </c>
      <c r="AH591" s="51">
        <v>31979</v>
      </c>
      <c r="AI591" s="28">
        <v>39</v>
      </c>
      <c r="AJ591" s="51" t="s">
        <v>1852</v>
      </c>
    </row>
    <row r="592" spans="1:36" ht="12.65" customHeight="1" x14ac:dyDescent="0.35">
      <c r="A592" s="8" t="s">
        <v>139</v>
      </c>
      <c r="B592" s="8" t="s">
        <v>136</v>
      </c>
      <c r="C592" s="8" t="s">
        <v>135</v>
      </c>
      <c r="D592" s="34" t="s">
        <v>254</v>
      </c>
      <c r="E592" s="14" t="s">
        <v>255</v>
      </c>
      <c r="F592" s="28" t="s">
        <v>69</v>
      </c>
      <c r="G592" s="28" t="s">
        <v>125</v>
      </c>
      <c r="H592" s="31" t="s">
        <v>9</v>
      </c>
      <c r="I592" s="8" t="s">
        <v>1638</v>
      </c>
      <c r="J592" s="8" t="s">
        <v>1639</v>
      </c>
      <c r="K592" s="69" t="s">
        <v>1640</v>
      </c>
      <c r="L592" s="8" t="s">
        <v>1614</v>
      </c>
      <c r="M592" s="8" t="s">
        <v>1641</v>
      </c>
      <c r="N592" s="8" t="s">
        <v>393</v>
      </c>
      <c r="O592" s="8" t="s">
        <v>11</v>
      </c>
      <c r="P592" s="8" t="s">
        <v>274</v>
      </c>
      <c r="Q592" s="8" t="s">
        <v>275</v>
      </c>
      <c r="R592" s="8" t="s">
        <v>231</v>
      </c>
      <c r="S592" s="8" t="s">
        <v>247</v>
      </c>
      <c r="T592" s="8" t="s">
        <v>255</v>
      </c>
      <c r="U592" s="8" t="s">
        <v>54</v>
      </c>
      <c r="V592" s="8">
        <v>0</v>
      </c>
      <c r="W592" s="18">
        <v>0.1</v>
      </c>
      <c r="X592" s="51">
        <v>45712</v>
      </c>
      <c r="Y592" s="51">
        <v>45712</v>
      </c>
      <c r="Z592" s="28">
        <v>19</v>
      </c>
      <c r="AA592" s="16" t="s">
        <v>1700</v>
      </c>
      <c r="AB592" s="8" t="s">
        <v>307</v>
      </c>
      <c r="AC592" s="8" t="s">
        <v>307</v>
      </c>
      <c r="AD592" s="8" t="s">
        <v>137</v>
      </c>
      <c r="AE592" s="8">
        <v>3102716176</v>
      </c>
      <c r="AF592" s="8" t="s">
        <v>276</v>
      </c>
      <c r="AG592" s="8" t="s">
        <v>295</v>
      </c>
      <c r="AH592" s="51">
        <v>32473</v>
      </c>
      <c r="AI592" s="28">
        <v>37</v>
      </c>
      <c r="AJ592" s="51" t="s">
        <v>1852</v>
      </c>
    </row>
    <row r="593" spans="1:36" ht="12.65" customHeight="1" x14ac:dyDescent="0.3">
      <c r="A593" s="8" t="s">
        <v>139</v>
      </c>
      <c r="B593" s="8" t="s">
        <v>147</v>
      </c>
      <c r="C593" s="8" t="s">
        <v>135</v>
      </c>
      <c r="D593" s="34" t="s">
        <v>179</v>
      </c>
      <c r="E593" s="14" t="s">
        <v>180</v>
      </c>
      <c r="F593" s="8" t="s">
        <v>69</v>
      </c>
      <c r="G593" s="8" t="s">
        <v>125</v>
      </c>
      <c r="H593" s="14" t="s">
        <v>9</v>
      </c>
      <c r="I593" s="34" t="s">
        <v>14</v>
      </c>
      <c r="J593" s="8" t="s">
        <v>14</v>
      </c>
      <c r="K593" s="69" t="s">
        <v>14</v>
      </c>
      <c r="L593" s="8" t="s">
        <v>75</v>
      </c>
      <c r="M593" s="8" t="s">
        <v>76</v>
      </c>
      <c r="N593" s="8" t="s">
        <v>306</v>
      </c>
      <c r="O593" s="7" t="s">
        <v>13</v>
      </c>
      <c r="P593" s="7" t="s">
        <v>285</v>
      </c>
      <c r="Q593" s="8" t="s">
        <v>285</v>
      </c>
      <c r="R593" s="8" t="s">
        <v>225</v>
      </c>
      <c r="S593" s="8" t="s">
        <v>14</v>
      </c>
      <c r="T593" s="8" t="s">
        <v>180</v>
      </c>
      <c r="U593" s="8" t="s">
        <v>189</v>
      </c>
      <c r="V593" s="8">
        <v>0.5</v>
      </c>
      <c r="W593" s="18">
        <v>0.5</v>
      </c>
      <c r="X593" s="51">
        <v>45659</v>
      </c>
      <c r="Y593" s="51">
        <v>45659</v>
      </c>
      <c r="Z593" s="28">
        <v>21</v>
      </c>
      <c r="AA593" s="16" t="s">
        <v>1700</v>
      </c>
      <c r="AB593" s="8" t="s">
        <v>14</v>
      </c>
      <c r="AC593" s="8" t="s">
        <v>14</v>
      </c>
      <c r="AD593" s="8" t="s">
        <v>137</v>
      </c>
      <c r="AE593" s="8">
        <v>3102718452</v>
      </c>
      <c r="AF593" s="8" t="s">
        <v>276</v>
      </c>
      <c r="AG593" s="8" t="s">
        <v>295</v>
      </c>
      <c r="AH593" s="51">
        <v>37375</v>
      </c>
      <c r="AI593" s="28">
        <v>24</v>
      </c>
      <c r="AJ593" s="51" t="s">
        <v>1852</v>
      </c>
    </row>
    <row r="594" spans="1:36" ht="12.65" customHeight="1" x14ac:dyDescent="0.35">
      <c r="A594" s="8" t="s">
        <v>139</v>
      </c>
      <c r="B594" s="8" t="s">
        <v>136</v>
      </c>
      <c r="C594" s="8" t="s">
        <v>135</v>
      </c>
      <c r="D594" s="34" t="s">
        <v>156</v>
      </c>
      <c r="E594" s="14" t="s">
        <v>157</v>
      </c>
      <c r="F594" s="28" t="s">
        <v>70</v>
      </c>
      <c r="G594" s="28" t="s">
        <v>125</v>
      </c>
      <c r="H594" s="31" t="s">
        <v>9</v>
      </c>
      <c r="I594" s="8" t="s">
        <v>1846</v>
      </c>
      <c r="J594" s="8" t="s">
        <v>1847</v>
      </c>
      <c r="K594" s="69" t="s">
        <v>1848</v>
      </c>
      <c r="L594" s="8" t="s">
        <v>406</v>
      </c>
      <c r="M594" s="8" t="s">
        <v>456</v>
      </c>
      <c r="N594" s="8" t="s">
        <v>393</v>
      </c>
      <c r="O594" s="8" t="s">
        <v>612</v>
      </c>
      <c r="P594" s="8" t="s">
        <v>613</v>
      </c>
      <c r="Q594" s="8" t="s">
        <v>865</v>
      </c>
      <c r="R594" s="8" t="s">
        <v>1628</v>
      </c>
      <c r="S594" s="8" t="s">
        <v>247</v>
      </c>
      <c r="T594" s="8" t="s">
        <v>157</v>
      </c>
      <c r="U594" s="8" t="s">
        <v>192</v>
      </c>
      <c r="V594" s="8">
        <v>1</v>
      </c>
      <c r="W594" s="18">
        <v>6.6666666666666666E-2</v>
      </c>
      <c r="X594" s="51">
        <v>45659</v>
      </c>
      <c r="Y594" s="51">
        <v>42828</v>
      </c>
      <c r="Z594" s="28">
        <v>114</v>
      </c>
      <c r="AA594" s="16" t="s">
        <v>1701</v>
      </c>
      <c r="AB594" s="8" t="s">
        <v>307</v>
      </c>
      <c r="AC594" s="8" t="s">
        <v>307</v>
      </c>
      <c r="AD594" s="8" t="s">
        <v>134</v>
      </c>
      <c r="AE594" s="8">
        <v>3102717863</v>
      </c>
      <c r="AF594" s="8" t="s">
        <v>276</v>
      </c>
      <c r="AG594" s="8" t="s">
        <v>295</v>
      </c>
      <c r="AH594" s="51">
        <v>34200</v>
      </c>
      <c r="AI594" s="28">
        <v>33</v>
      </c>
      <c r="AJ594" s="51" t="s">
        <v>1853</v>
      </c>
    </row>
    <row r="595" spans="1:36" ht="12.65" customHeight="1" x14ac:dyDescent="0.35">
      <c r="A595" s="8" t="s">
        <v>139</v>
      </c>
      <c r="B595" s="8" t="s">
        <v>136</v>
      </c>
      <c r="C595" s="8" t="s">
        <v>135</v>
      </c>
      <c r="D595" s="34" t="s">
        <v>156</v>
      </c>
      <c r="E595" s="14" t="s">
        <v>157</v>
      </c>
      <c r="F595" s="28" t="s">
        <v>70</v>
      </c>
      <c r="G595" s="28" t="s">
        <v>125</v>
      </c>
      <c r="H595" s="31" t="s">
        <v>9</v>
      </c>
      <c r="I595" s="8" t="s">
        <v>836</v>
      </c>
      <c r="J595" s="8" t="s">
        <v>83</v>
      </c>
      <c r="K595" s="69" t="s">
        <v>837</v>
      </c>
      <c r="L595" s="8" t="s">
        <v>75</v>
      </c>
      <c r="M595" s="8" t="s">
        <v>76</v>
      </c>
      <c r="N595" s="8" t="s">
        <v>306</v>
      </c>
      <c r="O595" s="8" t="s">
        <v>149</v>
      </c>
      <c r="P595" s="8" t="s">
        <v>286</v>
      </c>
      <c r="Q595" s="8" t="s">
        <v>865</v>
      </c>
      <c r="R595" s="8" t="s">
        <v>1628</v>
      </c>
      <c r="S595" s="8" t="s">
        <v>247</v>
      </c>
      <c r="T595" s="8" t="s">
        <v>157</v>
      </c>
      <c r="U595" s="8" t="s">
        <v>189</v>
      </c>
      <c r="V595" s="8">
        <v>0</v>
      </c>
      <c r="W595" s="18">
        <v>6.6666666666666666E-2</v>
      </c>
      <c r="X595" s="51">
        <v>45659</v>
      </c>
      <c r="Y595" s="51">
        <v>42828</v>
      </c>
      <c r="Z595" s="28">
        <v>114</v>
      </c>
      <c r="AA595" s="16" t="s">
        <v>1701</v>
      </c>
      <c r="AB595" s="8" t="s">
        <v>395</v>
      </c>
      <c r="AC595" s="8" t="s">
        <v>294</v>
      </c>
      <c r="AD595" s="8" t="s">
        <v>134</v>
      </c>
      <c r="AE595" s="8">
        <v>3102717863</v>
      </c>
      <c r="AF595" s="8" t="s">
        <v>276</v>
      </c>
      <c r="AG595" s="8" t="s">
        <v>292</v>
      </c>
      <c r="AH595" s="51">
        <v>34200</v>
      </c>
      <c r="AI595" s="28">
        <v>33</v>
      </c>
      <c r="AJ595" s="51" t="s">
        <v>1853</v>
      </c>
    </row>
    <row r="596" spans="1:36" ht="12.65" customHeight="1" x14ac:dyDescent="0.35">
      <c r="A596" s="8" t="s">
        <v>139</v>
      </c>
      <c r="B596" s="8" t="s">
        <v>136</v>
      </c>
      <c r="C596" s="8" t="s">
        <v>135</v>
      </c>
      <c r="D596" s="34" t="s">
        <v>156</v>
      </c>
      <c r="E596" s="14" t="s">
        <v>157</v>
      </c>
      <c r="F596" s="28" t="s">
        <v>70</v>
      </c>
      <c r="G596" s="28" t="s">
        <v>125</v>
      </c>
      <c r="H596" s="31" t="s">
        <v>9</v>
      </c>
      <c r="I596" s="8" t="s">
        <v>680</v>
      </c>
      <c r="J596" s="8" t="s">
        <v>87</v>
      </c>
      <c r="K596" s="69" t="s">
        <v>681</v>
      </c>
      <c r="L596" s="8" t="s">
        <v>75</v>
      </c>
      <c r="M596" s="8" t="s">
        <v>76</v>
      </c>
      <c r="N596" s="8" t="s">
        <v>306</v>
      </c>
      <c r="O596" s="8" t="s">
        <v>20</v>
      </c>
      <c r="P596" s="8" t="s">
        <v>284</v>
      </c>
      <c r="Q596" s="8" t="s">
        <v>865</v>
      </c>
      <c r="R596" s="8" t="s">
        <v>1628</v>
      </c>
      <c r="S596" s="8" t="s">
        <v>247</v>
      </c>
      <c r="T596" s="8" t="s">
        <v>157</v>
      </c>
      <c r="U596" s="8" t="s">
        <v>189</v>
      </c>
      <c r="V596" s="8">
        <v>0</v>
      </c>
      <c r="W596" s="18">
        <v>6.6666666666666666E-2</v>
      </c>
      <c r="X596" s="51">
        <v>45659</v>
      </c>
      <c r="Y596" s="51">
        <v>42828</v>
      </c>
      <c r="Z596" s="28">
        <v>114</v>
      </c>
      <c r="AA596" s="16" t="s">
        <v>1701</v>
      </c>
      <c r="AB596" s="8" t="s">
        <v>293</v>
      </c>
      <c r="AC596" s="8" t="s">
        <v>294</v>
      </c>
      <c r="AD596" s="8" t="s">
        <v>134</v>
      </c>
      <c r="AE596" s="8">
        <v>3102717863</v>
      </c>
      <c r="AF596" s="8" t="s">
        <v>276</v>
      </c>
      <c r="AG596" s="8" t="s">
        <v>292</v>
      </c>
      <c r="AH596" s="51">
        <v>34200</v>
      </c>
      <c r="AI596" s="28">
        <v>33</v>
      </c>
      <c r="AJ596" s="51" t="s">
        <v>1853</v>
      </c>
    </row>
    <row r="597" spans="1:36" ht="12.65" customHeight="1" x14ac:dyDescent="0.35">
      <c r="A597" s="8" t="s">
        <v>139</v>
      </c>
      <c r="B597" s="8" t="s">
        <v>136</v>
      </c>
      <c r="C597" s="8" t="s">
        <v>135</v>
      </c>
      <c r="D597" s="34" t="s">
        <v>156</v>
      </c>
      <c r="E597" s="14" t="s">
        <v>157</v>
      </c>
      <c r="F597" s="28" t="s">
        <v>70</v>
      </c>
      <c r="G597" s="28" t="s">
        <v>125</v>
      </c>
      <c r="H597" s="31" t="s">
        <v>9</v>
      </c>
      <c r="I597" s="8" t="s">
        <v>510</v>
      </c>
      <c r="J597" s="8" t="s">
        <v>1479</v>
      </c>
      <c r="K597" s="69" t="s">
        <v>511</v>
      </c>
      <c r="L597" s="8" t="s">
        <v>75</v>
      </c>
      <c r="M597" s="8" t="s">
        <v>107</v>
      </c>
      <c r="N597" s="8" t="s">
        <v>306</v>
      </c>
      <c r="O597" s="8" t="s">
        <v>512</v>
      </c>
      <c r="P597" s="8" t="s">
        <v>274</v>
      </c>
      <c r="Q597" s="8" t="s">
        <v>865</v>
      </c>
      <c r="R597" s="8" t="s">
        <v>1628</v>
      </c>
      <c r="S597" s="8" t="s">
        <v>247</v>
      </c>
      <c r="T597" s="8" t="s">
        <v>157</v>
      </c>
      <c r="U597" s="8" t="s">
        <v>189</v>
      </c>
      <c r="V597" s="8">
        <v>0</v>
      </c>
      <c r="W597" s="18">
        <v>6.6666666666666666E-2</v>
      </c>
      <c r="X597" s="51">
        <v>45659</v>
      </c>
      <c r="Y597" s="51">
        <v>42828</v>
      </c>
      <c r="Z597" s="28">
        <v>114</v>
      </c>
      <c r="AA597" s="16" t="s">
        <v>1701</v>
      </c>
      <c r="AB597" s="8" t="s">
        <v>293</v>
      </c>
      <c r="AC597" s="8" t="s">
        <v>291</v>
      </c>
      <c r="AD597" s="8" t="s">
        <v>134</v>
      </c>
      <c r="AE597" s="8">
        <v>3102717863</v>
      </c>
      <c r="AF597" s="8" t="s">
        <v>276</v>
      </c>
      <c r="AG597" s="8" t="s">
        <v>292</v>
      </c>
      <c r="AH597" s="51">
        <v>34200</v>
      </c>
      <c r="AI597" s="28">
        <v>33</v>
      </c>
      <c r="AJ597" s="51" t="s">
        <v>1853</v>
      </c>
    </row>
    <row r="598" spans="1:36" ht="12.65" customHeight="1" x14ac:dyDescent="0.35">
      <c r="A598" s="8" t="s">
        <v>139</v>
      </c>
      <c r="B598" s="8" t="s">
        <v>136</v>
      </c>
      <c r="C598" s="8" t="s">
        <v>135</v>
      </c>
      <c r="D598" s="34" t="s">
        <v>156</v>
      </c>
      <c r="E598" s="14" t="s">
        <v>157</v>
      </c>
      <c r="F598" s="28" t="s">
        <v>70</v>
      </c>
      <c r="G598" s="28" t="s">
        <v>125</v>
      </c>
      <c r="H598" s="31" t="s">
        <v>9</v>
      </c>
      <c r="I598" s="8" t="s">
        <v>609</v>
      </c>
      <c r="J598" s="8" t="s">
        <v>610</v>
      </c>
      <c r="K598" s="69" t="s">
        <v>611</v>
      </c>
      <c r="L598" s="8" t="s">
        <v>299</v>
      </c>
      <c r="M598" s="8" t="s">
        <v>299</v>
      </c>
      <c r="N598" s="8" t="s">
        <v>306</v>
      </c>
      <c r="O598" s="8" t="s">
        <v>612</v>
      </c>
      <c r="P598" s="8" t="s">
        <v>613</v>
      </c>
      <c r="Q598" s="8" t="s">
        <v>865</v>
      </c>
      <c r="R598" s="8" t="s">
        <v>1628</v>
      </c>
      <c r="S598" s="8" t="s">
        <v>247</v>
      </c>
      <c r="T598" s="8" t="s">
        <v>157</v>
      </c>
      <c r="U598" s="8" t="s">
        <v>194</v>
      </c>
      <c r="V598" s="8">
        <v>0</v>
      </c>
      <c r="W598" s="18">
        <v>6.6666666666666666E-2</v>
      </c>
      <c r="X598" s="51">
        <v>45659</v>
      </c>
      <c r="Y598" s="51">
        <v>42828</v>
      </c>
      <c r="Z598" s="28">
        <v>114</v>
      </c>
      <c r="AA598" s="16" t="s">
        <v>1701</v>
      </c>
      <c r="AB598" s="8" t="s">
        <v>291</v>
      </c>
      <c r="AC598" s="8" t="s">
        <v>291</v>
      </c>
      <c r="AD598" s="8" t="s">
        <v>134</v>
      </c>
      <c r="AE598" s="8">
        <v>3102717863</v>
      </c>
      <c r="AF598" s="8" t="s">
        <v>276</v>
      </c>
      <c r="AG598" s="8" t="s">
        <v>292</v>
      </c>
      <c r="AH598" s="51">
        <v>34200</v>
      </c>
      <c r="AI598" s="28">
        <v>33</v>
      </c>
      <c r="AJ598" s="51" t="s">
        <v>1853</v>
      </c>
    </row>
    <row r="599" spans="1:36" ht="12.65" customHeight="1" x14ac:dyDescent="0.35">
      <c r="A599" s="8" t="s">
        <v>139</v>
      </c>
      <c r="B599" s="8" t="s">
        <v>136</v>
      </c>
      <c r="C599" s="8" t="s">
        <v>135</v>
      </c>
      <c r="D599" s="34" t="s">
        <v>156</v>
      </c>
      <c r="E599" s="14" t="s">
        <v>157</v>
      </c>
      <c r="F599" s="28" t="s">
        <v>70</v>
      </c>
      <c r="G599" s="28" t="s">
        <v>125</v>
      </c>
      <c r="H599" s="31" t="s">
        <v>9</v>
      </c>
      <c r="I599" s="8" t="s">
        <v>501</v>
      </c>
      <c r="J599" s="8" t="s">
        <v>502</v>
      </c>
      <c r="K599" s="69" t="s">
        <v>503</v>
      </c>
      <c r="L599" s="8" t="s">
        <v>299</v>
      </c>
      <c r="M599" s="8" t="s">
        <v>299</v>
      </c>
      <c r="N599" s="8" t="s">
        <v>306</v>
      </c>
      <c r="O599" s="8" t="s">
        <v>149</v>
      </c>
      <c r="P599" s="8" t="s">
        <v>286</v>
      </c>
      <c r="Q599" s="8" t="s">
        <v>865</v>
      </c>
      <c r="R599" s="8" t="s">
        <v>1628</v>
      </c>
      <c r="S599" s="8" t="s">
        <v>247</v>
      </c>
      <c r="T599" s="8" t="s">
        <v>157</v>
      </c>
      <c r="U599" s="8" t="s">
        <v>194</v>
      </c>
      <c r="V599" s="8">
        <v>0</v>
      </c>
      <c r="W599" s="18">
        <v>6.6666666666666666E-2</v>
      </c>
      <c r="X599" s="51">
        <v>45659</v>
      </c>
      <c r="Y599" s="51">
        <v>42828</v>
      </c>
      <c r="Z599" s="28">
        <v>114</v>
      </c>
      <c r="AA599" s="16" t="s">
        <v>1701</v>
      </c>
      <c r="AB599" s="8" t="s">
        <v>291</v>
      </c>
      <c r="AC599" s="8" t="s">
        <v>291</v>
      </c>
      <c r="AD599" s="8" t="s">
        <v>134</v>
      </c>
      <c r="AE599" s="8">
        <v>3102717863</v>
      </c>
      <c r="AF599" s="8" t="s">
        <v>276</v>
      </c>
      <c r="AG599" s="8" t="s">
        <v>292</v>
      </c>
      <c r="AH599" s="51">
        <v>34200</v>
      </c>
      <c r="AI599" s="28">
        <v>33</v>
      </c>
      <c r="AJ599" s="51" t="s">
        <v>1853</v>
      </c>
    </row>
    <row r="600" spans="1:36" ht="12.65" customHeight="1" x14ac:dyDescent="0.35">
      <c r="A600" s="8" t="s">
        <v>139</v>
      </c>
      <c r="B600" s="8" t="s">
        <v>136</v>
      </c>
      <c r="C600" s="8" t="s">
        <v>135</v>
      </c>
      <c r="D600" s="34" t="s">
        <v>156</v>
      </c>
      <c r="E600" s="14" t="s">
        <v>157</v>
      </c>
      <c r="F600" s="28" t="s">
        <v>70</v>
      </c>
      <c r="G600" s="28" t="s">
        <v>125</v>
      </c>
      <c r="H600" s="31" t="s">
        <v>9</v>
      </c>
      <c r="I600" s="8" t="s">
        <v>483</v>
      </c>
      <c r="J600" s="8" t="s">
        <v>484</v>
      </c>
      <c r="K600" s="69" t="s">
        <v>485</v>
      </c>
      <c r="L600" s="8" t="s">
        <v>299</v>
      </c>
      <c r="M600" s="8" t="s">
        <v>299</v>
      </c>
      <c r="N600" s="8" t="s">
        <v>306</v>
      </c>
      <c r="O600" s="8" t="s">
        <v>486</v>
      </c>
      <c r="P600" s="8" t="s">
        <v>284</v>
      </c>
      <c r="Q600" s="8" t="s">
        <v>865</v>
      </c>
      <c r="R600" s="8" t="s">
        <v>1628</v>
      </c>
      <c r="S600" s="8" t="s">
        <v>247</v>
      </c>
      <c r="T600" s="8" t="s">
        <v>157</v>
      </c>
      <c r="U600" s="8" t="s">
        <v>194</v>
      </c>
      <c r="V600" s="8">
        <v>0</v>
      </c>
      <c r="W600" s="18">
        <v>6.6666666666666666E-2</v>
      </c>
      <c r="X600" s="51">
        <v>45659</v>
      </c>
      <c r="Y600" s="51">
        <v>42828</v>
      </c>
      <c r="Z600" s="28">
        <v>114</v>
      </c>
      <c r="AA600" s="16" t="s">
        <v>1701</v>
      </c>
      <c r="AB600" s="8" t="s">
        <v>294</v>
      </c>
      <c r="AC600" s="8" t="s">
        <v>291</v>
      </c>
      <c r="AD600" s="8" t="s">
        <v>134</v>
      </c>
      <c r="AE600" s="8">
        <v>3102717863</v>
      </c>
      <c r="AF600" s="8" t="s">
        <v>276</v>
      </c>
      <c r="AG600" s="8" t="s">
        <v>292</v>
      </c>
      <c r="AH600" s="51">
        <v>34200</v>
      </c>
      <c r="AI600" s="28">
        <v>33</v>
      </c>
      <c r="AJ600" s="51" t="s">
        <v>1853</v>
      </c>
    </row>
    <row r="601" spans="1:36" ht="12.65" customHeight="1" x14ac:dyDescent="0.35">
      <c r="A601" s="8" t="s">
        <v>139</v>
      </c>
      <c r="B601" s="8" t="s">
        <v>136</v>
      </c>
      <c r="C601" s="8" t="s">
        <v>135</v>
      </c>
      <c r="D601" s="34" t="s">
        <v>156</v>
      </c>
      <c r="E601" s="14" t="s">
        <v>157</v>
      </c>
      <c r="F601" s="28" t="s">
        <v>70</v>
      </c>
      <c r="G601" s="28" t="s">
        <v>125</v>
      </c>
      <c r="H601" s="31" t="s">
        <v>9</v>
      </c>
      <c r="I601" s="8" t="s">
        <v>572</v>
      </c>
      <c r="J601" s="8" t="s">
        <v>573</v>
      </c>
      <c r="K601" s="69" t="s">
        <v>574</v>
      </c>
      <c r="L601" s="8" t="s">
        <v>299</v>
      </c>
      <c r="M601" s="8" t="s">
        <v>299</v>
      </c>
      <c r="N601" s="8" t="s">
        <v>306</v>
      </c>
      <c r="O601" s="8" t="s">
        <v>20</v>
      </c>
      <c r="P601" s="8" t="s">
        <v>284</v>
      </c>
      <c r="Q601" s="8" t="s">
        <v>865</v>
      </c>
      <c r="R601" s="8" t="s">
        <v>1628</v>
      </c>
      <c r="S601" s="8" t="s">
        <v>247</v>
      </c>
      <c r="T601" s="8" t="s">
        <v>157</v>
      </c>
      <c r="U601" s="8" t="s">
        <v>194</v>
      </c>
      <c r="V601" s="8">
        <v>0</v>
      </c>
      <c r="W601" s="18">
        <v>6.6666666666666666E-2</v>
      </c>
      <c r="X601" s="51">
        <v>45659</v>
      </c>
      <c r="Y601" s="51">
        <v>42828</v>
      </c>
      <c r="Z601" s="28">
        <v>114</v>
      </c>
      <c r="AA601" s="16" t="s">
        <v>1701</v>
      </c>
      <c r="AB601" s="8" t="s">
        <v>291</v>
      </c>
      <c r="AC601" s="8" t="s">
        <v>291</v>
      </c>
      <c r="AD601" s="8" t="s">
        <v>134</v>
      </c>
      <c r="AE601" s="8">
        <v>3102717863</v>
      </c>
      <c r="AF601" s="8" t="s">
        <v>276</v>
      </c>
      <c r="AG601" s="8" t="s">
        <v>292</v>
      </c>
      <c r="AH601" s="51">
        <v>34200</v>
      </c>
      <c r="AI601" s="28">
        <v>33</v>
      </c>
      <c r="AJ601" s="51" t="s">
        <v>1853</v>
      </c>
    </row>
    <row r="602" spans="1:36" ht="12.65" customHeight="1" x14ac:dyDescent="0.35">
      <c r="A602" s="8" t="s">
        <v>139</v>
      </c>
      <c r="B602" s="8" t="s">
        <v>136</v>
      </c>
      <c r="C602" s="8" t="s">
        <v>135</v>
      </c>
      <c r="D602" s="34" t="s">
        <v>156</v>
      </c>
      <c r="E602" s="14" t="s">
        <v>157</v>
      </c>
      <c r="F602" s="28" t="s">
        <v>70</v>
      </c>
      <c r="G602" s="28" t="s">
        <v>125</v>
      </c>
      <c r="H602" s="31" t="s">
        <v>9</v>
      </c>
      <c r="I602" s="8" t="s">
        <v>823</v>
      </c>
      <c r="J602" s="8" t="s">
        <v>824</v>
      </c>
      <c r="K602" s="69" t="s">
        <v>825</v>
      </c>
      <c r="L602" s="8" t="s">
        <v>382</v>
      </c>
      <c r="M602" s="8" t="s">
        <v>382</v>
      </c>
      <c r="N602" s="8" t="s">
        <v>306</v>
      </c>
      <c r="O602" s="8" t="s">
        <v>149</v>
      </c>
      <c r="P602" s="8" t="s">
        <v>286</v>
      </c>
      <c r="Q602" s="8" t="s">
        <v>865</v>
      </c>
      <c r="R602" s="8" t="s">
        <v>1628</v>
      </c>
      <c r="S602" s="8" t="s">
        <v>247</v>
      </c>
      <c r="T602" s="8" t="s">
        <v>157</v>
      </c>
      <c r="U602" s="8" t="s">
        <v>192</v>
      </c>
      <c r="V602" s="8">
        <v>0</v>
      </c>
      <c r="W602" s="18">
        <v>6.6666666666666666E-2</v>
      </c>
      <c r="X602" s="51">
        <v>45659</v>
      </c>
      <c r="Y602" s="51">
        <v>42828</v>
      </c>
      <c r="Z602" s="28">
        <v>114</v>
      </c>
      <c r="AA602" s="16" t="s">
        <v>1701</v>
      </c>
      <c r="AB602" s="8" t="s">
        <v>291</v>
      </c>
      <c r="AC602" s="8" t="s">
        <v>293</v>
      </c>
      <c r="AD602" s="8" t="s">
        <v>134</v>
      </c>
      <c r="AE602" s="8">
        <v>3102717863</v>
      </c>
      <c r="AF602" s="8" t="s">
        <v>276</v>
      </c>
      <c r="AG602" s="8" t="s">
        <v>292</v>
      </c>
      <c r="AH602" s="51">
        <v>34200</v>
      </c>
      <c r="AI602" s="28">
        <v>33</v>
      </c>
      <c r="AJ602" s="51" t="s">
        <v>1853</v>
      </c>
    </row>
    <row r="603" spans="1:36" ht="12.65" customHeight="1" x14ac:dyDescent="0.35">
      <c r="A603" s="8" t="s">
        <v>139</v>
      </c>
      <c r="B603" s="8" t="s">
        <v>136</v>
      </c>
      <c r="C603" s="8" t="s">
        <v>135</v>
      </c>
      <c r="D603" s="34" t="s">
        <v>156</v>
      </c>
      <c r="E603" s="14" t="s">
        <v>157</v>
      </c>
      <c r="F603" s="28" t="s">
        <v>70</v>
      </c>
      <c r="G603" s="28" t="s">
        <v>125</v>
      </c>
      <c r="H603" s="31" t="s">
        <v>9</v>
      </c>
      <c r="I603" s="8" t="s">
        <v>662</v>
      </c>
      <c r="J603" s="8" t="s">
        <v>663</v>
      </c>
      <c r="K603" s="69" t="s">
        <v>664</v>
      </c>
      <c r="L603" s="8" t="s">
        <v>442</v>
      </c>
      <c r="M603" s="8" t="s">
        <v>661</v>
      </c>
      <c r="N603" s="8" t="s">
        <v>393</v>
      </c>
      <c r="O603" s="8" t="s">
        <v>149</v>
      </c>
      <c r="P603" s="8" t="s">
        <v>286</v>
      </c>
      <c r="Q603" s="8" t="s">
        <v>865</v>
      </c>
      <c r="R603" s="8" t="s">
        <v>1628</v>
      </c>
      <c r="S603" s="8" t="s">
        <v>247</v>
      </c>
      <c r="T603" s="8" t="s">
        <v>157</v>
      </c>
      <c r="U603" s="8" t="s">
        <v>183</v>
      </c>
      <c r="V603" s="8">
        <v>0</v>
      </c>
      <c r="W603" s="18">
        <v>6.6666666666666666E-2</v>
      </c>
      <c r="X603" s="51">
        <v>45659</v>
      </c>
      <c r="Y603" s="51">
        <v>42828</v>
      </c>
      <c r="Z603" s="28">
        <v>114</v>
      </c>
      <c r="AA603" s="16" t="s">
        <v>1701</v>
      </c>
      <c r="AB603" s="8" t="s">
        <v>395</v>
      </c>
      <c r="AC603" s="8" t="s">
        <v>395</v>
      </c>
      <c r="AD603" s="8" t="s">
        <v>134</v>
      </c>
      <c r="AE603" s="8">
        <v>3102717863</v>
      </c>
      <c r="AF603" s="8" t="s">
        <v>276</v>
      </c>
      <c r="AG603" s="8" t="s">
        <v>295</v>
      </c>
      <c r="AH603" s="51">
        <v>34200</v>
      </c>
      <c r="AI603" s="28">
        <v>33</v>
      </c>
      <c r="AJ603" s="51" t="s">
        <v>1853</v>
      </c>
    </row>
    <row r="604" spans="1:36" ht="12.65" customHeight="1" x14ac:dyDescent="0.35">
      <c r="A604" s="8" t="s">
        <v>139</v>
      </c>
      <c r="B604" s="8" t="s">
        <v>136</v>
      </c>
      <c r="C604" s="8" t="s">
        <v>135</v>
      </c>
      <c r="D604" s="34" t="s">
        <v>156</v>
      </c>
      <c r="E604" s="14" t="s">
        <v>157</v>
      </c>
      <c r="F604" s="28" t="s">
        <v>70</v>
      </c>
      <c r="G604" s="28" t="s">
        <v>125</v>
      </c>
      <c r="H604" s="31" t="s">
        <v>9</v>
      </c>
      <c r="I604" s="8" t="s">
        <v>658</v>
      </c>
      <c r="J604" s="8" t="s">
        <v>659</v>
      </c>
      <c r="K604" s="69" t="s">
        <v>660</v>
      </c>
      <c r="L604" s="8" t="s">
        <v>442</v>
      </c>
      <c r="M604" s="8" t="s">
        <v>661</v>
      </c>
      <c r="N604" s="8" t="s">
        <v>393</v>
      </c>
      <c r="O604" s="8" t="s">
        <v>149</v>
      </c>
      <c r="P604" s="8" t="s">
        <v>286</v>
      </c>
      <c r="Q604" s="8" t="s">
        <v>865</v>
      </c>
      <c r="R604" s="8" t="s">
        <v>1628</v>
      </c>
      <c r="S604" s="8" t="s">
        <v>247</v>
      </c>
      <c r="T604" s="8" t="s">
        <v>157</v>
      </c>
      <c r="U604" s="8" t="s">
        <v>183</v>
      </c>
      <c r="V604" s="8">
        <v>0</v>
      </c>
      <c r="W604" s="18">
        <v>6.6666666666666666E-2</v>
      </c>
      <c r="X604" s="51">
        <v>45659</v>
      </c>
      <c r="Y604" s="51">
        <v>42828</v>
      </c>
      <c r="Z604" s="28">
        <v>114</v>
      </c>
      <c r="AA604" s="16" t="s">
        <v>1701</v>
      </c>
      <c r="AB604" s="8" t="s">
        <v>293</v>
      </c>
      <c r="AC604" s="8" t="s">
        <v>293</v>
      </c>
      <c r="AD604" s="8" t="s">
        <v>134</v>
      </c>
      <c r="AE604" s="8">
        <v>3102717863</v>
      </c>
      <c r="AF604" s="8" t="s">
        <v>276</v>
      </c>
      <c r="AG604" s="8" t="s">
        <v>295</v>
      </c>
      <c r="AH604" s="51">
        <v>34200</v>
      </c>
      <c r="AI604" s="28">
        <v>33</v>
      </c>
      <c r="AJ604" s="51" t="s">
        <v>1853</v>
      </c>
    </row>
    <row r="605" spans="1:36" ht="12.65" customHeight="1" x14ac:dyDescent="0.35">
      <c r="A605" s="8" t="s">
        <v>139</v>
      </c>
      <c r="B605" s="8" t="s">
        <v>136</v>
      </c>
      <c r="C605" s="8" t="s">
        <v>135</v>
      </c>
      <c r="D605" s="34" t="s">
        <v>156</v>
      </c>
      <c r="E605" s="14" t="s">
        <v>157</v>
      </c>
      <c r="F605" s="28" t="s">
        <v>70</v>
      </c>
      <c r="G605" s="28" t="s">
        <v>125</v>
      </c>
      <c r="H605" s="31" t="s">
        <v>9</v>
      </c>
      <c r="I605" s="8" t="s">
        <v>1357</v>
      </c>
      <c r="J605" s="8" t="s">
        <v>1358</v>
      </c>
      <c r="K605" s="69" t="s">
        <v>1359</v>
      </c>
      <c r="L605" s="8" t="s">
        <v>442</v>
      </c>
      <c r="M605" s="8" t="s">
        <v>661</v>
      </c>
      <c r="N605" s="8" t="s">
        <v>393</v>
      </c>
      <c r="O605" s="8" t="s">
        <v>149</v>
      </c>
      <c r="P605" s="8" t="s">
        <v>286</v>
      </c>
      <c r="Q605" s="8" t="s">
        <v>865</v>
      </c>
      <c r="R605" s="8" t="s">
        <v>1628</v>
      </c>
      <c r="S605" s="8" t="s">
        <v>247</v>
      </c>
      <c r="T605" s="8" t="s">
        <v>157</v>
      </c>
      <c r="U605" s="8" t="s">
        <v>183</v>
      </c>
      <c r="V605" s="8">
        <v>0</v>
      </c>
      <c r="W605" s="18">
        <v>6.6666666666666666E-2</v>
      </c>
      <c r="X605" s="51">
        <v>45659</v>
      </c>
      <c r="Y605" s="51">
        <v>42828</v>
      </c>
      <c r="Z605" s="28">
        <v>114</v>
      </c>
      <c r="AA605" s="16" t="s">
        <v>1701</v>
      </c>
      <c r="AB605" s="8" t="s">
        <v>294</v>
      </c>
      <c r="AC605" s="8" t="s">
        <v>294</v>
      </c>
      <c r="AD605" s="8" t="s">
        <v>134</v>
      </c>
      <c r="AE605" s="8">
        <v>3102717863</v>
      </c>
      <c r="AF605" s="8" t="s">
        <v>276</v>
      </c>
      <c r="AG605" s="8" t="s">
        <v>295</v>
      </c>
      <c r="AH605" s="51">
        <v>34200</v>
      </c>
      <c r="AI605" s="28">
        <v>33</v>
      </c>
      <c r="AJ605" s="51" t="s">
        <v>1853</v>
      </c>
    </row>
    <row r="606" spans="1:36" ht="12.65" customHeight="1" x14ac:dyDescent="0.35">
      <c r="A606" s="8" t="s">
        <v>139</v>
      </c>
      <c r="B606" s="8" t="s">
        <v>136</v>
      </c>
      <c r="C606" s="8" t="s">
        <v>135</v>
      </c>
      <c r="D606" s="34" t="s">
        <v>156</v>
      </c>
      <c r="E606" s="14" t="s">
        <v>157</v>
      </c>
      <c r="F606" s="28" t="s">
        <v>70</v>
      </c>
      <c r="G606" s="28" t="s">
        <v>125</v>
      </c>
      <c r="H606" s="31" t="s">
        <v>9</v>
      </c>
      <c r="I606" s="8" t="s">
        <v>716</v>
      </c>
      <c r="J606" s="8" t="s">
        <v>717</v>
      </c>
      <c r="K606" s="69" t="s">
        <v>718</v>
      </c>
      <c r="L606" s="8" t="s">
        <v>442</v>
      </c>
      <c r="M606" s="8" t="s">
        <v>661</v>
      </c>
      <c r="N606" s="8" t="s">
        <v>393</v>
      </c>
      <c r="O606" s="8" t="s">
        <v>719</v>
      </c>
      <c r="P606" s="8" t="s">
        <v>286</v>
      </c>
      <c r="Q606" s="8" t="s">
        <v>865</v>
      </c>
      <c r="R606" s="8" t="s">
        <v>1628</v>
      </c>
      <c r="S606" s="8" t="s">
        <v>247</v>
      </c>
      <c r="T606" s="8" t="s">
        <v>157</v>
      </c>
      <c r="U606" s="8" t="s">
        <v>183</v>
      </c>
      <c r="V606" s="8">
        <v>0</v>
      </c>
      <c r="W606" s="18">
        <v>6.6666666666666666E-2</v>
      </c>
      <c r="X606" s="51">
        <v>45659</v>
      </c>
      <c r="Y606" s="51">
        <v>42828</v>
      </c>
      <c r="Z606" s="28">
        <v>114</v>
      </c>
      <c r="AA606" s="16" t="s">
        <v>1701</v>
      </c>
      <c r="AB606" s="8" t="s">
        <v>293</v>
      </c>
      <c r="AC606" s="8" t="s">
        <v>293</v>
      </c>
      <c r="AD606" s="8" t="s">
        <v>134</v>
      </c>
      <c r="AE606" s="8">
        <v>3102717863</v>
      </c>
      <c r="AF606" s="8" t="s">
        <v>276</v>
      </c>
      <c r="AG606" s="8" t="s">
        <v>295</v>
      </c>
      <c r="AH606" s="51">
        <v>34200</v>
      </c>
      <c r="AI606" s="28">
        <v>33</v>
      </c>
      <c r="AJ606" s="51" t="s">
        <v>1853</v>
      </c>
    </row>
    <row r="607" spans="1:36" ht="12.65" customHeight="1" x14ac:dyDescent="0.35">
      <c r="A607" s="8" t="s">
        <v>139</v>
      </c>
      <c r="B607" s="8" t="s">
        <v>136</v>
      </c>
      <c r="C607" s="8" t="s">
        <v>135</v>
      </c>
      <c r="D607" s="34" t="s">
        <v>156</v>
      </c>
      <c r="E607" s="14" t="s">
        <v>157</v>
      </c>
      <c r="F607" s="28" t="s">
        <v>70</v>
      </c>
      <c r="G607" s="28" t="s">
        <v>125</v>
      </c>
      <c r="H607" s="31" t="s">
        <v>9</v>
      </c>
      <c r="I607" s="8" t="s">
        <v>956</v>
      </c>
      <c r="J607" s="8" t="s">
        <v>957</v>
      </c>
      <c r="K607" s="69" t="s">
        <v>958</v>
      </c>
      <c r="L607" s="8" t="s">
        <v>442</v>
      </c>
      <c r="M607" s="8" t="s">
        <v>661</v>
      </c>
      <c r="N607" s="8" t="s">
        <v>393</v>
      </c>
      <c r="O607" s="8" t="s">
        <v>149</v>
      </c>
      <c r="P607" s="8" t="s">
        <v>286</v>
      </c>
      <c r="Q607" s="8" t="s">
        <v>865</v>
      </c>
      <c r="R607" s="8" t="s">
        <v>1628</v>
      </c>
      <c r="S607" s="8" t="s">
        <v>247</v>
      </c>
      <c r="T607" s="8" t="s">
        <v>157</v>
      </c>
      <c r="U607" s="8" t="s">
        <v>183</v>
      </c>
      <c r="V607" s="8">
        <v>0</v>
      </c>
      <c r="W607" s="18">
        <v>6.6666666666666666E-2</v>
      </c>
      <c r="X607" s="51">
        <v>45659</v>
      </c>
      <c r="Y607" s="51">
        <v>42828</v>
      </c>
      <c r="Z607" s="28">
        <v>114</v>
      </c>
      <c r="AA607" s="16" t="s">
        <v>1701</v>
      </c>
      <c r="AB607" s="8" t="s">
        <v>395</v>
      </c>
      <c r="AC607" s="8" t="s">
        <v>395</v>
      </c>
      <c r="AD607" s="8" t="s">
        <v>134</v>
      </c>
      <c r="AE607" s="8">
        <v>3102717863</v>
      </c>
      <c r="AF607" s="8" t="s">
        <v>276</v>
      </c>
      <c r="AG607" s="8" t="s">
        <v>295</v>
      </c>
      <c r="AH607" s="51">
        <v>34200</v>
      </c>
      <c r="AI607" s="28">
        <v>33</v>
      </c>
      <c r="AJ607" s="51" t="s">
        <v>1853</v>
      </c>
    </row>
    <row r="608" spans="1:36" ht="12.65" customHeight="1" x14ac:dyDescent="0.35">
      <c r="A608" s="8" t="s">
        <v>139</v>
      </c>
      <c r="B608" s="8" t="s">
        <v>136</v>
      </c>
      <c r="C608" s="8" t="s">
        <v>135</v>
      </c>
      <c r="D608" s="34" t="s">
        <v>156</v>
      </c>
      <c r="E608" s="14" t="s">
        <v>157</v>
      </c>
      <c r="F608" s="28" t="s">
        <v>70</v>
      </c>
      <c r="G608" s="28" t="s">
        <v>125</v>
      </c>
      <c r="H608" s="31" t="s">
        <v>9</v>
      </c>
      <c r="I608" s="8" t="s">
        <v>546</v>
      </c>
      <c r="J608" s="8" t="s">
        <v>1482</v>
      </c>
      <c r="K608" s="69" t="s">
        <v>547</v>
      </c>
      <c r="L608" s="8" t="s">
        <v>548</v>
      </c>
      <c r="M608" s="8" t="s">
        <v>548</v>
      </c>
      <c r="N608" s="8" t="s">
        <v>306</v>
      </c>
      <c r="O608" s="8" t="s">
        <v>20</v>
      </c>
      <c r="P608" s="8" t="s">
        <v>284</v>
      </c>
      <c r="Q608" s="8" t="s">
        <v>865</v>
      </c>
      <c r="R608" s="8" t="s">
        <v>1628</v>
      </c>
      <c r="S608" s="8" t="s">
        <v>247</v>
      </c>
      <c r="T608" s="8" t="s">
        <v>157</v>
      </c>
      <c r="U608" s="8" t="s">
        <v>186</v>
      </c>
      <c r="V608" s="8">
        <v>0</v>
      </c>
      <c r="W608" s="18">
        <v>6.6666666666666666E-2</v>
      </c>
      <c r="X608" s="51">
        <v>45659</v>
      </c>
      <c r="Y608" s="51">
        <v>42828</v>
      </c>
      <c r="Z608" s="28">
        <v>114</v>
      </c>
      <c r="AA608" s="16" t="s">
        <v>1701</v>
      </c>
      <c r="AB608" s="8" t="s">
        <v>294</v>
      </c>
      <c r="AC608" s="8" t="s">
        <v>294</v>
      </c>
      <c r="AD608" s="8" t="s">
        <v>134</v>
      </c>
      <c r="AE608" s="8">
        <v>3102717863</v>
      </c>
      <c r="AF608" s="8" t="s">
        <v>276</v>
      </c>
      <c r="AG608" s="8" t="s">
        <v>292</v>
      </c>
      <c r="AH608" s="51">
        <v>34200</v>
      </c>
      <c r="AI608" s="28">
        <v>33</v>
      </c>
      <c r="AJ608" s="51" t="s">
        <v>1853</v>
      </c>
    </row>
    <row r="609" spans="1:36" ht="12.65" customHeight="1" x14ac:dyDescent="0.35">
      <c r="A609" s="8" t="s">
        <v>139</v>
      </c>
      <c r="B609" s="8" t="s">
        <v>136</v>
      </c>
      <c r="C609" s="8" t="s">
        <v>135</v>
      </c>
      <c r="D609" s="34" t="s">
        <v>207</v>
      </c>
      <c r="E609" s="14" t="s">
        <v>208</v>
      </c>
      <c r="F609" s="28" t="s">
        <v>70</v>
      </c>
      <c r="G609" s="28" t="s">
        <v>125</v>
      </c>
      <c r="H609" s="31" t="s">
        <v>9</v>
      </c>
      <c r="I609" s="34" t="s">
        <v>973</v>
      </c>
      <c r="J609" s="8" t="s">
        <v>974</v>
      </c>
      <c r="K609" s="69" t="s">
        <v>975</v>
      </c>
      <c r="L609" s="8" t="s">
        <v>406</v>
      </c>
      <c r="M609" s="8" t="s">
        <v>976</v>
      </c>
      <c r="N609" s="8" t="s">
        <v>306</v>
      </c>
      <c r="O609" s="8" t="s">
        <v>351</v>
      </c>
      <c r="P609" s="8" t="s">
        <v>274</v>
      </c>
      <c r="Q609" s="8" t="s">
        <v>275</v>
      </c>
      <c r="R609" s="8" t="s">
        <v>231</v>
      </c>
      <c r="S609" s="8" t="s">
        <v>247</v>
      </c>
      <c r="T609" s="8" t="s">
        <v>208</v>
      </c>
      <c r="U609" s="8" t="s">
        <v>186</v>
      </c>
      <c r="V609" s="8">
        <v>1</v>
      </c>
      <c r="W609" s="18">
        <v>6.6666666666666666E-2</v>
      </c>
      <c r="X609" s="51">
        <v>45659</v>
      </c>
      <c r="Y609" s="51">
        <v>40400</v>
      </c>
      <c r="Z609" s="28">
        <v>194</v>
      </c>
      <c r="AA609" s="16" t="s">
        <v>1701</v>
      </c>
      <c r="AB609" s="8" t="s">
        <v>291</v>
      </c>
      <c r="AC609" s="8" t="s">
        <v>291</v>
      </c>
      <c r="AD609" s="8" t="s">
        <v>134</v>
      </c>
      <c r="AE609" s="8">
        <v>3102711462</v>
      </c>
      <c r="AF609" s="8" t="s">
        <v>276</v>
      </c>
      <c r="AG609" s="8" t="s">
        <v>295</v>
      </c>
      <c r="AH609" s="51">
        <v>30372</v>
      </c>
      <c r="AI609" s="28">
        <v>43</v>
      </c>
      <c r="AJ609" s="51" t="s">
        <v>1853</v>
      </c>
    </row>
    <row r="610" spans="1:36" ht="12.65" customHeight="1" x14ac:dyDescent="0.35">
      <c r="A610" s="8" t="s">
        <v>139</v>
      </c>
      <c r="B610" s="8" t="s">
        <v>136</v>
      </c>
      <c r="C610" s="8" t="s">
        <v>135</v>
      </c>
      <c r="D610" s="34" t="s">
        <v>207</v>
      </c>
      <c r="E610" s="14" t="s">
        <v>208</v>
      </c>
      <c r="F610" s="28" t="s">
        <v>70</v>
      </c>
      <c r="G610" s="28" t="s">
        <v>125</v>
      </c>
      <c r="H610" s="31" t="s">
        <v>9</v>
      </c>
      <c r="I610" s="34" t="s">
        <v>665</v>
      </c>
      <c r="J610" s="8" t="s">
        <v>972</v>
      </c>
      <c r="K610" s="69" t="s">
        <v>666</v>
      </c>
      <c r="L610" s="8" t="s">
        <v>406</v>
      </c>
      <c r="M610" s="8" t="s">
        <v>407</v>
      </c>
      <c r="N610" s="8" t="s">
        <v>306</v>
      </c>
      <c r="O610" s="8" t="s">
        <v>351</v>
      </c>
      <c r="P610" s="8" t="s">
        <v>274</v>
      </c>
      <c r="Q610" s="8" t="s">
        <v>275</v>
      </c>
      <c r="R610" s="8" t="s">
        <v>231</v>
      </c>
      <c r="S610" s="8" t="s">
        <v>247</v>
      </c>
      <c r="T610" s="8" t="s">
        <v>208</v>
      </c>
      <c r="U610" s="8" t="s">
        <v>186</v>
      </c>
      <c r="V610" s="8">
        <v>0</v>
      </c>
      <c r="W610" s="18">
        <v>6.6666666666666666E-2</v>
      </c>
      <c r="X610" s="51">
        <v>45659</v>
      </c>
      <c r="Y610" s="51">
        <v>40400</v>
      </c>
      <c r="Z610" s="28">
        <v>194</v>
      </c>
      <c r="AA610" s="16" t="s">
        <v>1701</v>
      </c>
      <c r="AB610" s="8" t="s">
        <v>291</v>
      </c>
      <c r="AC610" s="8" t="s">
        <v>291</v>
      </c>
      <c r="AD610" s="8" t="s">
        <v>134</v>
      </c>
      <c r="AE610" s="8">
        <v>3102711462</v>
      </c>
      <c r="AF610" s="8" t="s">
        <v>276</v>
      </c>
      <c r="AG610" s="8" t="s">
        <v>295</v>
      </c>
      <c r="AH610" s="51">
        <v>30372</v>
      </c>
      <c r="AI610" s="28">
        <v>43</v>
      </c>
      <c r="AJ610" s="51" t="s">
        <v>1853</v>
      </c>
    </row>
    <row r="611" spans="1:36" ht="12.65" customHeight="1" x14ac:dyDescent="0.35">
      <c r="A611" s="8" t="s">
        <v>139</v>
      </c>
      <c r="B611" s="8" t="s">
        <v>136</v>
      </c>
      <c r="C611" s="8" t="s">
        <v>135</v>
      </c>
      <c r="D611" s="34" t="s">
        <v>207</v>
      </c>
      <c r="E611" s="14" t="s">
        <v>208</v>
      </c>
      <c r="F611" s="28" t="s">
        <v>70</v>
      </c>
      <c r="G611" s="28" t="s">
        <v>125</v>
      </c>
      <c r="H611" s="31" t="s">
        <v>9</v>
      </c>
      <c r="I611" s="8" t="s">
        <v>860</v>
      </c>
      <c r="J611" s="8" t="s">
        <v>861</v>
      </c>
      <c r="K611" s="69" t="s">
        <v>862</v>
      </c>
      <c r="L611" s="8" t="s">
        <v>299</v>
      </c>
      <c r="M611" s="8" t="s">
        <v>299</v>
      </c>
      <c r="N611" s="8" t="s">
        <v>306</v>
      </c>
      <c r="O611" s="8" t="s">
        <v>11</v>
      </c>
      <c r="P611" s="8" t="s">
        <v>274</v>
      </c>
      <c r="Q611" s="8" t="s">
        <v>275</v>
      </c>
      <c r="R611" s="8" t="s">
        <v>231</v>
      </c>
      <c r="S611" s="8" t="s">
        <v>247</v>
      </c>
      <c r="T611" s="8" t="s">
        <v>208</v>
      </c>
      <c r="U611" s="8" t="s">
        <v>194</v>
      </c>
      <c r="V611" s="8">
        <v>0</v>
      </c>
      <c r="W611" s="18">
        <v>6.6666666666666666E-2</v>
      </c>
      <c r="X611" s="51">
        <v>45659</v>
      </c>
      <c r="Y611" s="51">
        <v>40400</v>
      </c>
      <c r="Z611" s="28">
        <v>194</v>
      </c>
      <c r="AA611" s="16" t="s">
        <v>1701</v>
      </c>
      <c r="AB611" s="8" t="s">
        <v>294</v>
      </c>
      <c r="AC611" s="8" t="s">
        <v>294</v>
      </c>
      <c r="AD611" s="8" t="s">
        <v>134</v>
      </c>
      <c r="AE611" s="8">
        <v>3102711462</v>
      </c>
      <c r="AF611" s="8" t="s">
        <v>276</v>
      </c>
      <c r="AG611" s="8" t="s">
        <v>292</v>
      </c>
      <c r="AH611" s="51">
        <v>30372</v>
      </c>
      <c r="AI611" s="28">
        <v>43</v>
      </c>
      <c r="AJ611" s="51" t="s">
        <v>1853</v>
      </c>
    </row>
    <row r="612" spans="1:36" ht="12.65" customHeight="1" x14ac:dyDescent="0.35">
      <c r="A612" s="8" t="s">
        <v>139</v>
      </c>
      <c r="B612" s="8" t="s">
        <v>136</v>
      </c>
      <c r="C612" s="8" t="s">
        <v>135</v>
      </c>
      <c r="D612" s="34" t="s">
        <v>207</v>
      </c>
      <c r="E612" s="14" t="s">
        <v>208</v>
      </c>
      <c r="F612" s="28" t="s">
        <v>70</v>
      </c>
      <c r="G612" s="28" t="s">
        <v>125</v>
      </c>
      <c r="H612" s="31" t="s">
        <v>9</v>
      </c>
      <c r="I612" s="8" t="s">
        <v>616</v>
      </c>
      <c r="J612" s="8" t="s">
        <v>617</v>
      </c>
      <c r="K612" s="69" t="s">
        <v>618</v>
      </c>
      <c r="L612" s="8" t="s">
        <v>299</v>
      </c>
      <c r="M612" s="8" t="s">
        <v>299</v>
      </c>
      <c r="N612" s="8" t="s">
        <v>306</v>
      </c>
      <c r="O612" s="8" t="s">
        <v>11</v>
      </c>
      <c r="P612" s="8" t="s">
        <v>274</v>
      </c>
      <c r="Q612" s="8" t="s">
        <v>275</v>
      </c>
      <c r="R612" s="8" t="s">
        <v>231</v>
      </c>
      <c r="S612" s="8" t="s">
        <v>247</v>
      </c>
      <c r="T612" s="8" t="s">
        <v>208</v>
      </c>
      <c r="U612" s="8" t="s">
        <v>194</v>
      </c>
      <c r="V612" s="8">
        <v>0</v>
      </c>
      <c r="W612" s="18">
        <v>6.6666666666666666E-2</v>
      </c>
      <c r="X612" s="51">
        <v>45659</v>
      </c>
      <c r="Y612" s="51">
        <v>40400</v>
      </c>
      <c r="Z612" s="28">
        <v>194</v>
      </c>
      <c r="AA612" s="16" t="s">
        <v>1701</v>
      </c>
      <c r="AB612" s="8" t="s">
        <v>291</v>
      </c>
      <c r="AC612" s="8" t="s">
        <v>291</v>
      </c>
      <c r="AD612" s="8" t="s">
        <v>134</v>
      </c>
      <c r="AE612" s="8">
        <v>3102711462</v>
      </c>
      <c r="AF612" s="8" t="s">
        <v>276</v>
      </c>
      <c r="AG612" s="8" t="s">
        <v>292</v>
      </c>
      <c r="AH612" s="51">
        <v>30372</v>
      </c>
      <c r="AI612" s="28">
        <v>43</v>
      </c>
      <c r="AJ612" s="51" t="s">
        <v>1853</v>
      </c>
    </row>
    <row r="613" spans="1:36" ht="12.65" customHeight="1" x14ac:dyDescent="0.35">
      <c r="A613" s="8" t="s">
        <v>139</v>
      </c>
      <c r="B613" s="8" t="s">
        <v>136</v>
      </c>
      <c r="C613" s="8" t="s">
        <v>135</v>
      </c>
      <c r="D613" s="34" t="s">
        <v>207</v>
      </c>
      <c r="E613" s="14" t="s">
        <v>208</v>
      </c>
      <c r="F613" s="28" t="s">
        <v>70</v>
      </c>
      <c r="G613" s="28" t="s">
        <v>125</v>
      </c>
      <c r="H613" s="31" t="s">
        <v>9</v>
      </c>
      <c r="I613" s="8" t="s">
        <v>727</v>
      </c>
      <c r="J613" s="8" t="s">
        <v>32</v>
      </c>
      <c r="K613" s="69" t="s">
        <v>728</v>
      </c>
      <c r="L613" s="8" t="s">
        <v>299</v>
      </c>
      <c r="M613" s="8" t="s">
        <v>299</v>
      </c>
      <c r="N613" s="8" t="s">
        <v>306</v>
      </c>
      <c r="O613" s="8" t="s">
        <v>11</v>
      </c>
      <c r="P613" s="8" t="s">
        <v>274</v>
      </c>
      <c r="Q613" s="8" t="s">
        <v>275</v>
      </c>
      <c r="R613" s="8" t="s">
        <v>231</v>
      </c>
      <c r="S613" s="8" t="s">
        <v>247</v>
      </c>
      <c r="T613" s="8" t="s">
        <v>208</v>
      </c>
      <c r="U613" s="8" t="s">
        <v>194</v>
      </c>
      <c r="V613" s="8">
        <v>0</v>
      </c>
      <c r="W613" s="18">
        <v>6.6666666666666666E-2</v>
      </c>
      <c r="X613" s="51">
        <v>45659</v>
      </c>
      <c r="Y613" s="51">
        <v>40400</v>
      </c>
      <c r="Z613" s="28">
        <v>194</v>
      </c>
      <c r="AA613" s="16" t="s">
        <v>1701</v>
      </c>
      <c r="AB613" s="8" t="s">
        <v>291</v>
      </c>
      <c r="AC613" s="8" t="s">
        <v>291</v>
      </c>
      <c r="AD613" s="8" t="s">
        <v>134</v>
      </c>
      <c r="AE613" s="8">
        <v>3102711462</v>
      </c>
      <c r="AF613" s="8" t="s">
        <v>276</v>
      </c>
      <c r="AG613" s="8" t="s">
        <v>292</v>
      </c>
      <c r="AH613" s="51">
        <v>30372</v>
      </c>
      <c r="AI613" s="28">
        <v>43</v>
      </c>
      <c r="AJ613" s="51" t="s">
        <v>1853</v>
      </c>
    </row>
    <row r="614" spans="1:36" ht="12.65" customHeight="1" x14ac:dyDescent="0.35">
      <c r="A614" s="8" t="s">
        <v>139</v>
      </c>
      <c r="B614" s="8" t="s">
        <v>136</v>
      </c>
      <c r="C614" s="8" t="s">
        <v>135</v>
      </c>
      <c r="D614" s="34" t="s">
        <v>207</v>
      </c>
      <c r="E614" s="14" t="s">
        <v>208</v>
      </c>
      <c r="F614" s="28" t="s">
        <v>70</v>
      </c>
      <c r="G614" s="28" t="s">
        <v>125</v>
      </c>
      <c r="H614" s="31" t="s">
        <v>9</v>
      </c>
      <c r="I614" s="8" t="s">
        <v>1005</v>
      </c>
      <c r="J614" s="8" t="s">
        <v>1006</v>
      </c>
      <c r="K614" s="69" t="s">
        <v>1007</v>
      </c>
      <c r="L614" s="8" t="s">
        <v>299</v>
      </c>
      <c r="M614" s="8" t="s">
        <v>299</v>
      </c>
      <c r="N614" s="8" t="s">
        <v>306</v>
      </c>
      <c r="O614" s="8" t="s">
        <v>351</v>
      </c>
      <c r="P614" s="8" t="s">
        <v>274</v>
      </c>
      <c r="Q614" s="8" t="s">
        <v>275</v>
      </c>
      <c r="R614" s="8" t="s">
        <v>231</v>
      </c>
      <c r="S614" s="8" t="s">
        <v>247</v>
      </c>
      <c r="T614" s="8" t="s">
        <v>208</v>
      </c>
      <c r="U614" s="8" t="s">
        <v>194</v>
      </c>
      <c r="V614" s="8">
        <v>0</v>
      </c>
      <c r="W614" s="18">
        <v>6.6666666666666666E-2</v>
      </c>
      <c r="X614" s="51">
        <v>45659</v>
      </c>
      <c r="Y614" s="51">
        <v>40400</v>
      </c>
      <c r="Z614" s="28">
        <v>194</v>
      </c>
      <c r="AA614" s="16" t="s">
        <v>1701</v>
      </c>
      <c r="AB614" s="8" t="s">
        <v>293</v>
      </c>
      <c r="AC614" s="8" t="s">
        <v>293</v>
      </c>
      <c r="AD614" s="8" t="s">
        <v>134</v>
      </c>
      <c r="AE614" s="8">
        <v>3102711462</v>
      </c>
      <c r="AF614" s="8" t="s">
        <v>276</v>
      </c>
      <c r="AG614" s="8" t="s">
        <v>295</v>
      </c>
      <c r="AH614" s="51">
        <v>30372</v>
      </c>
      <c r="AI614" s="28">
        <v>43</v>
      </c>
      <c r="AJ614" s="51" t="s">
        <v>1853</v>
      </c>
    </row>
    <row r="615" spans="1:36" ht="12.65" customHeight="1" x14ac:dyDescent="0.35">
      <c r="A615" s="8" t="s">
        <v>139</v>
      </c>
      <c r="B615" s="8" t="s">
        <v>136</v>
      </c>
      <c r="C615" s="8" t="s">
        <v>135</v>
      </c>
      <c r="D615" s="34" t="s">
        <v>207</v>
      </c>
      <c r="E615" s="14" t="s">
        <v>208</v>
      </c>
      <c r="F615" s="28" t="s">
        <v>70</v>
      </c>
      <c r="G615" s="28" t="s">
        <v>125</v>
      </c>
      <c r="H615" s="31" t="s">
        <v>9</v>
      </c>
      <c r="I615" s="8" t="s">
        <v>744</v>
      </c>
      <c r="J615" s="8" t="s">
        <v>745</v>
      </c>
      <c r="K615" s="69" t="s">
        <v>746</v>
      </c>
      <c r="L615" s="8" t="s">
        <v>299</v>
      </c>
      <c r="M615" s="8" t="s">
        <v>299</v>
      </c>
      <c r="N615" s="8" t="s">
        <v>306</v>
      </c>
      <c r="O615" s="8" t="s">
        <v>296</v>
      </c>
      <c r="P615" s="8" t="s">
        <v>274</v>
      </c>
      <c r="Q615" s="8" t="s">
        <v>275</v>
      </c>
      <c r="R615" s="8" t="s">
        <v>231</v>
      </c>
      <c r="S615" s="8" t="s">
        <v>247</v>
      </c>
      <c r="T615" s="8" t="s">
        <v>208</v>
      </c>
      <c r="U615" s="8" t="s">
        <v>194</v>
      </c>
      <c r="V615" s="8">
        <v>0</v>
      </c>
      <c r="W615" s="18">
        <v>6.6666666666666666E-2</v>
      </c>
      <c r="X615" s="51">
        <v>45659</v>
      </c>
      <c r="Y615" s="51">
        <v>40400</v>
      </c>
      <c r="Z615" s="28">
        <v>194</v>
      </c>
      <c r="AA615" s="16" t="s">
        <v>1701</v>
      </c>
      <c r="AB615" s="8" t="s">
        <v>294</v>
      </c>
      <c r="AC615" s="8" t="s">
        <v>294</v>
      </c>
      <c r="AD615" s="8" t="s">
        <v>134</v>
      </c>
      <c r="AE615" s="8">
        <v>3102711462</v>
      </c>
      <c r="AF615" s="8" t="s">
        <v>276</v>
      </c>
      <c r="AG615" s="8" t="s">
        <v>292</v>
      </c>
      <c r="AH615" s="51">
        <v>30372</v>
      </c>
      <c r="AI615" s="28">
        <v>43</v>
      </c>
      <c r="AJ615" s="51" t="s">
        <v>1853</v>
      </c>
    </row>
    <row r="616" spans="1:36" ht="12.65" customHeight="1" x14ac:dyDescent="0.35">
      <c r="A616" s="8" t="s">
        <v>139</v>
      </c>
      <c r="B616" s="8" t="s">
        <v>136</v>
      </c>
      <c r="C616" s="8" t="s">
        <v>135</v>
      </c>
      <c r="D616" s="34" t="s">
        <v>207</v>
      </c>
      <c r="E616" s="14" t="s">
        <v>208</v>
      </c>
      <c r="F616" s="28" t="s">
        <v>70</v>
      </c>
      <c r="G616" s="28" t="s">
        <v>125</v>
      </c>
      <c r="H616" s="31" t="s">
        <v>9</v>
      </c>
      <c r="I616" s="8" t="s">
        <v>850</v>
      </c>
      <c r="J616" s="8" t="s">
        <v>851</v>
      </c>
      <c r="K616" s="69" t="s">
        <v>852</v>
      </c>
      <c r="L616" s="8" t="s">
        <v>299</v>
      </c>
      <c r="M616" s="8" t="s">
        <v>299</v>
      </c>
      <c r="N616" s="8" t="s">
        <v>306</v>
      </c>
      <c r="O616" s="8" t="s">
        <v>11</v>
      </c>
      <c r="P616" s="8" t="s">
        <v>274</v>
      </c>
      <c r="Q616" s="8" t="s">
        <v>275</v>
      </c>
      <c r="R616" s="8" t="s">
        <v>231</v>
      </c>
      <c r="S616" s="8" t="s">
        <v>247</v>
      </c>
      <c r="T616" s="8" t="s">
        <v>208</v>
      </c>
      <c r="U616" s="8" t="s">
        <v>194</v>
      </c>
      <c r="V616" s="8">
        <v>0</v>
      </c>
      <c r="W616" s="18">
        <v>6.6666666666666666E-2</v>
      </c>
      <c r="X616" s="51">
        <v>45659</v>
      </c>
      <c r="Y616" s="51">
        <v>40400</v>
      </c>
      <c r="Z616" s="28">
        <v>194</v>
      </c>
      <c r="AA616" s="16" t="s">
        <v>1701</v>
      </c>
      <c r="AB616" s="8" t="s">
        <v>294</v>
      </c>
      <c r="AC616" s="8" t="s">
        <v>294</v>
      </c>
      <c r="AD616" s="8" t="s">
        <v>134</v>
      </c>
      <c r="AE616" s="8">
        <v>3102711462</v>
      </c>
      <c r="AF616" s="8" t="s">
        <v>276</v>
      </c>
      <c r="AG616" s="8" t="s">
        <v>292</v>
      </c>
      <c r="AH616" s="51">
        <v>30372</v>
      </c>
      <c r="AI616" s="28">
        <v>43</v>
      </c>
      <c r="AJ616" s="51" t="s">
        <v>1853</v>
      </c>
    </row>
    <row r="617" spans="1:36" ht="12.65" customHeight="1" x14ac:dyDescent="0.35">
      <c r="A617" s="8" t="s">
        <v>139</v>
      </c>
      <c r="B617" s="8" t="s">
        <v>136</v>
      </c>
      <c r="C617" s="8" t="s">
        <v>135</v>
      </c>
      <c r="D617" s="34" t="s">
        <v>207</v>
      </c>
      <c r="E617" s="17" t="s">
        <v>208</v>
      </c>
      <c r="F617" s="52" t="s">
        <v>70</v>
      </c>
      <c r="G617" s="28" t="s">
        <v>125</v>
      </c>
      <c r="H617" s="31" t="s">
        <v>9</v>
      </c>
      <c r="I617" s="8" t="s">
        <v>1045</v>
      </c>
      <c r="J617" s="8" t="s">
        <v>1046</v>
      </c>
      <c r="K617" s="69" t="s">
        <v>1047</v>
      </c>
      <c r="L617" s="8" t="s">
        <v>299</v>
      </c>
      <c r="M617" s="8" t="s">
        <v>299</v>
      </c>
      <c r="N617" s="8" t="s">
        <v>306</v>
      </c>
      <c r="O617" s="8" t="s">
        <v>11</v>
      </c>
      <c r="P617" s="8" t="s">
        <v>274</v>
      </c>
      <c r="Q617" s="8" t="s">
        <v>275</v>
      </c>
      <c r="R617" s="8" t="s">
        <v>231</v>
      </c>
      <c r="S617" s="8" t="s">
        <v>247</v>
      </c>
      <c r="T617" s="17" t="s">
        <v>208</v>
      </c>
      <c r="U617" s="8" t="s">
        <v>194</v>
      </c>
      <c r="V617" s="8">
        <v>0</v>
      </c>
      <c r="W617" s="18">
        <v>6.6666666666666666E-2</v>
      </c>
      <c r="X617" s="51">
        <v>45659</v>
      </c>
      <c r="Y617" s="51">
        <v>40400</v>
      </c>
      <c r="Z617" s="28">
        <v>194</v>
      </c>
      <c r="AA617" s="16" t="s">
        <v>1701</v>
      </c>
      <c r="AB617" s="8" t="s">
        <v>294</v>
      </c>
      <c r="AC617" s="8" t="s">
        <v>294</v>
      </c>
      <c r="AD617" s="8" t="s">
        <v>134</v>
      </c>
      <c r="AE617" s="8">
        <v>3102711462</v>
      </c>
      <c r="AF617" s="8" t="s">
        <v>276</v>
      </c>
      <c r="AG617" s="8" t="s">
        <v>292</v>
      </c>
      <c r="AH617" s="51">
        <v>30372</v>
      </c>
      <c r="AI617" s="28">
        <v>43</v>
      </c>
      <c r="AJ617" s="51" t="s">
        <v>1853</v>
      </c>
    </row>
    <row r="618" spans="1:36" ht="12.65" customHeight="1" x14ac:dyDescent="0.35">
      <c r="A618" s="8" t="s">
        <v>139</v>
      </c>
      <c r="B618" s="8" t="s">
        <v>136</v>
      </c>
      <c r="C618" s="8" t="s">
        <v>135</v>
      </c>
      <c r="D618" s="34" t="s">
        <v>207</v>
      </c>
      <c r="E618" s="14" t="s">
        <v>208</v>
      </c>
      <c r="F618" s="28" t="s">
        <v>70</v>
      </c>
      <c r="G618" s="28" t="s">
        <v>125</v>
      </c>
      <c r="H618" s="31" t="s">
        <v>9</v>
      </c>
      <c r="I618" s="8" t="s">
        <v>444</v>
      </c>
      <c r="J618" s="8" t="s">
        <v>971</v>
      </c>
      <c r="K618" s="69" t="s">
        <v>445</v>
      </c>
      <c r="L618" s="8" t="s">
        <v>299</v>
      </c>
      <c r="M618" s="8" t="s">
        <v>299</v>
      </c>
      <c r="N618" s="8" t="s">
        <v>306</v>
      </c>
      <c r="O618" s="8" t="s">
        <v>11</v>
      </c>
      <c r="P618" s="8" t="s">
        <v>274</v>
      </c>
      <c r="Q618" s="8" t="s">
        <v>275</v>
      </c>
      <c r="R618" s="8" t="s">
        <v>231</v>
      </c>
      <c r="S618" s="8" t="s">
        <v>247</v>
      </c>
      <c r="T618" s="8" t="s">
        <v>208</v>
      </c>
      <c r="U618" s="8" t="s">
        <v>194</v>
      </c>
      <c r="V618" s="8">
        <v>0</v>
      </c>
      <c r="W618" s="18">
        <v>6.6666666666666666E-2</v>
      </c>
      <c r="X618" s="51">
        <v>45659</v>
      </c>
      <c r="Y618" s="51">
        <v>40400</v>
      </c>
      <c r="Z618" s="28">
        <v>194</v>
      </c>
      <c r="AA618" s="16" t="s">
        <v>1701</v>
      </c>
      <c r="AB618" s="8" t="s">
        <v>291</v>
      </c>
      <c r="AC618" s="8" t="s">
        <v>291</v>
      </c>
      <c r="AD618" s="8" t="s">
        <v>134</v>
      </c>
      <c r="AE618" s="8">
        <v>3102711462</v>
      </c>
      <c r="AF618" s="8" t="s">
        <v>276</v>
      </c>
      <c r="AG618" s="8" t="s">
        <v>292</v>
      </c>
      <c r="AH618" s="51">
        <v>30372</v>
      </c>
      <c r="AI618" s="28">
        <v>43</v>
      </c>
      <c r="AJ618" s="51" t="s">
        <v>1853</v>
      </c>
    </row>
    <row r="619" spans="1:36" ht="12.65" customHeight="1" x14ac:dyDescent="0.35">
      <c r="A619" s="8" t="s">
        <v>139</v>
      </c>
      <c r="B619" s="8" t="s">
        <v>136</v>
      </c>
      <c r="C619" s="8" t="s">
        <v>135</v>
      </c>
      <c r="D619" s="34" t="s">
        <v>207</v>
      </c>
      <c r="E619" s="17" t="s">
        <v>208</v>
      </c>
      <c r="F619" s="52" t="s">
        <v>70</v>
      </c>
      <c r="G619" s="28" t="s">
        <v>125</v>
      </c>
      <c r="H619" s="31" t="s">
        <v>9</v>
      </c>
      <c r="I619" s="8" t="s">
        <v>474</v>
      </c>
      <c r="J619" s="8" t="s">
        <v>897</v>
      </c>
      <c r="K619" s="69" t="s">
        <v>475</v>
      </c>
      <c r="L619" s="8" t="s">
        <v>299</v>
      </c>
      <c r="M619" s="8" t="s">
        <v>299</v>
      </c>
      <c r="N619" s="8" t="s">
        <v>306</v>
      </c>
      <c r="O619" s="8" t="s">
        <v>11</v>
      </c>
      <c r="P619" s="8" t="s">
        <v>274</v>
      </c>
      <c r="Q619" s="8" t="s">
        <v>275</v>
      </c>
      <c r="R619" s="8" t="s">
        <v>231</v>
      </c>
      <c r="S619" s="8" t="s">
        <v>247</v>
      </c>
      <c r="T619" s="17" t="s">
        <v>208</v>
      </c>
      <c r="U619" s="8" t="s">
        <v>194</v>
      </c>
      <c r="V619" s="8">
        <v>0</v>
      </c>
      <c r="W619" s="18">
        <v>6.6666666666666666E-2</v>
      </c>
      <c r="X619" s="51">
        <v>45659</v>
      </c>
      <c r="Y619" s="51">
        <v>40400</v>
      </c>
      <c r="Z619" s="28">
        <v>194</v>
      </c>
      <c r="AA619" s="16" t="s">
        <v>1701</v>
      </c>
      <c r="AB619" s="8" t="s">
        <v>291</v>
      </c>
      <c r="AC619" s="8" t="s">
        <v>291</v>
      </c>
      <c r="AD619" s="8" t="s">
        <v>134</v>
      </c>
      <c r="AE619" s="8">
        <v>3102711462</v>
      </c>
      <c r="AF619" s="8" t="s">
        <v>276</v>
      </c>
      <c r="AG619" s="8" t="s">
        <v>292</v>
      </c>
      <c r="AH619" s="51">
        <v>30372</v>
      </c>
      <c r="AI619" s="28">
        <v>43</v>
      </c>
      <c r="AJ619" s="51" t="s">
        <v>1853</v>
      </c>
    </row>
    <row r="620" spans="1:36" ht="12.65" customHeight="1" x14ac:dyDescent="0.35">
      <c r="A620" s="8" t="s">
        <v>139</v>
      </c>
      <c r="B620" s="8" t="s">
        <v>136</v>
      </c>
      <c r="C620" s="8" t="s">
        <v>135</v>
      </c>
      <c r="D620" s="34" t="s">
        <v>207</v>
      </c>
      <c r="E620" s="17" t="s">
        <v>208</v>
      </c>
      <c r="F620" s="52" t="s">
        <v>70</v>
      </c>
      <c r="G620" s="28" t="s">
        <v>125</v>
      </c>
      <c r="H620" s="31" t="s">
        <v>9</v>
      </c>
      <c r="I620" s="8" t="s">
        <v>762</v>
      </c>
      <c r="J620" s="8" t="s">
        <v>1296</v>
      </c>
      <c r="K620" s="69" t="s">
        <v>763</v>
      </c>
      <c r="L620" s="8" t="s">
        <v>299</v>
      </c>
      <c r="M620" s="8" t="s">
        <v>299</v>
      </c>
      <c r="N620" s="8" t="s">
        <v>306</v>
      </c>
      <c r="O620" s="8" t="s">
        <v>11</v>
      </c>
      <c r="P620" s="8" t="s">
        <v>274</v>
      </c>
      <c r="Q620" s="8" t="s">
        <v>275</v>
      </c>
      <c r="R620" s="8" t="s">
        <v>231</v>
      </c>
      <c r="S620" s="8" t="s">
        <v>247</v>
      </c>
      <c r="T620" s="17" t="s">
        <v>208</v>
      </c>
      <c r="U620" s="8" t="s">
        <v>194</v>
      </c>
      <c r="V620" s="8">
        <v>0</v>
      </c>
      <c r="W620" s="18">
        <v>6.6666666666666666E-2</v>
      </c>
      <c r="X620" s="51">
        <v>45659</v>
      </c>
      <c r="Y620" s="51">
        <v>40400</v>
      </c>
      <c r="Z620" s="28">
        <v>194</v>
      </c>
      <c r="AA620" s="16" t="s">
        <v>1701</v>
      </c>
      <c r="AB620" s="8" t="s">
        <v>293</v>
      </c>
      <c r="AC620" s="8" t="s">
        <v>293</v>
      </c>
      <c r="AD620" s="8" t="s">
        <v>134</v>
      </c>
      <c r="AE620" s="8">
        <v>3102711462</v>
      </c>
      <c r="AF620" s="8" t="s">
        <v>276</v>
      </c>
      <c r="AG620" s="8" t="s">
        <v>292</v>
      </c>
      <c r="AH620" s="51">
        <v>30372</v>
      </c>
      <c r="AI620" s="28">
        <v>43</v>
      </c>
      <c r="AJ620" s="51" t="s">
        <v>1853</v>
      </c>
    </row>
    <row r="621" spans="1:36" ht="12.65" customHeight="1" x14ac:dyDescent="0.35">
      <c r="A621" s="8" t="s">
        <v>139</v>
      </c>
      <c r="B621" s="8" t="s">
        <v>136</v>
      </c>
      <c r="C621" s="8" t="s">
        <v>135</v>
      </c>
      <c r="D621" s="34" t="s">
        <v>207</v>
      </c>
      <c r="E621" s="14" t="s">
        <v>208</v>
      </c>
      <c r="F621" s="28" t="s">
        <v>70</v>
      </c>
      <c r="G621" s="28" t="s">
        <v>125</v>
      </c>
      <c r="H621" s="31" t="s">
        <v>9</v>
      </c>
      <c r="I621" s="8" t="s">
        <v>451</v>
      </c>
      <c r="J621" s="8" t="s">
        <v>1057</v>
      </c>
      <c r="K621" s="69" t="s">
        <v>452</v>
      </c>
      <c r="L621" s="8" t="s">
        <v>406</v>
      </c>
      <c r="M621" s="8" t="s">
        <v>407</v>
      </c>
      <c r="N621" s="8" t="s">
        <v>306</v>
      </c>
      <c r="O621" s="8" t="s">
        <v>11</v>
      </c>
      <c r="P621" s="8" t="s">
        <v>274</v>
      </c>
      <c r="Q621" s="8" t="s">
        <v>275</v>
      </c>
      <c r="R621" s="8" t="s">
        <v>231</v>
      </c>
      <c r="S621" s="8" t="s">
        <v>247</v>
      </c>
      <c r="T621" s="8" t="s">
        <v>208</v>
      </c>
      <c r="U621" s="8" t="s">
        <v>186</v>
      </c>
      <c r="V621" s="8">
        <v>0</v>
      </c>
      <c r="W621" s="18">
        <v>6.6666666666666666E-2</v>
      </c>
      <c r="X621" s="51">
        <v>45659</v>
      </c>
      <c r="Y621" s="51">
        <v>40400</v>
      </c>
      <c r="Z621" s="28">
        <v>194</v>
      </c>
      <c r="AA621" s="16" t="s">
        <v>1701</v>
      </c>
      <c r="AB621" s="8" t="s">
        <v>395</v>
      </c>
      <c r="AC621" s="8" t="s">
        <v>395</v>
      </c>
      <c r="AD621" s="8" t="s">
        <v>134</v>
      </c>
      <c r="AE621" s="8">
        <v>3102711462</v>
      </c>
      <c r="AF621" s="8" t="s">
        <v>276</v>
      </c>
      <c r="AG621" s="8" t="s">
        <v>292</v>
      </c>
      <c r="AH621" s="51">
        <v>30372</v>
      </c>
      <c r="AI621" s="28">
        <v>43</v>
      </c>
      <c r="AJ621" s="51" t="s">
        <v>1853</v>
      </c>
    </row>
    <row r="622" spans="1:36" ht="12.65" customHeight="1" x14ac:dyDescent="0.35">
      <c r="A622" s="8" t="s">
        <v>139</v>
      </c>
      <c r="B622" s="8" t="s">
        <v>136</v>
      </c>
      <c r="C622" s="8" t="s">
        <v>135</v>
      </c>
      <c r="D622" s="34" t="s">
        <v>207</v>
      </c>
      <c r="E622" s="14" t="s">
        <v>208</v>
      </c>
      <c r="F622" s="28" t="s">
        <v>70</v>
      </c>
      <c r="G622" s="28" t="s">
        <v>125</v>
      </c>
      <c r="H622" s="31" t="s">
        <v>9</v>
      </c>
      <c r="I622" s="8" t="s">
        <v>1513</v>
      </c>
      <c r="J622" s="8" t="s">
        <v>1514</v>
      </c>
      <c r="K622" s="69" t="s">
        <v>1515</v>
      </c>
      <c r="L622" s="8" t="s">
        <v>548</v>
      </c>
      <c r="M622" s="8" t="s">
        <v>548</v>
      </c>
      <c r="N622" s="8" t="s">
        <v>306</v>
      </c>
      <c r="O622" s="8" t="s">
        <v>11</v>
      </c>
      <c r="P622" s="8" t="s">
        <v>274</v>
      </c>
      <c r="Q622" s="8" t="s">
        <v>275</v>
      </c>
      <c r="R622" s="8" t="s">
        <v>231</v>
      </c>
      <c r="S622" s="8" t="s">
        <v>247</v>
      </c>
      <c r="T622" s="8" t="s">
        <v>208</v>
      </c>
      <c r="U622" s="8" t="s">
        <v>186</v>
      </c>
      <c r="V622" s="8">
        <v>0</v>
      </c>
      <c r="W622" s="18">
        <v>6.6666666666666666E-2</v>
      </c>
      <c r="X622" s="51">
        <v>45659</v>
      </c>
      <c r="Y622" s="51">
        <v>40400</v>
      </c>
      <c r="Z622" s="28">
        <v>194</v>
      </c>
      <c r="AA622" s="16" t="s">
        <v>1701</v>
      </c>
      <c r="AB622" s="8" t="s">
        <v>294</v>
      </c>
      <c r="AC622" s="8" t="s">
        <v>294</v>
      </c>
      <c r="AD622" s="8" t="s">
        <v>134</v>
      </c>
      <c r="AE622" s="8">
        <v>3102711462</v>
      </c>
      <c r="AF622" s="8" t="s">
        <v>276</v>
      </c>
      <c r="AG622" s="8" t="s">
        <v>295</v>
      </c>
      <c r="AH622" s="51">
        <v>30372</v>
      </c>
      <c r="AI622" s="28">
        <v>43</v>
      </c>
      <c r="AJ622" s="51" t="s">
        <v>1853</v>
      </c>
    </row>
    <row r="623" spans="1:36" ht="12.65" customHeight="1" x14ac:dyDescent="0.35">
      <c r="A623" s="8" t="s">
        <v>139</v>
      </c>
      <c r="B623" s="8" t="s">
        <v>136</v>
      </c>
      <c r="C623" s="8" t="s">
        <v>135</v>
      </c>
      <c r="D623" s="34" t="s">
        <v>207</v>
      </c>
      <c r="E623" s="17" t="s">
        <v>208</v>
      </c>
      <c r="F623" s="52" t="s">
        <v>70</v>
      </c>
      <c r="G623" s="28" t="s">
        <v>125</v>
      </c>
      <c r="H623" s="31" t="s">
        <v>9</v>
      </c>
      <c r="I623" s="8" t="s">
        <v>1422</v>
      </c>
      <c r="J623" s="8" t="s">
        <v>1423</v>
      </c>
      <c r="K623" s="69" t="s">
        <v>1424</v>
      </c>
      <c r="L623" s="8" t="s">
        <v>406</v>
      </c>
      <c r="M623" s="8" t="s">
        <v>976</v>
      </c>
      <c r="N623" s="8" t="s">
        <v>306</v>
      </c>
      <c r="O623" s="8" t="s">
        <v>11</v>
      </c>
      <c r="P623" s="8" t="s">
        <v>274</v>
      </c>
      <c r="Q623" s="8" t="s">
        <v>275</v>
      </c>
      <c r="R623" s="8" t="s">
        <v>231</v>
      </c>
      <c r="S623" s="8" t="s">
        <v>247</v>
      </c>
      <c r="T623" s="17" t="s">
        <v>208</v>
      </c>
      <c r="U623" s="8" t="s">
        <v>186</v>
      </c>
      <c r="V623" s="8">
        <v>0</v>
      </c>
      <c r="W623" s="18">
        <v>6.6666666666666666E-2</v>
      </c>
      <c r="X623" s="51">
        <v>45659</v>
      </c>
      <c r="Y623" s="51">
        <v>40400</v>
      </c>
      <c r="Z623" s="28">
        <v>194</v>
      </c>
      <c r="AA623" s="16" t="s">
        <v>1701</v>
      </c>
      <c r="AB623" s="8" t="s">
        <v>293</v>
      </c>
      <c r="AC623" s="8" t="s">
        <v>293</v>
      </c>
      <c r="AD623" s="8" t="s">
        <v>134</v>
      </c>
      <c r="AE623" s="8">
        <v>3102711462</v>
      </c>
      <c r="AF623" s="8" t="s">
        <v>276</v>
      </c>
      <c r="AG623" s="8" t="s">
        <v>292</v>
      </c>
      <c r="AH623" s="51">
        <v>30372</v>
      </c>
      <c r="AI623" s="28">
        <v>43</v>
      </c>
      <c r="AJ623" s="51" t="s">
        <v>1853</v>
      </c>
    </row>
    <row r="624" spans="1:36" ht="12.65" customHeight="1" x14ac:dyDescent="0.35">
      <c r="A624" s="8" t="s">
        <v>139</v>
      </c>
      <c r="B624" s="8" t="s">
        <v>136</v>
      </c>
      <c r="C624" s="8" t="s">
        <v>135</v>
      </c>
      <c r="D624" s="34" t="s">
        <v>198</v>
      </c>
      <c r="E624" s="17" t="s">
        <v>199</v>
      </c>
      <c r="F624" s="52" t="s">
        <v>70</v>
      </c>
      <c r="G624" s="28" t="s">
        <v>125</v>
      </c>
      <c r="H624" s="31" t="s">
        <v>9</v>
      </c>
      <c r="I624" s="8" t="s">
        <v>575</v>
      </c>
      <c r="J624" s="8" t="s">
        <v>576</v>
      </c>
      <c r="K624" s="69" t="s">
        <v>577</v>
      </c>
      <c r="L624" s="8" t="s">
        <v>382</v>
      </c>
      <c r="M624" s="8" t="s">
        <v>382</v>
      </c>
      <c r="N624" s="8" t="s">
        <v>306</v>
      </c>
      <c r="O624" s="8" t="s">
        <v>36</v>
      </c>
      <c r="P624" s="8" t="s">
        <v>282</v>
      </c>
      <c r="Q624" s="8" t="s">
        <v>543</v>
      </c>
      <c r="R624" s="8" t="s">
        <v>222</v>
      </c>
      <c r="S624" s="8" t="s">
        <v>237</v>
      </c>
      <c r="T624" s="17" t="s">
        <v>199</v>
      </c>
      <c r="U624" s="8" t="s">
        <v>192</v>
      </c>
      <c r="V624" s="8">
        <v>1</v>
      </c>
      <c r="W624" s="18">
        <v>7.6923076923076927E-2</v>
      </c>
      <c r="X624" s="51">
        <v>45664</v>
      </c>
      <c r="Y624" s="51">
        <v>44019</v>
      </c>
      <c r="Z624" s="28">
        <v>75</v>
      </c>
      <c r="AA624" s="16" t="s">
        <v>1701</v>
      </c>
      <c r="AB624" s="8" t="s">
        <v>291</v>
      </c>
      <c r="AC624" s="8" t="s">
        <v>293</v>
      </c>
      <c r="AD624" s="8" t="s">
        <v>134</v>
      </c>
      <c r="AE624" s="8">
        <v>3102701415</v>
      </c>
      <c r="AF624" s="8" t="s">
        <v>276</v>
      </c>
      <c r="AG624" s="8" t="s">
        <v>292</v>
      </c>
      <c r="AH624" s="51">
        <v>32366</v>
      </c>
      <c r="AI624" s="28">
        <v>38</v>
      </c>
      <c r="AJ624" s="51" t="s">
        <v>1852</v>
      </c>
    </row>
    <row r="625" spans="1:36" ht="12.65" customHeight="1" x14ac:dyDescent="0.35">
      <c r="A625" s="8" t="s">
        <v>139</v>
      </c>
      <c r="B625" s="8" t="s">
        <v>136</v>
      </c>
      <c r="C625" s="8" t="s">
        <v>135</v>
      </c>
      <c r="D625" s="34" t="s">
        <v>198</v>
      </c>
      <c r="E625" s="14" t="s">
        <v>199</v>
      </c>
      <c r="F625" s="28" t="s">
        <v>70</v>
      </c>
      <c r="G625" s="28" t="s">
        <v>125</v>
      </c>
      <c r="H625" s="31" t="s">
        <v>9</v>
      </c>
      <c r="I625" s="8" t="s">
        <v>843</v>
      </c>
      <c r="J625" s="8" t="s">
        <v>953</v>
      </c>
      <c r="K625" s="69" t="s">
        <v>844</v>
      </c>
      <c r="L625" s="8" t="s">
        <v>382</v>
      </c>
      <c r="M625" s="8" t="s">
        <v>382</v>
      </c>
      <c r="N625" s="8" t="s">
        <v>306</v>
      </c>
      <c r="O625" s="8" t="s">
        <v>36</v>
      </c>
      <c r="P625" s="8" t="s">
        <v>282</v>
      </c>
      <c r="Q625" s="8" t="s">
        <v>543</v>
      </c>
      <c r="R625" s="8" t="s">
        <v>222</v>
      </c>
      <c r="S625" s="8" t="s">
        <v>237</v>
      </c>
      <c r="T625" s="8" t="s">
        <v>199</v>
      </c>
      <c r="U625" s="8" t="s">
        <v>192</v>
      </c>
      <c r="V625" s="8">
        <v>0</v>
      </c>
      <c r="W625" s="18">
        <v>7.6923076923076927E-2</v>
      </c>
      <c r="X625" s="51">
        <v>45664</v>
      </c>
      <c r="Y625" s="51">
        <v>44019</v>
      </c>
      <c r="Z625" s="28">
        <v>75</v>
      </c>
      <c r="AA625" s="16" t="s">
        <v>1701</v>
      </c>
      <c r="AB625" s="8" t="s">
        <v>294</v>
      </c>
      <c r="AC625" s="8" t="s">
        <v>293</v>
      </c>
      <c r="AD625" s="8" t="s">
        <v>134</v>
      </c>
      <c r="AE625" s="8">
        <v>3102701415</v>
      </c>
      <c r="AF625" s="8" t="s">
        <v>276</v>
      </c>
      <c r="AG625" s="8" t="s">
        <v>295</v>
      </c>
      <c r="AH625" s="51">
        <v>32366</v>
      </c>
      <c r="AI625" s="28">
        <v>38</v>
      </c>
      <c r="AJ625" s="51" t="s">
        <v>1852</v>
      </c>
    </row>
    <row r="626" spans="1:36" ht="12.65" customHeight="1" x14ac:dyDescent="0.35">
      <c r="A626" s="8" t="s">
        <v>139</v>
      </c>
      <c r="B626" s="8" t="s">
        <v>136</v>
      </c>
      <c r="C626" s="8" t="s">
        <v>135</v>
      </c>
      <c r="D626" s="34" t="s">
        <v>198</v>
      </c>
      <c r="E626" s="17" t="s">
        <v>199</v>
      </c>
      <c r="F626" s="52" t="s">
        <v>70</v>
      </c>
      <c r="G626" s="28" t="s">
        <v>125</v>
      </c>
      <c r="H626" s="31" t="s">
        <v>9</v>
      </c>
      <c r="I626" s="34" t="s">
        <v>524</v>
      </c>
      <c r="J626" s="8" t="s">
        <v>40</v>
      </c>
      <c r="K626" s="69" t="s">
        <v>525</v>
      </c>
      <c r="L626" s="8" t="s">
        <v>406</v>
      </c>
      <c r="M626" s="8" t="s">
        <v>407</v>
      </c>
      <c r="N626" s="8" t="s">
        <v>306</v>
      </c>
      <c r="O626" s="8" t="s">
        <v>36</v>
      </c>
      <c r="P626" s="8" t="s">
        <v>282</v>
      </c>
      <c r="Q626" s="8" t="s">
        <v>543</v>
      </c>
      <c r="R626" s="8" t="s">
        <v>222</v>
      </c>
      <c r="S626" s="8" t="s">
        <v>237</v>
      </c>
      <c r="T626" s="17" t="s">
        <v>199</v>
      </c>
      <c r="U626" s="8" t="s">
        <v>186</v>
      </c>
      <c r="V626" s="8">
        <v>0</v>
      </c>
      <c r="W626" s="18">
        <v>7.6923076923076927E-2</v>
      </c>
      <c r="X626" s="51">
        <v>45664</v>
      </c>
      <c r="Y626" s="51">
        <v>44019</v>
      </c>
      <c r="Z626" s="28">
        <v>75</v>
      </c>
      <c r="AA626" s="16" t="s">
        <v>1701</v>
      </c>
      <c r="AB626" s="8" t="s">
        <v>307</v>
      </c>
      <c r="AC626" s="8" t="s">
        <v>307</v>
      </c>
      <c r="AD626" s="8" t="s">
        <v>134</v>
      </c>
      <c r="AE626" s="8">
        <v>3102701415</v>
      </c>
      <c r="AF626" s="8" t="s">
        <v>276</v>
      </c>
      <c r="AG626" s="8" t="s">
        <v>295</v>
      </c>
      <c r="AH626" s="51">
        <v>32366</v>
      </c>
      <c r="AI626" s="28">
        <v>38</v>
      </c>
      <c r="AJ626" s="51" t="s">
        <v>1852</v>
      </c>
    </row>
    <row r="627" spans="1:36" ht="12.65" customHeight="1" x14ac:dyDescent="0.35">
      <c r="A627" s="8" t="s">
        <v>139</v>
      </c>
      <c r="B627" s="8" t="s">
        <v>136</v>
      </c>
      <c r="C627" s="8" t="s">
        <v>135</v>
      </c>
      <c r="D627" s="34" t="s">
        <v>198</v>
      </c>
      <c r="E627" s="14" t="s">
        <v>199</v>
      </c>
      <c r="F627" s="28" t="s">
        <v>70</v>
      </c>
      <c r="G627" s="28" t="s">
        <v>125</v>
      </c>
      <c r="H627" s="31" t="s">
        <v>9</v>
      </c>
      <c r="I627" s="8" t="s">
        <v>383</v>
      </c>
      <c r="J627" s="8" t="s">
        <v>41</v>
      </c>
      <c r="K627" s="69" t="s">
        <v>384</v>
      </c>
      <c r="L627" s="8" t="s">
        <v>75</v>
      </c>
      <c r="M627" s="8" t="s">
        <v>76</v>
      </c>
      <c r="N627" s="8" t="s">
        <v>306</v>
      </c>
      <c r="O627" s="8" t="s">
        <v>36</v>
      </c>
      <c r="P627" s="8" t="s">
        <v>282</v>
      </c>
      <c r="Q627" s="8" t="s">
        <v>543</v>
      </c>
      <c r="R627" s="8" t="s">
        <v>222</v>
      </c>
      <c r="S627" s="8" t="s">
        <v>237</v>
      </c>
      <c r="T627" s="8" t="s">
        <v>199</v>
      </c>
      <c r="U627" s="8" t="s">
        <v>189</v>
      </c>
      <c r="V627" s="8">
        <v>0</v>
      </c>
      <c r="W627" s="18">
        <v>7.6923076923076927E-2</v>
      </c>
      <c r="X627" s="51">
        <v>45664</v>
      </c>
      <c r="Y627" s="51">
        <v>44019</v>
      </c>
      <c r="Z627" s="28">
        <v>75</v>
      </c>
      <c r="AA627" s="16" t="s">
        <v>1701</v>
      </c>
      <c r="AB627" s="8" t="s">
        <v>294</v>
      </c>
      <c r="AC627" s="8" t="s">
        <v>294</v>
      </c>
      <c r="AD627" s="8" t="s">
        <v>134</v>
      </c>
      <c r="AE627" s="8">
        <v>3102701415</v>
      </c>
      <c r="AF627" s="8" t="s">
        <v>276</v>
      </c>
      <c r="AG627" s="8" t="s">
        <v>292</v>
      </c>
      <c r="AH627" s="51">
        <v>32366</v>
      </c>
      <c r="AI627" s="28">
        <v>38</v>
      </c>
      <c r="AJ627" s="51" t="s">
        <v>1852</v>
      </c>
    </row>
    <row r="628" spans="1:36" ht="12.65" customHeight="1" x14ac:dyDescent="0.35">
      <c r="A628" s="8" t="s">
        <v>139</v>
      </c>
      <c r="B628" s="8" t="s">
        <v>136</v>
      </c>
      <c r="C628" s="8" t="s">
        <v>135</v>
      </c>
      <c r="D628" s="34" t="s">
        <v>198</v>
      </c>
      <c r="E628" s="14" t="s">
        <v>199</v>
      </c>
      <c r="F628" s="28" t="s">
        <v>70</v>
      </c>
      <c r="G628" s="28" t="s">
        <v>125</v>
      </c>
      <c r="H628" s="31" t="s">
        <v>9</v>
      </c>
      <c r="I628" s="8" t="s">
        <v>329</v>
      </c>
      <c r="J628" s="8" t="s">
        <v>95</v>
      </c>
      <c r="K628" s="69" t="s">
        <v>330</v>
      </c>
      <c r="L628" s="8" t="s">
        <v>75</v>
      </c>
      <c r="M628" s="8" t="s">
        <v>75</v>
      </c>
      <c r="N628" s="8" t="s">
        <v>306</v>
      </c>
      <c r="O628" s="8" t="s">
        <v>36</v>
      </c>
      <c r="P628" s="8" t="s">
        <v>282</v>
      </c>
      <c r="Q628" s="8" t="s">
        <v>543</v>
      </c>
      <c r="R628" s="8" t="s">
        <v>222</v>
      </c>
      <c r="S628" s="8" t="s">
        <v>237</v>
      </c>
      <c r="T628" s="8" t="s">
        <v>199</v>
      </c>
      <c r="U628" s="8" t="s">
        <v>189</v>
      </c>
      <c r="V628" s="8">
        <v>0</v>
      </c>
      <c r="W628" s="18">
        <v>7.6923076923076927E-2</v>
      </c>
      <c r="X628" s="51">
        <v>45664</v>
      </c>
      <c r="Y628" s="51">
        <v>44019</v>
      </c>
      <c r="Z628" s="28">
        <v>75</v>
      </c>
      <c r="AA628" s="16" t="s">
        <v>1701</v>
      </c>
      <c r="AB628" s="8" t="s">
        <v>291</v>
      </c>
      <c r="AC628" s="8" t="s">
        <v>291</v>
      </c>
      <c r="AD628" s="8" t="s">
        <v>134</v>
      </c>
      <c r="AE628" s="8">
        <v>3102701415</v>
      </c>
      <c r="AF628" s="8" t="s">
        <v>276</v>
      </c>
      <c r="AG628" s="8" t="s">
        <v>292</v>
      </c>
      <c r="AH628" s="51">
        <v>32366</v>
      </c>
      <c r="AI628" s="28">
        <v>38</v>
      </c>
      <c r="AJ628" s="51" t="s">
        <v>1852</v>
      </c>
    </row>
    <row r="629" spans="1:36" ht="12.65" customHeight="1" x14ac:dyDescent="0.35">
      <c r="A629" s="8" t="s">
        <v>139</v>
      </c>
      <c r="B629" s="8" t="s">
        <v>136</v>
      </c>
      <c r="C629" s="8" t="s">
        <v>135</v>
      </c>
      <c r="D629" s="34" t="s">
        <v>198</v>
      </c>
      <c r="E629" s="14" t="s">
        <v>199</v>
      </c>
      <c r="F629" s="28" t="s">
        <v>70</v>
      </c>
      <c r="G629" s="28" t="s">
        <v>125</v>
      </c>
      <c r="H629" s="31" t="s">
        <v>9</v>
      </c>
      <c r="I629" s="8" t="s">
        <v>376</v>
      </c>
      <c r="J629" s="8" t="s">
        <v>96</v>
      </c>
      <c r="K629" s="69" t="s">
        <v>377</v>
      </c>
      <c r="L629" s="8" t="s">
        <v>75</v>
      </c>
      <c r="M629" s="8" t="s">
        <v>75</v>
      </c>
      <c r="N629" s="8" t="s">
        <v>306</v>
      </c>
      <c r="O629" s="8" t="s">
        <v>36</v>
      </c>
      <c r="P629" s="8" t="s">
        <v>282</v>
      </c>
      <c r="Q629" s="8" t="s">
        <v>543</v>
      </c>
      <c r="R629" s="8" t="s">
        <v>222</v>
      </c>
      <c r="S629" s="8" t="s">
        <v>237</v>
      </c>
      <c r="T629" s="8" t="s">
        <v>199</v>
      </c>
      <c r="U629" s="8" t="s">
        <v>189</v>
      </c>
      <c r="V629" s="8">
        <v>0</v>
      </c>
      <c r="W629" s="18">
        <v>7.6923076923076927E-2</v>
      </c>
      <c r="X629" s="51">
        <v>45664</v>
      </c>
      <c r="Y629" s="51">
        <v>44019</v>
      </c>
      <c r="Z629" s="28">
        <v>75</v>
      </c>
      <c r="AA629" s="16" t="s">
        <v>1701</v>
      </c>
      <c r="AB629" s="8" t="s">
        <v>291</v>
      </c>
      <c r="AC629" s="8" t="s">
        <v>294</v>
      </c>
      <c r="AD629" s="8" t="s">
        <v>134</v>
      </c>
      <c r="AE629" s="8">
        <v>3102701415</v>
      </c>
      <c r="AF629" s="8" t="s">
        <v>276</v>
      </c>
      <c r="AG629" s="8" t="s">
        <v>292</v>
      </c>
      <c r="AH629" s="51">
        <v>32366</v>
      </c>
      <c r="AI629" s="28">
        <v>38</v>
      </c>
      <c r="AJ629" s="51" t="s">
        <v>1852</v>
      </c>
    </row>
    <row r="630" spans="1:36" ht="12.65" customHeight="1" x14ac:dyDescent="0.35">
      <c r="A630" s="8" t="s">
        <v>139</v>
      </c>
      <c r="B630" s="8" t="s">
        <v>136</v>
      </c>
      <c r="C630" s="8" t="s">
        <v>135</v>
      </c>
      <c r="D630" s="34" t="s">
        <v>198</v>
      </c>
      <c r="E630" s="14" t="s">
        <v>199</v>
      </c>
      <c r="F630" s="28" t="s">
        <v>70</v>
      </c>
      <c r="G630" s="28" t="s">
        <v>125</v>
      </c>
      <c r="H630" s="31" t="s">
        <v>9</v>
      </c>
      <c r="I630" s="8" t="s">
        <v>506</v>
      </c>
      <c r="J630" s="8" t="s">
        <v>1106</v>
      </c>
      <c r="K630" s="69" t="s">
        <v>507</v>
      </c>
      <c r="L630" s="8" t="s">
        <v>410</v>
      </c>
      <c r="M630" s="8" t="s">
        <v>410</v>
      </c>
      <c r="N630" s="8" t="s">
        <v>306</v>
      </c>
      <c r="O630" s="8" t="s">
        <v>508</v>
      </c>
      <c r="P630" s="8" t="s">
        <v>509</v>
      </c>
      <c r="Q630" s="8" t="s">
        <v>543</v>
      </c>
      <c r="R630" s="8" t="s">
        <v>222</v>
      </c>
      <c r="S630" s="8" t="s">
        <v>237</v>
      </c>
      <c r="T630" s="8" t="s">
        <v>199</v>
      </c>
      <c r="U630" s="8" t="s">
        <v>54</v>
      </c>
      <c r="V630" s="8">
        <v>0</v>
      </c>
      <c r="W630" s="18">
        <v>7.6923076923076927E-2</v>
      </c>
      <c r="X630" s="51">
        <v>45664</v>
      </c>
      <c r="Y630" s="51">
        <v>44019</v>
      </c>
      <c r="Z630" s="28">
        <v>75</v>
      </c>
      <c r="AA630" s="16" t="s">
        <v>1701</v>
      </c>
      <c r="AB630" s="8" t="s">
        <v>291</v>
      </c>
      <c r="AC630" s="8" t="s">
        <v>395</v>
      </c>
      <c r="AD630" s="8" t="s">
        <v>134</v>
      </c>
      <c r="AE630" s="8">
        <v>3102701415</v>
      </c>
      <c r="AF630" s="8" t="s">
        <v>276</v>
      </c>
      <c r="AG630" s="8" t="s">
        <v>292</v>
      </c>
      <c r="AH630" s="51">
        <v>32366</v>
      </c>
      <c r="AI630" s="28">
        <v>38</v>
      </c>
      <c r="AJ630" s="51" t="s">
        <v>1852</v>
      </c>
    </row>
    <row r="631" spans="1:36" ht="12.65" customHeight="1" x14ac:dyDescent="0.35">
      <c r="A631" s="8" t="s">
        <v>139</v>
      </c>
      <c r="B631" s="8" t="s">
        <v>136</v>
      </c>
      <c r="C631" s="8" t="s">
        <v>135</v>
      </c>
      <c r="D631" s="34" t="s">
        <v>198</v>
      </c>
      <c r="E631" s="14" t="s">
        <v>199</v>
      </c>
      <c r="F631" s="28" t="s">
        <v>70</v>
      </c>
      <c r="G631" s="28" t="s">
        <v>125</v>
      </c>
      <c r="H631" s="31" t="s">
        <v>9</v>
      </c>
      <c r="I631" s="8" t="s">
        <v>603</v>
      </c>
      <c r="J631" s="8" t="s">
        <v>1123</v>
      </c>
      <c r="K631" s="69" t="s">
        <v>604</v>
      </c>
      <c r="L631" s="8" t="s">
        <v>410</v>
      </c>
      <c r="M631" s="8" t="s">
        <v>410</v>
      </c>
      <c r="N631" s="8" t="s">
        <v>306</v>
      </c>
      <c r="O631" s="8" t="s">
        <v>36</v>
      </c>
      <c r="P631" s="8" t="s">
        <v>282</v>
      </c>
      <c r="Q631" s="8" t="s">
        <v>543</v>
      </c>
      <c r="R631" s="8" t="s">
        <v>222</v>
      </c>
      <c r="S631" s="8" t="s">
        <v>237</v>
      </c>
      <c r="T631" s="8" t="s">
        <v>199</v>
      </c>
      <c r="U631" s="8" t="s">
        <v>54</v>
      </c>
      <c r="V631" s="8">
        <v>0</v>
      </c>
      <c r="W631" s="18">
        <v>7.6923076923076927E-2</v>
      </c>
      <c r="X631" s="51">
        <v>45664</v>
      </c>
      <c r="Y631" s="51">
        <v>44019</v>
      </c>
      <c r="Z631" s="28">
        <v>75</v>
      </c>
      <c r="AA631" s="16" t="s">
        <v>1701</v>
      </c>
      <c r="AB631" s="8" t="s">
        <v>294</v>
      </c>
      <c r="AC631" s="8" t="s">
        <v>395</v>
      </c>
      <c r="AD631" s="8" t="s">
        <v>134</v>
      </c>
      <c r="AE631" s="8">
        <v>3102701415</v>
      </c>
      <c r="AF631" s="8" t="s">
        <v>276</v>
      </c>
      <c r="AG631" s="8" t="s">
        <v>292</v>
      </c>
      <c r="AH631" s="51">
        <v>32366</v>
      </c>
      <c r="AI631" s="28">
        <v>38</v>
      </c>
      <c r="AJ631" s="51" t="s">
        <v>1852</v>
      </c>
    </row>
    <row r="632" spans="1:36" ht="12.65" customHeight="1" x14ac:dyDescent="0.35">
      <c r="A632" s="8" t="s">
        <v>139</v>
      </c>
      <c r="B632" s="8" t="s">
        <v>136</v>
      </c>
      <c r="C632" s="8" t="s">
        <v>135</v>
      </c>
      <c r="D632" s="34" t="s">
        <v>198</v>
      </c>
      <c r="E632" s="14" t="s">
        <v>199</v>
      </c>
      <c r="F632" s="28" t="s">
        <v>70</v>
      </c>
      <c r="G632" s="28" t="s">
        <v>125</v>
      </c>
      <c r="H632" s="31" t="s">
        <v>9</v>
      </c>
      <c r="I632" s="8" t="s">
        <v>1133</v>
      </c>
      <c r="J632" s="8" t="s">
        <v>1134</v>
      </c>
      <c r="K632" s="69" t="s">
        <v>1135</v>
      </c>
      <c r="L632" s="8" t="s">
        <v>410</v>
      </c>
      <c r="M632" s="8" t="s">
        <v>410</v>
      </c>
      <c r="N632" s="8" t="s">
        <v>306</v>
      </c>
      <c r="O632" s="8" t="s">
        <v>1136</v>
      </c>
      <c r="P632" s="8" t="s">
        <v>282</v>
      </c>
      <c r="Q632" s="8" t="s">
        <v>543</v>
      </c>
      <c r="R632" s="8" t="s">
        <v>222</v>
      </c>
      <c r="S632" s="8" t="s">
        <v>237</v>
      </c>
      <c r="T632" s="8" t="s">
        <v>199</v>
      </c>
      <c r="U632" s="8" t="s">
        <v>54</v>
      </c>
      <c r="V632" s="8">
        <v>0</v>
      </c>
      <c r="W632" s="18">
        <v>7.6923076923076927E-2</v>
      </c>
      <c r="X632" s="51">
        <v>45664</v>
      </c>
      <c r="Y632" s="51">
        <v>44019</v>
      </c>
      <c r="Z632" s="28">
        <v>75</v>
      </c>
      <c r="AA632" s="16" t="s">
        <v>1701</v>
      </c>
      <c r="AB632" s="8" t="s">
        <v>291</v>
      </c>
      <c r="AC632" s="8" t="s">
        <v>293</v>
      </c>
      <c r="AD632" s="8" t="s">
        <v>134</v>
      </c>
      <c r="AE632" s="8">
        <v>3102701415</v>
      </c>
      <c r="AF632" s="8" t="s">
        <v>276</v>
      </c>
      <c r="AG632" s="8" t="s">
        <v>295</v>
      </c>
      <c r="AH632" s="51">
        <v>32366</v>
      </c>
      <c r="AI632" s="28">
        <v>38</v>
      </c>
      <c r="AJ632" s="51" t="s">
        <v>1852</v>
      </c>
    </row>
    <row r="633" spans="1:36" ht="12.65" customHeight="1" x14ac:dyDescent="0.35">
      <c r="A633" s="8" t="s">
        <v>139</v>
      </c>
      <c r="B633" s="8" t="s">
        <v>136</v>
      </c>
      <c r="C633" s="8" t="s">
        <v>135</v>
      </c>
      <c r="D633" s="34" t="s">
        <v>198</v>
      </c>
      <c r="E633" s="14" t="s">
        <v>199</v>
      </c>
      <c r="F633" s="28" t="s">
        <v>70</v>
      </c>
      <c r="G633" s="28" t="s">
        <v>125</v>
      </c>
      <c r="H633" s="31" t="s">
        <v>9</v>
      </c>
      <c r="I633" s="8" t="s">
        <v>408</v>
      </c>
      <c r="J633" s="8" t="s">
        <v>37</v>
      </c>
      <c r="K633" s="69" t="s">
        <v>409</v>
      </c>
      <c r="L633" s="8" t="s">
        <v>406</v>
      </c>
      <c r="M633" s="8" t="s">
        <v>407</v>
      </c>
      <c r="N633" s="8" t="s">
        <v>306</v>
      </c>
      <c r="O633" s="8" t="s">
        <v>36</v>
      </c>
      <c r="P633" s="8" t="s">
        <v>282</v>
      </c>
      <c r="Q633" s="8" t="s">
        <v>543</v>
      </c>
      <c r="R633" s="8" t="s">
        <v>222</v>
      </c>
      <c r="S633" s="8" t="s">
        <v>237</v>
      </c>
      <c r="T633" s="8" t="s">
        <v>199</v>
      </c>
      <c r="U633" s="8" t="s">
        <v>186</v>
      </c>
      <c r="V633" s="8">
        <v>0</v>
      </c>
      <c r="W633" s="18">
        <v>7.6923076923076927E-2</v>
      </c>
      <c r="X633" s="51">
        <v>45664</v>
      </c>
      <c r="Y633" s="51">
        <v>44019</v>
      </c>
      <c r="Z633" s="28">
        <v>75</v>
      </c>
      <c r="AA633" s="16" t="s">
        <v>1701</v>
      </c>
      <c r="AB633" s="8" t="s">
        <v>293</v>
      </c>
      <c r="AC633" s="8" t="s">
        <v>293</v>
      </c>
      <c r="AD633" s="8" t="s">
        <v>134</v>
      </c>
      <c r="AE633" s="8">
        <v>3102701415</v>
      </c>
      <c r="AF633" s="8" t="s">
        <v>276</v>
      </c>
      <c r="AG633" s="8" t="s">
        <v>292</v>
      </c>
      <c r="AH633" s="51">
        <v>32366</v>
      </c>
      <c r="AI633" s="28">
        <v>38</v>
      </c>
      <c r="AJ633" s="51" t="s">
        <v>1852</v>
      </c>
    </row>
    <row r="634" spans="1:36" ht="12.65" customHeight="1" x14ac:dyDescent="0.35">
      <c r="A634" s="8" t="s">
        <v>139</v>
      </c>
      <c r="B634" s="8" t="s">
        <v>136</v>
      </c>
      <c r="C634" s="8" t="s">
        <v>135</v>
      </c>
      <c r="D634" s="34" t="s">
        <v>198</v>
      </c>
      <c r="E634" s="14" t="s">
        <v>199</v>
      </c>
      <c r="F634" s="28" t="s">
        <v>70</v>
      </c>
      <c r="G634" s="28" t="s">
        <v>125</v>
      </c>
      <c r="H634" s="31" t="s">
        <v>9</v>
      </c>
      <c r="I634" s="8" t="s">
        <v>300</v>
      </c>
      <c r="J634" s="8" t="s">
        <v>124</v>
      </c>
      <c r="K634" s="69" t="s">
        <v>301</v>
      </c>
      <c r="L634" s="8" t="s">
        <v>75</v>
      </c>
      <c r="M634" s="8" t="s">
        <v>107</v>
      </c>
      <c r="N634" s="8" t="s">
        <v>306</v>
      </c>
      <c r="O634" s="8" t="s">
        <v>36</v>
      </c>
      <c r="P634" s="8" t="s">
        <v>282</v>
      </c>
      <c r="Q634" s="8" t="s">
        <v>543</v>
      </c>
      <c r="R634" s="8" t="s">
        <v>222</v>
      </c>
      <c r="S634" s="8" t="s">
        <v>237</v>
      </c>
      <c r="T634" s="8" t="s">
        <v>199</v>
      </c>
      <c r="U634" s="8" t="s">
        <v>189</v>
      </c>
      <c r="V634" s="8">
        <v>0</v>
      </c>
      <c r="W634" s="18">
        <v>7.6923076923076927E-2</v>
      </c>
      <c r="X634" s="51">
        <v>45664</v>
      </c>
      <c r="Y634" s="51">
        <v>44019</v>
      </c>
      <c r="Z634" s="28">
        <v>75</v>
      </c>
      <c r="AA634" s="16" t="s">
        <v>1701</v>
      </c>
      <c r="AB634" s="8" t="s">
        <v>293</v>
      </c>
      <c r="AC634" s="8" t="s">
        <v>293</v>
      </c>
      <c r="AD634" s="8" t="s">
        <v>134</v>
      </c>
      <c r="AE634" s="8">
        <v>3102701415</v>
      </c>
      <c r="AF634" s="8" t="s">
        <v>276</v>
      </c>
      <c r="AG634" s="8" t="s">
        <v>292</v>
      </c>
      <c r="AH634" s="51">
        <v>32366</v>
      </c>
      <c r="AI634" s="28">
        <v>38</v>
      </c>
      <c r="AJ634" s="51" t="s">
        <v>1852</v>
      </c>
    </row>
    <row r="635" spans="1:36" ht="12.65" customHeight="1" x14ac:dyDescent="0.35">
      <c r="A635" s="8" t="s">
        <v>139</v>
      </c>
      <c r="B635" s="8" t="s">
        <v>136</v>
      </c>
      <c r="C635" s="8" t="s">
        <v>135</v>
      </c>
      <c r="D635" s="34" t="s">
        <v>198</v>
      </c>
      <c r="E635" s="14" t="s">
        <v>199</v>
      </c>
      <c r="F635" s="28" t="s">
        <v>70</v>
      </c>
      <c r="G635" s="28" t="s">
        <v>125</v>
      </c>
      <c r="H635" s="31" t="s">
        <v>9</v>
      </c>
      <c r="I635" s="8" t="s">
        <v>1088</v>
      </c>
      <c r="J635" s="8" t="s">
        <v>1089</v>
      </c>
      <c r="K635" s="69" t="s">
        <v>1090</v>
      </c>
      <c r="L635" s="8" t="s">
        <v>406</v>
      </c>
      <c r="M635" s="8" t="s">
        <v>976</v>
      </c>
      <c r="N635" s="8" t="s">
        <v>306</v>
      </c>
      <c r="O635" s="8" t="s">
        <v>36</v>
      </c>
      <c r="P635" s="8" t="s">
        <v>282</v>
      </c>
      <c r="Q635" s="8" t="s">
        <v>543</v>
      </c>
      <c r="R635" s="8" t="s">
        <v>222</v>
      </c>
      <c r="S635" s="8" t="s">
        <v>237</v>
      </c>
      <c r="T635" s="8" t="s">
        <v>199</v>
      </c>
      <c r="U635" s="8" t="s">
        <v>186</v>
      </c>
      <c r="V635" s="8">
        <v>0</v>
      </c>
      <c r="W635" s="18">
        <v>7.6923076923076927E-2</v>
      </c>
      <c r="X635" s="51">
        <v>45664</v>
      </c>
      <c r="Y635" s="51">
        <v>44019</v>
      </c>
      <c r="Z635" s="28">
        <v>75</v>
      </c>
      <c r="AA635" s="16" t="s">
        <v>1701</v>
      </c>
      <c r="AB635" s="8" t="s">
        <v>395</v>
      </c>
      <c r="AC635" s="8" t="s">
        <v>395</v>
      </c>
      <c r="AD635" s="8" t="s">
        <v>134</v>
      </c>
      <c r="AE635" s="8">
        <v>3102701415</v>
      </c>
      <c r="AF635" s="8" t="s">
        <v>276</v>
      </c>
      <c r="AG635" s="8" t="s">
        <v>295</v>
      </c>
      <c r="AH635" s="51">
        <v>32366</v>
      </c>
      <c r="AI635" s="28">
        <v>38</v>
      </c>
      <c r="AJ635" s="51" t="s">
        <v>1852</v>
      </c>
    </row>
    <row r="636" spans="1:36" ht="12.65" customHeight="1" x14ac:dyDescent="0.35">
      <c r="A636" s="8" t="s">
        <v>139</v>
      </c>
      <c r="B636" s="8" t="s">
        <v>136</v>
      </c>
      <c r="C636" s="8" t="s">
        <v>135</v>
      </c>
      <c r="D636" s="34" t="s">
        <v>198</v>
      </c>
      <c r="E636" s="14" t="s">
        <v>199</v>
      </c>
      <c r="F636" s="28" t="s">
        <v>70</v>
      </c>
      <c r="G636" s="28" t="s">
        <v>125</v>
      </c>
      <c r="H636" s="31" t="s">
        <v>9</v>
      </c>
      <c r="I636" s="8" t="s">
        <v>1091</v>
      </c>
      <c r="J636" s="8" t="s">
        <v>1092</v>
      </c>
      <c r="K636" s="69" t="s">
        <v>1093</v>
      </c>
      <c r="L636" s="8" t="s">
        <v>406</v>
      </c>
      <c r="M636" s="8" t="s">
        <v>976</v>
      </c>
      <c r="N636" s="8" t="s">
        <v>306</v>
      </c>
      <c r="O636" s="8" t="s">
        <v>36</v>
      </c>
      <c r="P636" s="8" t="s">
        <v>282</v>
      </c>
      <c r="Q636" s="8" t="s">
        <v>543</v>
      </c>
      <c r="R636" s="8" t="s">
        <v>222</v>
      </c>
      <c r="S636" s="8" t="s">
        <v>237</v>
      </c>
      <c r="T636" s="8" t="s">
        <v>199</v>
      </c>
      <c r="U636" s="8" t="s">
        <v>186</v>
      </c>
      <c r="V636" s="8">
        <v>0</v>
      </c>
      <c r="W636" s="18">
        <v>7.6923076923076927E-2</v>
      </c>
      <c r="X636" s="51">
        <v>45664</v>
      </c>
      <c r="Y636" s="51">
        <v>44019</v>
      </c>
      <c r="Z636" s="28">
        <v>75</v>
      </c>
      <c r="AA636" s="16" t="s">
        <v>1701</v>
      </c>
      <c r="AB636" s="8" t="s">
        <v>395</v>
      </c>
      <c r="AC636" s="8" t="s">
        <v>395</v>
      </c>
      <c r="AD636" s="8" t="s">
        <v>134</v>
      </c>
      <c r="AE636" s="8">
        <v>3102701415</v>
      </c>
      <c r="AF636" s="8" t="s">
        <v>276</v>
      </c>
      <c r="AG636" s="8" t="s">
        <v>295</v>
      </c>
      <c r="AH636" s="51">
        <v>32366</v>
      </c>
      <c r="AI636" s="28">
        <v>38</v>
      </c>
      <c r="AJ636" s="51" t="s">
        <v>1852</v>
      </c>
    </row>
    <row r="637" spans="1:36" ht="12.65" customHeight="1" x14ac:dyDescent="0.35">
      <c r="A637" s="8" t="s">
        <v>139</v>
      </c>
      <c r="B637" s="8" t="s">
        <v>136</v>
      </c>
      <c r="C637" s="8" t="s">
        <v>135</v>
      </c>
      <c r="D637" s="34" t="s">
        <v>215</v>
      </c>
      <c r="E637" s="14" t="s">
        <v>216</v>
      </c>
      <c r="F637" s="28" t="s">
        <v>70</v>
      </c>
      <c r="G637" s="28" t="s">
        <v>125</v>
      </c>
      <c r="H637" s="31" t="s">
        <v>9</v>
      </c>
      <c r="I637" s="8" t="s">
        <v>1383</v>
      </c>
      <c r="J637" s="8" t="s">
        <v>1384</v>
      </c>
      <c r="K637" s="69" t="s">
        <v>1385</v>
      </c>
      <c r="L637" s="8" t="s">
        <v>391</v>
      </c>
      <c r="M637" s="8" t="s">
        <v>1154</v>
      </c>
      <c r="N637" s="8" t="s">
        <v>393</v>
      </c>
      <c r="O637" s="8" t="s">
        <v>13</v>
      </c>
      <c r="P637" s="8" t="s">
        <v>285</v>
      </c>
      <c r="Q637" s="8" t="s">
        <v>285</v>
      </c>
      <c r="R637" s="8" t="s">
        <v>225</v>
      </c>
      <c r="S637" s="8" t="s">
        <v>237</v>
      </c>
      <c r="T637" s="8" t="s">
        <v>216</v>
      </c>
      <c r="U637" s="8" t="s">
        <v>183</v>
      </c>
      <c r="V637" s="8">
        <v>1</v>
      </c>
      <c r="W637" s="18">
        <v>3.8461538461538464E-2</v>
      </c>
      <c r="X637" s="51">
        <v>45659</v>
      </c>
      <c r="Y637" s="51">
        <v>41706</v>
      </c>
      <c r="Z637" s="28">
        <v>151</v>
      </c>
      <c r="AA637" s="16" t="s">
        <v>1701</v>
      </c>
      <c r="AB637" s="8" t="s">
        <v>307</v>
      </c>
      <c r="AC637" s="8" t="s">
        <v>307</v>
      </c>
      <c r="AD637" s="8" t="s">
        <v>134</v>
      </c>
      <c r="AE637" s="8">
        <v>3102716006</v>
      </c>
      <c r="AF637" s="8" t="s">
        <v>276</v>
      </c>
      <c r="AG637" s="8" t="s">
        <v>295</v>
      </c>
      <c r="AH637" s="51">
        <v>33297</v>
      </c>
      <c r="AI637" s="28">
        <v>35</v>
      </c>
      <c r="AJ637" s="51" t="s">
        <v>1852</v>
      </c>
    </row>
    <row r="638" spans="1:36" ht="12.65" customHeight="1" x14ac:dyDescent="0.35">
      <c r="A638" s="8" t="s">
        <v>139</v>
      </c>
      <c r="B638" s="8" t="s">
        <v>136</v>
      </c>
      <c r="C638" s="8" t="s">
        <v>135</v>
      </c>
      <c r="D638" s="34" t="s">
        <v>215</v>
      </c>
      <c r="E638" s="14" t="s">
        <v>216</v>
      </c>
      <c r="F638" s="28" t="s">
        <v>70</v>
      </c>
      <c r="G638" s="28" t="s">
        <v>125</v>
      </c>
      <c r="H638" s="31" t="s">
        <v>9</v>
      </c>
      <c r="I638" s="34" t="s">
        <v>1386</v>
      </c>
      <c r="J638" s="8" t="s">
        <v>1387</v>
      </c>
      <c r="K638" s="69" t="s">
        <v>1388</v>
      </c>
      <c r="L638" s="8" t="s">
        <v>391</v>
      </c>
      <c r="M638" s="8" t="s">
        <v>1389</v>
      </c>
      <c r="N638" s="8" t="s">
        <v>393</v>
      </c>
      <c r="O638" s="8" t="s">
        <v>13</v>
      </c>
      <c r="P638" s="8" t="s">
        <v>285</v>
      </c>
      <c r="Q638" s="8" t="s">
        <v>285</v>
      </c>
      <c r="R638" s="8" t="s">
        <v>225</v>
      </c>
      <c r="S638" s="8" t="s">
        <v>237</v>
      </c>
      <c r="T638" s="8" t="s">
        <v>216</v>
      </c>
      <c r="U638" s="8" t="s">
        <v>183</v>
      </c>
      <c r="V638" s="8">
        <v>0</v>
      </c>
      <c r="W638" s="18">
        <v>3.8461538461538464E-2</v>
      </c>
      <c r="X638" s="51">
        <v>45659</v>
      </c>
      <c r="Y638" s="51">
        <v>41706</v>
      </c>
      <c r="Z638" s="28">
        <v>151</v>
      </c>
      <c r="AA638" s="16" t="s">
        <v>1701</v>
      </c>
      <c r="AB638" s="8" t="s">
        <v>307</v>
      </c>
      <c r="AC638" s="8" t="s">
        <v>307</v>
      </c>
      <c r="AD638" s="8" t="s">
        <v>134</v>
      </c>
      <c r="AE638" s="8">
        <v>3102716006</v>
      </c>
      <c r="AF638" s="8" t="s">
        <v>276</v>
      </c>
      <c r="AG638" s="8" t="s">
        <v>295</v>
      </c>
      <c r="AH638" s="51">
        <v>33297</v>
      </c>
      <c r="AI638" s="28">
        <v>35</v>
      </c>
      <c r="AJ638" s="51" t="s">
        <v>1852</v>
      </c>
    </row>
    <row r="639" spans="1:36" ht="12.65" customHeight="1" x14ac:dyDescent="0.35">
      <c r="A639" s="8" t="s">
        <v>139</v>
      </c>
      <c r="B639" s="8" t="s">
        <v>136</v>
      </c>
      <c r="C639" s="8" t="s">
        <v>135</v>
      </c>
      <c r="D639" s="34" t="s">
        <v>215</v>
      </c>
      <c r="E639" s="14" t="s">
        <v>216</v>
      </c>
      <c r="F639" s="28" t="s">
        <v>70</v>
      </c>
      <c r="G639" s="28" t="s">
        <v>125</v>
      </c>
      <c r="H639" s="31" t="s">
        <v>9</v>
      </c>
      <c r="I639" s="8" t="s">
        <v>1300</v>
      </c>
      <c r="J639" s="8" t="s">
        <v>1301</v>
      </c>
      <c r="K639" s="69" t="s">
        <v>1302</v>
      </c>
      <c r="L639" s="8" t="s">
        <v>391</v>
      </c>
      <c r="M639" s="8" t="s">
        <v>1154</v>
      </c>
      <c r="N639" s="8" t="s">
        <v>393</v>
      </c>
      <c r="O639" s="8" t="s">
        <v>13</v>
      </c>
      <c r="P639" s="8" t="s">
        <v>285</v>
      </c>
      <c r="Q639" s="8" t="s">
        <v>285</v>
      </c>
      <c r="R639" s="8" t="s">
        <v>225</v>
      </c>
      <c r="S639" s="8" t="s">
        <v>237</v>
      </c>
      <c r="T639" s="8" t="s">
        <v>216</v>
      </c>
      <c r="U639" s="8" t="s">
        <v>183</v>
      </c>
      <c r="V639" s="8">
        <v>0</v>
      </c>
      <c r="W639" s="18">
        <v>3.8461538461538464E-2</v>
      </c>
      <c r="X639" s="51">
        <v>45659</v>
      </c>
      <c r="Y639" s="51">
        <v>41706</v>
      </c>
      <c r="Z639" s="28">
        <v>151</v>
      </c>
      <c r="AA639" s="16" t="s">
        <v>1701</v>
      </c>
      <c r="AB639" s="8" t="s">
        <v>293</v>
      </c>
      <c r="AC639" s="8" t="s">
        <v>293</v>
      </c>
      <c r="AD639" s="8" t="s">
        <v>134</v>
      </c>
      <c r="AE639" s="8">
        <v>3102716006</v>
      </c>
      <c r="AF639" s="8" t="s">
        <v>276</v>
      </c>
      <c r="AG639" s="8" t="s">
        <v>295</v>
      </c>
      <c r="AH639" s="51">
        <v>33297</v>
      </c>
      <c r="AI639" s="28">
        <v>35</v>
      </c>
      <c r="AJ639" s="51" t="s">
        <v>1852</v>
      </c>
    </row>
    <row r="640" spans="1:36" ht="12.65" customHeight="1" x14ac:dyDescent="0.35">
      <c r="A640" s="8" t="s">
        <v>139</v>
      </c>
      <c r="B640" s="8" t="s">
        <v>136</v>
      </c>
      <c r="C640" s="8" t="s">
        <v>135</v>
      </c>
      <c r="D640" s="34" t="s">
        <v>215</v>
      </c>
      <c r="E640" s="14" t="s">
        <v>216</v>
      </c>
      <c r="F640" s="28" t="s">
        <v>70</v>
      </c>
      <c r="G640" s="28" t="s">
        <v>125</v>
      </c>
      <c r="H640" s="31" t="s">
        <v>9</v>
      </c>
      <c r="I640" s="34" t="s">
        <v>1151</v>
      </c>
      <c r="J640" s="8" t="s">
        <v>1152</v>
      </c>
      <c r="K640" s="69" t="s">
        <v>1153</v>
      </c>
      <c r="L640" s="8" t="s">
        <v>391</v>
      </c>
      <c r="M640" s="8" t="s">
        <v>1154</v>
      </c>
      <c r="N640" s="8" t="s">
        <v>393</v>
      </c>
      <c r="O640" s="8" t="s">
        <v>13</v>
      </c>
      <c r="P640" s="8" t="s">
        <v>285</v>
      </c>
      <c r="Q640" s="8" t="s">
        <v>285</v>
      </c>
      <c r="R640" s="8" t="s">
        <v>225</v>
      </c>
      <c r="S640" s="8" t="s">
        <v>237</v>
      </c>
      <c r="T640" s="8" t="s">
        <v>216</v>
      </c>
      <c r="U640" s="8" t="s">
        <v>183</v>
      </c>
      <c r="V640" s="8">
        <v>0</v>
      </c>
      <c r="W640" s="18">
        <v>3.8461538461538464E-2</v>
      </c>
      <c r="X640" s="51">
        <v>45659</v>
      </c>
      <c r="Y640" s="51">
        <v>41706</v>
      </c>
      <c r="Z640" s="28">
        <v>151</v>
      </c>
      <c r="AA640" s="16" t="s">
        <v>1701</v>
      </c>
      <c r="AB640" s="8" t="s">
        <v>395</v>
      </c>
      <c r="AC640" s="8" t="s">
        <v>395</v>
      </c>
      <c r="AD640" s="8" t="s">
        <v>134</v>
      </c>
      <c r="AE640" s="8">
        <v>3102716006</v>
      </c>
      <c r="AF640" s="8" t="s">
        <v>276</v>
      </c>
      <c r="AG640" s="8" t="s">
        <v>295</v>
      </c>
      <c r="AH640" s="51">
        <v>33297</v>
      </c>
      <c r="AI640" s="28">
        <v>35</v>
      </c>
      <c r="AJ640" s="51" t="s">
        <v>1852</v>
      </c>
    </row>
    <row r="641" spans="1:36" ht="12.65" customHeight="1" x14ac:dyDescent="0.35">
      <c r="A641" s="8" t="s">
        <v>139</v>
      </c>
      <c r="B641" s="8" t="s">
        <v>136</v>
      </c>
      <c r="C641" s="8" t="s">
        <v>135</v>
      </c>
      <c r="D641" s="34" t="s">
        <v>215</v>
      </c>
      <c r="E641" s="14" t="s">
        <v>216</v>
      </c>
      <c r="F641" s="28" t="s">
        <v>70</v>
      </c>
      <c r="G641" s="28" t="s">
        <v>125</v>
      </c>
      <c r="H641" s="31" t="s">
        <v>9</v>
      </c>
      <c r="I641" s="8" t="s">
        <v>1014</v>
      </c>
      <c r="J641" s="8" t="s">
        <v>1015</v>
      </c>
      <c r="K641" s="69" t="s">
        <v>1016</v>
      </c>
      <c r="L641" s="8" t="s">
        <v>391</v>
      </c>
      <c r="M641" s="8" t="s">
        <v>399</v>
      </c>
      <c r="N641" s="8" t="s">
        <v>393</v>
      </c>
      <c r="O641" s="8" t="s">
        <v>13</v>
      </c>
      <c r="P641" s="8" t="s">
        <v>285</v>
      </c>
      <c r="Q641" s="8" t="s">
        <v>285</v>
      </c>
      <c r="R641" s="8" t="s">
        <v>225</v>
      </c>
      <c r="S641" s="8" t="s">
        <v>237</v>
      </c>
      <c r="T641" s="8" t="s">
        <v>216</v>
      </c>
      <c r="U641" s="8" t="s">
        <v>183</v>
      </c>
      <c r="V641" s="8">
        <v>0</v>
      </c>
      <c r="W641" s="18">
        <v>3.8461538461538464E-2</v>
      </c>
      <c r="X641" s="51">
        <v>45659</v>
      </c>
      <c r="Y641" s="51">
        <v>41706</v>
      </c>
      <c r="Z641" s="28">
        <v>151</v>
      </c>
      <c r="AA641" s="16" t="s">
        <v>1701</v>
      </c>
      <c r="AB641" s="8" t="s">
        <v>395</v>
      </c>
      <c r="AC641" s="8" t="s">
        <v>395</v>
      </c>
      <c r="AD641" s="8" t="s">
        <v>134</v>
      </c>
      <c r="AE641" s="8">
        <v>3102716006</v>
      </c>
      <c r="AF641" s="8" t="s">
        <v>276</v>
      </c>
      <c r="AG641" s="8" t="s">
        <v>295</v>
      </c>
      <c r="AH641" s="51">
        <v>33297</v>
      </c>
      <c r="AI641" s="28">
        <v>35</v>
      </c>
      <c r="AJ641" s="51" t="s">
        <v>1852</v>
      </c>
    </row>
    <row r="642" spans="1:36" ht="12.65" customHeight="1" x14ac:dyDescent="0.35">
      <c r="A642" s="8" t="s">
        <v>139</v>
      </c>
      <c r="B642" s="8" t="s">
        <v>136</v>
      </c>
      <c r="C642" s="8" t="s">
        <v>135</v>
      </c>
      <c r="D642" s="34" t="s">
        <v>215</v>
      </c>
      <c r="E642" s="14" t="s">
        <v>216</v>
      </c>
      <c r="F642" s="28" t="s">
        <v>70</v>
      </c>
      <c r="G642" s="28" t="s">
        <v>125</v>
      </c>
      <c r="H642" s="31" t="s">
        <v>9</v>
      </c>
      <c r="I642" s="8" t="s">
        <v>1017</v>
      </c>
      <c r="J642" s="8" t="s">
        <v>1018</v>
      </c>
      <c r="K642" s="69" t="s">
        <v>1019</v>
      </c>
      <c r="L642" s="8" t="s">
        <v>391</v>
      </c>
      <c r="M642" s="8" t="s">
        <v>1020</v>
      </c>
      <c r="N642" s="8" t="s">
        <v>393</v>
      </c>
      <c r="O642" s="8" t="s">
        <v>404</v>
      </c>
      <c r="P642" s="8" t="s">
        <v>285</v>
      </c>
      <c r="Q642" s="8" t="s">
        <v>285</v>
      </c>
      <c r="R642" s="8" t="s">
        <v>225</v>
      </c>
      <c r="S642" s="8" t="s">
        <v>237</v>
      </c>
      <c r="T642" s="8" t="s">
        <v>216</v>
      </c>
      <c r="U642" s="8" t="s">
        <v>183</v>
      </c>
      <c r="V642" s="8">
        <v>0</v>
      </c>
      <c r="W642" s="18">
        <v>3.8461538461538464E-2</v>
      </c>
      <c r="X642" s="51">
        <v>45659</v>
      </c>
      <c r="Y642" s="51">
        <v>41706</v>
      </c>
      <c r="Z642" s="28">
        <v>151</v>
      </c>
      <c r="AA642" s="16" t="s">
        <v>1701</v>
      </c>
      <c r="AB642" s="8" t="s">
        <v>307</v>
      </c>
      <c r="AC642" s="8" t="s">
        <v>307</v>
      </c>
      <c r="AD642" s="8" t="s">
        <v>134</v>
      </c>
      <c r="AE642" s="8">
        <v>3102716006</v>
      </c>
      <c r="AF642" s="8" t="s">
        <v>276</v>
      </c>
      <c r="AG642" s="8" t="s">
        <v>295</v>
      </c>
      <c r="AH642" s="51">
        <v>33297</v>
      </c>
      <c r="AI642" s="28">
        <v>35</v>
      </c>
      <c r="AJ642" s="51" t="s">
        <v>1852</v>
      </c>
    </row>
    <row r="643" spans="1:36" ht="12.65" customHeight="1" x14ac:dyDescent="0.35">
      <c r="A643" s="8" t="s">
        <v>139</v>
      </c>
      <c r="B643" s="8" t="s">
        <v>136</v>
      </c>
      <c r="C643" s="8" t="s">
        <v>135</v>
      </c>
      <c r="D643" s="34" t="s">
        <v>215</v>
      </c>
      <c r="E643" s="14" t="s">
        <v>216</v>
      </c>
      <c r="F643" s="28" t="s">
        <v>70</v>
      </c>
      <c r="G643" s="28" t="s">
        <v>125</v>
      </c>
      <c r="H643" s="31" t="s">
        <v>9</v>
      </c>
      <c r="I643" s="8" t="s">
        <v>396</v>
      </c>
      <c r="J643" s="8" t="s">
        <v>397</v>
      </c>
      <c r="K643" s="69" t="s">
        <v>398</v>
      </c>
      <c r="L643" s="8" t="s">
        <v>391</v>
      </c>
      <c r="M643" s="8" t="s">
        <v>399</v>
      </c>
      <c r="N643" s="8" t="s">
        <v>393</v>
      </c>
      <c r="O643" s="8" t="s">
        <v>400</v>
      </c>
      <c r="P643" s="8" t="s">
        <v>285</v>
      </c>
      <c r="Q643" s="8" t="s">
        <v>285</v>
      </c>
      <c r="R643" s="8" t="s">
        <v>225</v>
      </c>
      <c r="S643" s="8" t="s">
        <v>237</v>
      </c>
      <c r="T643" s="8" t="s">
        <v>216</v>
      </c>
      <c r="U643" s="8" t="s">
        <v>183</v>
      </c>
      <c r="V643" s="8">
        <v>0</v>
      </c>
      <c r="W643" s="18">
        <v>3.8461538461538464E-2</v>
      </c>
      <c r="X643" s="51">
        <v>45659</v>
      </c>
      <c r="Y643" s="51">
        <v>41706</v>
      </c>
      <c r="Z643" s="28">
        <v>151</v>
      </c>
      <c r="AA643" s="16" t="s">
        <v>1701</v>
      </c>
      <c r="AB643" s="8" t="s">
        <v>395</v>
      </c>
      <c r="AC643" s="8" t="s">
        <v>395</v>
      </c>
      <c r="AD643" s="8" t="s">
        <v>134</v>
      </c>
      <c r="AE643" s="8">
        <v>3102716006</v>
      </c>
      <c r="AF643" s="8" t="s">
        <v>276</v>
      </c>
      <c r="AG643" s="8" t="s">
        <v>295</v>
      </c>
      <c r="AH643" s="51">
        <v>33297</v>
      </c>
      <c r="AI643" s="28">
        <v>35</v>
      </c>
      <c r="AJ643" s="51" t="s">
        <v>1852</v>
      </c>
    </row>
    <row r="644" spans="1:36" ht="12.65" customHeight="1" x14ac:dyDescent="0.35">
      <c r="A644" s="8" t="s">
        <v>139</v>
      </c>
      <c r="B644" s="8" t="s">
        <v>136</v>
      </c>
      <c r="C644" s="8" t="s">
        <v>135</v>
      </c>
      <c r="D644" s="34" t="s">
        <v>215</v>
      </c>
      <c r="E644" s="14" t="s">
        <v>216</v>
      </c>
      <c r="F644" s="28" t="s">
        <v>70</v>
      </c>
      <c r="G644" s="28" t="s">
        <v>125</v>
      </c>
      <c r="H644" s="31" t="s">
        <v>9</v>
      </c>
      <c r="I644" s="8" t="s">
        <v>667</v>
      </c>
      <c r="J644" s="8" t="s">
        <v>668</v>
      </c>
      <c r="K644" s="69" t="s">
        <v>669</v>
      </c>
      <c r="L644" s="8" t="s">
        <v>391</v>
      </c>
      <c r="M644" s="8" t="s">
        <v>399</v>
      </c>
      <c r="N644" s="8" t="s">
        <v>393</v>
      </c>
      <c r="O644" s="8" t="s">
        <v>13</v>
      </c>
      <c r="P644" s="8" t="s">
        <v>285</v>
      </c>
      <c r="Q644" s="8" t="s">
        <v>285</v>
      </c>
      <c r="R644" s="8" t="s">
        <v>225</v>
      </c>
      <c r="S644" s="8" t="s">
        <v>237</v>
      </c>
      <c r="T644" s="8" t="s">
        <v>216</v>
      </c>
      <c r="U644" s="8" t="s">
        <v>183</v>
      </c>
      <c r="V644" s="8">
        <v>0</v>
      </c>
      <c r="W644" s="18">
        <v>3.8461538461538464E-2</v>
      </c>
      <c r="X644" s="51">
        <v>45659</v>
      </c>
      <c r="Y644" s="51">
        <v>41706</v>
      </c>
      <c r="Z644" s="28">
        <v>151</v>
      </c>
      <c r="AA644" s="16" t="s">
        <v>1701</v>
      </c>
      <c r="AB644" s="8" t="s">
        <v>395</v>
      </c>
      <c r="AC644" s="8" t="s">
        <v>395</v>
      </c>
      <c r="AD644" s="8" t="s">
        <v>134</v>
      </c>
      <c r="AE644" s="8">
        <v>3102716006</v>
      </c>
      <c r="AF644" s="8" t="s">
        <v>276</v>
      </c>
      <c r="AG644" s="8" t="s">
        <v>295</v>
      </c>
      <c r="AH644" s="51">
        <v>33297</v>
      </c>
      <c r="AI644" s="28">
        <v>35</v>
      </c>
      <c r="AJ644" s="51" t="s">
        <v>1852</v>
      </c>
    </row>
    <row r="645" spans="1:36" ht="12.65" customHeight="1" x14ac:dyDescent="0.35">
      <c r="A645" s="8" t="s">
        <v>139</v>
      </c>
      <c r="B645" s="8" t="s">
        <v>136</v>
      </c>
      <c r="C645" s="8" t="s">
        <v>135</v>
      </c>
      <c r="D645" s="34" t="s">
        <v>215</v>
      </c>
      <c r="E645" s="14" t="s">
        <v>216</v>
      </c>
      <c r="F645" s="28" t="s">
        <v>70</v>
      </c>
      <c r="G645" s="28" t="s">
        <v>125</v>
      </c>
      <c r="H645" s="31" t="s">
        <v>9</v>
      </c>
      <c r="I645" s="8" t="s">
        <v>401</v>
      </c>
      <c r="J645" s="8" t="s">
        <v>402</v>
      </c>
      <c r="K645" s="69" t="s">
        <v>403</v>
      </c>
      <c r="L645" s="8" t="s">
        <v>391</v>
      </c>
      <c r="M645" s="8" t="s">
        <v>399</v>
      </c>
      <c r="N645" s="8" t="s">
        <v>393</v>
      </c>
      <c r="O645" s="8" t="s">
        <v>13</v>
      </c>
      <c r="P645" s="8" t="s">
        <v>285</v>
      </c>
      <c r="Q645" s="8" t="s">
        <v>285</v>
      </c>
      <c r="R645" s="8" t="s">
        <v>225</v>
      </c>
      <c r="S645" s="8" t="s">
        <v>237</v>
      </c>
      <c r="T645" s="8" t="s">
        <v>216</v>
      </c>
      <c r="U645" s="8" t="s">
        <v>183</v>
      </c>
      <c r="V645" s="8">
        <v>0</v>
      </c>
      <c r="W645" s="18">
        <v>3.8461538461538464E-2</v>
      </c>
      <c r="X645" s="51">
        <v>45659</v>
      </c>
      <c r="Y645" s="51">
        <v>41706</v>
      </c>
      <c r="Z645" s="28">
        <v>151</v>
      </c>
      <c r="AA645" s="16" t="s">
        <v>1701</v>
      </c>
      <c r="AB645" s="8" t="s">
        <v>395</v>
      </c>
      <c r="AC645" s="8" t="s">
        <v>395</v>
      </c>
      <c r="AD645" s="8" t="s">
        <v>134</v>
      </c>
      <c r="AE645" s="8">
        <v>3102716006</v>
      </c>
      <c r="AF645" s="8" t="s">
        <v>276</v>
      </c>
      <c r="AG645" s="8" t="s">
        <v>295</v>
      </c>
      <c r="AH645" s="51">
        <v>33297</v>
      </c>
      <c r="AI645" s="28">
        <v>35</v>
      </c>
      <c r="AJ645" s="51" t="s">
        <v>1852</v>
      </c>
    </row>
    <row r="646" spans="1:36" ht="12.65" customHeight="1" x14ac:dyDescent="0.35">
      <c r="A646" s="8" t="s">
        <v>139</v>
      </c>
      <c r="B646" s="8" t="s">
        <v>136</v>
      </c>
      <c r="C646" s="8" t="s">
        <v>135</v>
      </c>
      <c r="D646" s="34" t="s">
        <v>215</v>
      </c>
      <c r="E646" s="14" t="s">
        <v>216</v>
      </c>
      <c r="F646" s="28" t="s">
        <v>70</v>
      </c>
      <c r="G646" s="28" t="s">
        <v>125</v>
      </c>
      <c r="H646" s="31" t="s">
        <v>9</v>
      </c>
      <c r="I646" s="8" t="s">
        <v>673</v>
      </c>
      <c r="J646" s="8" t="s">
        <v>674</v>
      </c>
      <c r="K646" s="69" t="s">
        <v>675</v>
      </c>
      <c r="L646" s="8" t="s">
        <v>391</v>
      </c>
      <c r="M646" s="8" t="s">
        <v>399</v>
      </c>
      <c r="N646" s="8" t="s">
        <v>393</v>
      </c>
      <c r="O646" s="8" t="s">
        <v>13</v>
      </c>
      <c r="P646" s="8" t="s">
        <v>285</v>
      </c>
      <c r="Q646" s="8" t="s">
        <v>285</v>
      </c>
      <c r="R646" s="8" t="s">
        <v>225</v>
      </c>
      <c r="S646" s="8" t="s">
        <v>237</v>
      </c>
      <c r="T646" s="8" t="s">
        <v>216</v>
      </c>
      <c r="U646" s="8" t="s">
        <v>183</v>
      </c>
      <c r="V646" s="8">
        <v>0</v>
      </c>
      <c r="W646" s="18">
        <v>3.8461538461538464E-2</v>
      </c>
      <c r="X646" s="51">
        <v>45659</v>
      </c>
      <c r="Y646" s="51">
        <v>41706</v>
      </c>
      <c r="Z646" s="28">
        <v>151</v>
      </c>
      <c r="AA646" s="16" t="s">
        <v>1701</v>
      </c>
      <c r="AB646" s="8" t="s">
        <v>293</v>
      </c>
      <c r="AC646" s="8" t="s">
        <v>293</v>
      </c>
      <c r="AD646" s="8" t="s">
        <v>134</v>
      </c>
      <c r="AE646" s="8">
        <v>3102716006</v>
      </c>
      <c r="AF646" s="8" t="s">
        <v>276</v>
      </c>
      <c r="AG646" s="8" t="s">
        <v>295</v>
      </c>
      <c r="AH646" s="51">
        <v>33297</v>
      </c>
      <c r="AI646" s="28">
        <v>35</v>
      </c>
      <c r="AJ646" s="51" t="s">
        <v>1852</v>
      </c>
    </row>
    <row r="647" spans="1:36" ht="12.65" customHeight="1" x14ac:dyDescent="0.35">
      <c r="A647" s="8" t="s">
        <v>139</v>
      </c>
      <c r="B647" s="8" t="s">
        <v>136</v>
      </c>
      <c r="C647" s="8" t="s">
        <v>135</v>
      </c>
      <c r="D647" s="34" t="s">
        <v>215</v>
      </c>
      <c r="E647" s="14" t="s">
        <v>216</v>
      </c>
      <c r="F647" s="28" t="s">
        <v>70</v>
      </c>
      <c r="G647" s="28" t="s">
        <v>125</v>
      </c>
      <c r="H647" s="31" t="s">
        <v>9</v>
      </c>
      <c r="I647" s="8" t="s">
        <v>670</v>
      </c>
      <c r="J647" s="8" t="s">
        <v>671</v>
      </c>
      <c r="K647" s="69" t="s">
        <v>672</v>
      </c>
      <c r="L647" s="8" t="s">
        <v>391</v>
      </c>
      <c r="M647" s="8" t="s">
        <v>399</v>
      </c>
      <c r="N647" s="8" t="s">
        <v>393</v>
      </c>
      <c r="O647" s="8" t="s">
        <v>13</v>
      </c>
      <c r="P647" s="8" t="s">
        <v>285</v>
      </c>
      <c r="Q647" s="8" t="s">
        <v>285</v>
      </c>
      <c r="R647" s="8" t="s">
        <v>225</v>
      </c>
      <c r="S647" s="8" t="s">
        <v>237</v>
      </c>
      <c r="T647" s="8" t="s">
        <v>216</v>
      </c>
      <c r="U647" s="8" t="s">
        <v>183</v>
      </c>
      <c r="V647" s="8">
        <v>0</v>
      </c>
      <c r="W647" s="18">
        <v>3.8461538461538464E-2</v>
      </c>
      <c r="X647" s="51">
        <v>45659</v>
      </c>
      <c r="Y647" s="51">
        <v>41706</v>
      </c>
      <c r="Z647" s="28">
        <v>151</v>
      </c>
      <c r="AA647" s="16" t="s">
        <v>1701</v>
      </c>
      <c r="AB647" s="8" t="s">
        <v>395</v>
      </c>
      <c r="AC647" s="8" t="s">
        <v>395</v>
      </c>
      <c r="AD647" s="8" t="s">
        <v>134</v>
      </c>
      <c r="AE647" s="8">
        <v>3102716006</v>
      </c>
      <c r="AF647" s="8" t="s">
        <v>276</v>
      </c>
      <c r="AG647" s="8" t="s">
        <v>295</v>
      </c>
      <c r="AH647" s="51">
        <v>33297</v>
      </c>
      <c r="AI647" s="28">
        <v>35</v>
      </c>
      <c r="AJ647" s="51" t="s">
        <v>1852</v>
      </c>
    </row>
    <row r="648" spans="1:36" ht="12.65" customHeight="1" x14ac:dyDescent="0.35">
      <c r="A648" s="8" t="s">
        <v>139</v>
      </c>
      <c r="B648" s="8" t="s">
        <v>136</v>
      </c>
      <c r="C648" s="8" t="s">
        <v>135</v>
      </c>
      <c r="D648" s="34" t="s">
        <v>215</v>
      </c>
      <c r="E648" s="14" t="s">
        <v>216</v>
      </c>
      <c r="F648" s="28" t="s">
        <v>70</v>
      </c>
      <c r="G648" s="28" t="s">
        <v>125</v>
      </c>
      <c r="H648" s="31" t="s">
        <v>9</v>
      </c>
      <c r="I648" s="8" t="s">
        <v>522</v>
      </c>
      <c r="J648" s="8" t="s">
        <v>1128</v>
      </c>
      <c r="K648" s="69" t="s">
        <v>523</v>
      </c>
      <c r="L648" s="8" t="s">
        <v>410</v>
      </c>
      <c r="M648" s="8" t="s">
        <v>410</v>
      </c>
      <c r="N648" s="8" t="s">
        <v>306</v>
      </c>
      <c r="O648" s="8" t="s">
        <v>13</v>
      </c>
      <c r="P648" s="8" t="s">
        <v>285</v>
      </c>
      <c r="Q648" s="8" t="s">
        <v>285</v>
      </c>
      <c r="R648" s="8" t="s">
        <v>225</v>
      </c>
      <c r="S648" s="8" t="s">
        <v>237</v>
      </c>
      <c r="T648" s="8" t="s">
        <v>216</v>
      </c>
      <c r="U648" s="8" t="s">
        <v>54</v>
      </c>
      <c r="V648" s="8">
        <v>0</v>
      </c>
      <c r="W648" s="18">
        <v>3.8461538461538464E-2</v>
      </c>
      <c r="X648" s="51">
        <v>45659</v>
      </c>
      <c r="Y648" s="51">
        <v>41706</v>
      </c>
      <c r="Z648" s="28">
        <v>151</v>
      </c>
      <c r="AA648" s="16" t="s">
        <v>1701</v>
      </c>
      <c r="AB648" s="8" t="s">
        <v>291</v>
      </c>
      <c r="AC648" s="8" t="s">
        <v>291</v>
      </c>
      <c r="AD648" s="8" t="s">
        <v>134</v>
      </c>
      <c r="AE648" s="8">
        <v>3102716006</v>
      </c>
      <c r="AF648" s="8" t="s">
        <v>276</v>
      </c>
      <c r="AG648" s="8" t="s">
        <v>292</v>
      </c>
      <c r="AH648" s="51">
        <v>33297</v>
      </c>
      <c r="AI648" s="28">
        <v>35</v>
      </c>
      <c r="AJ648" s="51" t="s">
        <v>1852</v>
      </c>
    </row>
    <row r="649" spans="1:36" ht="12.65" customHeight="1" x14ac:dyDescent="0.35">
      <c r="A649" s="8" t="s">
        <v>139</v>
      </c>
      <c r="B649" s="8" t="s">
        <v>136</v>
      </c>
      <c r="C649" s="8" t="s">
        <v>135</v>
      </c>
      <c r="D649" s="34" t="s">
        <v>215</v>
      </c>
      <c r="E649" s="14" t="s">
        <v>216</v>
      </c>
      <c r="F649" s="28" t="s">
        <v>70</v>
      </c>
      <c r="G649" s="28" t="s">
        <v>125</v>
      </c>
      <c r="H649" s="31" t="s">
        <v>9</v>
      </c>
      <c r="I649" s="8" t="s">
        <v>388</v>
      </c>
      <c r="J649" s="8" t="s">
        <v>389</v>
      </c>
      <c r="K649" s="69" t="s">
        <v>390</v>
      </c>
      <c r="L649" s="8" t="s">
        <v>391</v>
      </c>
      <c r="M649" s="8" t="s">
        <v>392</v>
      </c>
      <c r="N649" s="8" t="s">
        <v>393</v>
      </c>
      <c r="O649" s="8" t="s">
        <v>13</v>
      </c>
      <c r="P649" s="8" t="s">
        <v>285</v>
      </c>
      <c r="Q649" s="8" t="s">
        <v>285</v>
      </c>
      <c r="R649" s="8" t="s">
        <v>225</v>
      </c>
      <c r="S649" s="8" t="s">
        <v>237</v>
      </c>
      <c r="T649" s="8" t="s">
        <v>216</v>
      </c>
      <c r="U649" s="8" t="s">
        <v>183</v>
      </c>
      <c r="V649" s="8">
        <v>0</v>
      </c>
      <c r="W649" s="18">
        <v>3.8461538461538464E-2</v>
      </c>
      <c r="X649" s="51">
        <v>45659</v>
      </c>
      <c r="Y649" s="51">
        <v>41706</v>
      </c>
      <c r="Z649" s="28">
        <v>151</v>
      </c>
      <c r="AA649" s="16" t="s">
        <v>1701</v>
      </c>
      <c r="AB649" s="8" t="s">
        <v>395</v>
      </c>
      <c r="AC649" s="8" t="s">
        <v>395</v>
      </c>
      <c r="AD649" s="8" t="s">
        <v>134</v>
      </c>
      <c r="AE649" s="8">
        <v>3102716006</v>
      </c>
      <c r="AF649" s="8" t="s">
        <v>276</v>
      </c>
      <c r="AG649" s="8" t="s">
        <v>295</v>
      </c>
      <c r="AH649" s="51">
        <v>33297</v>
      </c>
      <c r="AI649" s="28">
        <v>35</v>
      </c>
      <c r="AJ649" s="51" t="s">
        <v>1852</v>
      </c>
    </row>
    <row r="650" spans="1:36" ht="12.65" customHeight="1" x14ac:dyDescent="0.35">
      <c r="A650" s="8" t="s">
        <v>139</v>
      </c>
      <c r="B650" s="8" t="s">
        <v>136</v>
      </c>
      <c r="C650" s="8" t="s">
        <v>135</v>
      </c>
      <c r="D650" s="34" t="s">
        <v>215</v>
      </c>
      <c r="E650" s="14" t="s">
        <v>216</v>
      </c>
      <c r="F650" s="28" t="s">
        <v>70</v>
      </c>
      <c r="G650" s="28" t="s">
        <v>125</v>
      </c>
      <c r="H650" s="31" t="s">
        <v>9</v>
      </c>
      <c r="I650" s="8" t="s">
        <v>587</v>
      </c>
      <c r="J650" s="8" t="s">
        <v>588</v>
      </c>
      <c r="K650" s="69" t="s">
        <v>589</v>
      </c>
      <c r="L650" s="8" t="s">
        <v>382</v>
      </c>
      <c r="M650" s="8" t="s">
        <v>382</v>
      </c>
      <c r="N650" s="8" t="s">
        <v>306</v>
      </c>
      <c r="O650" s="8" t="s">
        <v>13</v>
      </c>
      <c r="P650" s="8" t="s">
        <v>285</v>
      </c>
      <c r="Q650" s="8" t="s">
        <v>285</v>
      </c>
      <c r="R650" s="8" t="s">
        <v>225</v>
      </c>
      <c r="S650" s="8" t="s">
        <v>237</v>
      </c>
      <c r="T650" s="8" t="s">
        <v>216</v>
      </c>
      <c r="U650" s="8" t="s">
        <v>192</v>
      </c>
      <c r="V650" s="8">
        <v>0</v>
      </c>
      <c r="W650" s="18">
        <v>3.8461538461538464E-2</v>
      </c>
      <c r="X650" s="51">
        <v>45659</v>
      </c>
      <c r="Y650" s="51">
        <v>41706</v>
      </c>
      <c r="Z650" s="28">
        <v>151</v>
      </c>
      <c r="AA650" s="16" t="s">
        <v>1701</v>
      </c>
      <c r="AB650" s="8" t="s">
        <v>293</v>
      </c>
      <c r="AC650" s="8" t="s">
        <v>293</v>
      </c>
      <c r="AD650" s="8" t="s">
        <v>134</v>
      </c>
      <c r="AE650" s="8">
        <v>3102716006</v>
      </c>
      <c r="AF650" s="8" t="s">
        <v>276</v>
      </c>
      <c r="AG650" s="8" t="s">
        <v>292</v>
      </c>
      <c r="AH650" s="51">
        <v>33297</v>
      </c>
      <c r="AI650" s="28">
        <v>35</v>
      </c>
      <c r="AJ650" s="51" t="s">
        <v>1852</v>
      </c>
    </row>
    <row r="651" spans="1:36" ht="12.65" customHeight="1" x14ac:dyDescent="0.35">
      <c r="A651" s="8" t="s">
        <v>139</v>
      </c>
      <c r="B651" s="8" t="s">
        <v>136</v>
      </c>
      <c r="C651" s="8" t="s">
        <v>135</v>
      </c>
      <c r="D651" s="34" t="s">
        <v>215</v>
      </c>
      <c r="E651" s="14" t="s">
        <v>216</v>
      </c>
      <c r="F651" s="28" t="s">
        <v>70</v>
      </c>
      <c r="G651" s="28" t="s">
        <v>125</v>
      </c>
      <c r="H651" s="31" t="s">
        <v>9</v>
      </c>
      <c r="I651" s="8" t="s">
        <v>625</v>
      </c>
      <c r="J651" s="8" t="s">
        <v>626</v>
      </c>
      <c r="K651" s="69" t="s">
        <v>627</v>
      </c>
      <c r="L651" s="8" t="s">
        <v>382</v>
      </c>
      <c r="M651" s="8" t="s">
        <v>382</v>
      </c>
      <c r="N651" s="8" t="s">
        <v>306</v>
      </c>
      <c r="O651" s="8" t="s">
        <v>13</v>
      </c>
      <c r="P651" s="8" t="s">
        <v>285</v>
      </c>
      <c r="Q651" s="8" t="s">
        <v>285</v>
      </c>
      <c r="R651" s="8" t="s">
        <v>225</v>
      </c>
      <c r="S651" s="8" t="s">
        <v>237</v>
      </c>
      <c r="T651" s="8" t="s">
        <v>216</v>
      </c>
      <c r="U651" s="8" t="s">
        <v>192</v>
      </c>
      <c r="V651" s="8">
        <v>0</v>
      </c>
      <c r="W651" s="18">
        <v>3.8461538461538464E-2</v>
      </c>
      <c r="X651" s="51">
        <v>45659</v>
      </c>
      <c r="Y651" s="51">
        <v>41706</v>
      </c>
      <c r="Z651" s="28">
        <v>151</v>
      </c>
      <c r="AA651" s="16" t="s">
        <v>1701</v>
      </c>
      <c r="AB651" s="8" t="s">
        <v>291</v>
      </c>
      <c r="AC651" s="8" t="s">
        <v>293</v>
      </c>
      <c r="AD651" s="8" t="s">
        <v>134</v>
      </c>
      <c r="AE651" s="8">
        <v>3102716006</v>
      </c>
      <c r="AF651" s="8" t="s">
        <v>276</v>
      </c>
      <c r="AG651" s="8" t="s">
        <v>292</v>
      </c>
      <c r="AH651" s="51">
        <v>33297</v>
      </c>
      <c r="AI651" s="28">
        <v>35</v>
      </c>
      <c r="AJ651" s="51" t="s">
        <v>1852</v>
      </c>
    </row>
    <row r="652" spans="1:36" ht="12.65" customHeight="1" x14ac:dyDescent="0.35">
      <c r="A652" s="8" t="s">
        <v>139</v>
      </c>
      <c r="B652" s="8" t="s">
        <v>136</v>
      </c>
      <c r="C652" s="8" t="s">
        <v>135</v>
      </c>
      <c r="D652" s="34" t="s">
        <v>215</v>
      </c>
      <c r="E652" s="14" t="s">
        <v>216</v>
      </c>
      <c r="F652" s="28" t="s">
        <v>70</v>
      </c>
      <c r="G652" s="28" t="s">
        <v>125</v>
      </c>
      <c r="H652" s="31" t="s">
        <v>9</v>
      </c>
      <c r="I652" s="8" t="s">
        <v>592</v>
      </c>
      <c r="J652" s="8" t="s">
        <v>593</v>
      </c>
      <c r="K652" s="69" t="s">
        <v>594</v>
      </c>
      <c r="L652" s="8" t="s">
        <v>382</v>
      </c>
      <c r="M652" s="8" t="s">
        <v>382</v>
      </c>
      <c r="N652" s="8" t="s">
        <v>306</v>
      </c>
      <c r="O652" s="8" t="s">
        <v>13</v>
      </c>
      <c r="P652" s="8" t="s">
        <v>285</v>
      </c>
      <c r="Q652" s="8" t="s">
        <v>285</v>
      </c>
      <c r="R652" s="8" t="s">
        <v>225</v>
      </c>
      <c r="S652" s="8" t="s">
        <v>237</v>
      </c>
      <c r="T652" s="8" t="s">
        <v>216</v>
      </c>
      <c r="U652" s="8" t="s">
        <v>192</v>
      </c>
      <c r="V652" s="8">
        <v>0</v>
      </c>
      <c r="W652" s="18">
        <v>3.8461538461538464E-2</v>
      </c>
      <c r="X652" s="51">
        <v>45659</v>
      </c>
      <c r="Y652" s="51">
        <v>41706</v>
      </c>
      <c r="Z652" s="28">
        <v>151</v>
      </c>
      <c r="AA652" s="16" t="s">
        <v>1701</v>
      </c>
      <c r="AB652" s="8" t="s">
        <v>291</v>
      </c>
      <c r="AC652" s="8" t="s">
        <v>293</v>
      </c>
      <c r="AD652" s="8" t="s">
        <v>134</v>
      </c>
      <c r="AE652" s="8">
        <v>3102716006</v>
      </c>
      <c r="AF652" s="8" t="s">
        <v>276</v>
      </c>
      <c r="AG652" s="8" t="s">
        <v>292</v>
      </c>
      <c r="AH652" s="51">
        <v>33297</v>
      </c>
      <c r="AI652" s="28">
        <v>35</v>
      </c>
      <c r="AJ652" s="51" t="s">
        <v>1852</v>
      </c>
    </row>
    <row r="653" spans="1:36" ht="12.65" customHeight="1" x14ac:dyDescent="0.35">
      <c r="A653" s="8" t="s">
        <v>139</v>
      </c>
      <c r="B653" s="8" t="s">
        <v>136</v>
      </c>
      <c r="C653" s="8" t="s">
        <v>135</v>
      </c>
      <c r="D653" s="34" t="s">
        <v>215</v>
      </c>
      <c r="E653" s="14" t="s">
        <v>216</v>
      </c>
      <c r="F653" s="28" t="s">
        <v>70</v>
      </c>
      <c r="G653" s="28" t="s">
        <v>125</v>
      </c>
      <c r="H653" s="31" t="s">
        <v>9</v>
      </c>
      <c r="I653" s="8" t="s">
        <v>499</v>
      </c>
      <c r="J653" s="8" t="s">
        <v>1309</v>
      </c>
      <c r="K653" s="69" t="s">
        <v>500</v>
      </c>
      <c r="L653" s="8" t="s">
        <v>406</v>
      </c>
      <c r="M653" s="8" t="s">
        <v>407</v>
      </c>
      <c r="N653" s="8" t="s">
        <v>306</v>
      </c>
      <c r="O653" s="8" t="s">
        <v>394</v>
      </c>
      <c r="P653" s="8" t="s">
        <v>285</v>
      </c>
      <c r="Q653" s="8" t="s">
        <v>285</v>
      </c>
      <c r="R653" s="8" t="s">
        <v>225</v>
      </c>
      <c r="S653" s="8" t="s">
        <v>237</v>
      </c>
      <c r="T653" s="8" t="s">
        <v>216</v>
      </c>
      <c r="U653" s="8" t="s">
        <v>186</v>
      </c>
      <c r="V653" s="8">
        <v>0</v>
      </c>
      <c r="W653" s="18">
        <v>3.8461538461538464E-2</v>
      </c>
      <c r="X653" s="51">
        <v>45659</v>
      </c>
      <c r="Y653" s="51">
        <v>41706</v>
      </c>
      <c r="Z653" s="28">
        <v>151</v>
      </c>
      <c r="AA653" s="16" t="s">
        <v>1701</v>
      </c>
      <c r="AB653" s="8" t="s">
        <v>395</v>
      </c>
      <c r="AC653" s="8" t="s">
        <v>395</v>
      </c>
      <c r="AD653" s="8" t="s">
        <v>134</v>
      </c>
      <c r="AE653" s="8">
        <v>3102716006</v>
      </c>
      <c r="AF653" s="8" t="s">
        <v>276</v>
      </c>
      <c r="AG653" s="8" t="s">
        <v>295</v>
      </c>
      <c r="AH653" s="51">
        <v>33297</v>
      </c>
      <c r="AI653" s="28">
        <v>35</v>
      </c>
      <c r="AJ653" s="51" t="s">
        <v>1852</v>
      </c>
    </row>
    <row r="654" spans="1:36" ht="12.65" customHeight="1" x14ac:dyDescent="0.35">
      <c r="A654" s="8" t="s">
        <v>139</v>
      </c>
      <c r="B654" s="8" t="s">
        <v>136</v>
      </c>
      <c r="C654" s="8" t="s">
        <v>135</v>
      </c>
      <c r="D654" s="34" t="s">
        <v>215</v>
      </c>
      <c r="E654" s="14" t="s">
        <v>216</v>
      </c>
      <c r="F654" s="28" t="s">
        <v>70</v>
      </c>
      <c r="G654" s="28" t="s">
        <v>125</v>
      </c>
      <c r="H654" s="31" t="s">
        <v>9</v>
      </c>
      <c r="I654" s="8" t="s">
        <v>676</v>
      </c>
      <c r="J654" s="8" t="s">
        <v>1310</v>
      </c>
      <c r="K654" s="69" t="s">
        <v>677</v>
      </c>
      <c r="L654" s="8" t="s">
        <v>406</v>
      </c>
      <c r="M654" s="8" t="s">
        <v>407</v>
      </c>
      <c r="N654" s="8" t="s">
        <v>306</v>
      </c>
      <c r="O654" s="8" t="s">
        <v>13</v>
      </c>
      <c r="P654" s="8" t="s">
        <v>285</v>
      </c>
      <c r="Q654" s="8" t="s">
        <v>285</v>
      </c>
      <c r="R654" s="8" t="s">
        <v>225</v>
      </c>
      <c r="S654" s="8" t="s">
        <v>237</v>
      </c>
      <c r="T654" s="8" t="s">
        <v>216</v>
      </c>
      <c r="U654" s="8" t="s">
        <v>186</v>
      </c>
      <c r="V654" s="8">
        <v>0</v>
      </c>
      <c r="W654" s="18">
        <v>3.8461538461538464E-2</v>
      </c>
      <c r="X654" s="51">
        <v>45659</v>
      </c>
      <c r="Y654" s="51">
        <v>41706</v>
      </c>
      <c r="Z654" s="28">
        <v>151</v>
      </c>
      <c r="AA654" s="16" t="s">
        <v>1701</v>
      </c>
      <c r="AB654" s="8" t="s">
        <v>395</v>
      </c>
      <c r="AC654" s="8" t="s">
        <v>395</v>
      </c>
      <c r="AD654" s="8" t="s">
        <v>134</v>
      </c>
      <c r="AE654" s="8">
        <v>3102716006</v>
      </c>
      <c r="AF654" s="8" t="s">
        <v>276</v>
      </c>
      <c r="AG654" s="8" t="s">
        <v>292</v>
      </c>
      <c r="AH654" s="51">
        <v>33297</v>
      </c>
      <c r="AI654" s="28">
        <v>35</v>
      </c>
      <c r="AJ654" s="51" t="s">
        <v>1852</v>
      </c>
    </row>
    <row r="655" spans="1:36" ht="12.65" customHeight="1" x14ac:dyDescent="0.35">
      <c r="A655" s="8" t="s">
        <v>139</v>
      </c>
      <c r="B655" s="8" t="s">
        <v>136</v>
      </c>
      <c r="C655" s="8" t="s">
        <v>135</v>
      </c>
      <c r="D655" s="34" t="s">
        <v>215</v>
      </c>
      <c r="E655" s="14" t="s">
        <v>216</v>
      </c>
      <c r="F655" s="28" t="s">
        <v>70</v>
      </c>
      <c r="G655" s="28" t="s">
        <v>125</v>
      </c>
      <c r="H655" s="31" t="s">
        <v>9</v>
      </c>
      <c r="I655" s="8" t="s">
        <v>461</v>
      </c>
      <c r="J655" s="8" t="s">
        <v>985</v>
      </c>
      <c r="K655" s="69" t="s">
        <v>462</v>
      </c>
      <c r="L655" s="8" t="s">
        <v>406</v>
      </c>
      <c r="M655" s="8" t="s">
        <v>407</v>
      </c>
      <c r="N655" s="8" t="s">
        <v>306</v>
      </c>
      <c r="O655" s="8" t="s">
        <v>13</v>
      </c>
      <c r="P655" s="8" t="s">
        <v>285</v>
      </c>
      <c r="Q655" s="8" t="s">
        <v>285</v>
      </c>
      <c r="R655" s="8" t="s">
        <v>225</v>
      </c>
      <c r="S655" s="8" t="s">
        <v>237</v>
      </c>
      <c r="T655" s="8" t="s">
        <v>216</v>
      </c>
      <c r="U655" s="8" t="s">
        <v>186</v>
      </c>
      <c r="V655" s="8">
        <v>0</v>
      </c>
      <c r="W655" s="18">
        <v>3.8461538461538464E-2</v>
      </c>
      <c r="X655" s="51">
        <v>45659</v>
      </c>
      <c r="Y655" s="51">
        <v>41706</v>
      </c>
      <c r="Z655" s="28">
        <v>151</v>
      </c>
      <c r="AA655" s="16" t="s">
        <v>1701</v>
      </c>
      <c r="AB655" s="8" t="s">
        <v>395</v>
      </c>
      <c r="AC655" s="8" t="s">
        <v>395</v>
      </c>
      <c r="AD655" s="8" t="s">
        <v>134</v>
      </c>
      <c r="AE655" s="8">
        <v>3102716006</v>
      </c>
      <c r="AF655" s="8" t="s">
        <v>276</v>
      </c>
      <c r="AG655" s="8" t="s">
        <v>292</v>
      </c>
      <c r="AH655" s="51">
        <v>33297</v>
      </c>
      <c r="AI655" s="28">
        <v>35</v>
      </c>
      <c r="AJ655" s="51" t="s">
        <v>1852</v>
      </c>
    </row>
    <row r="656" spans="1:36" ht="12.65" customHeight="1" x14ac:dyDescent="0.35">
      <c r="A656" s="8" t="s">
        <v>139</v>
      </c>
      <c r="B656" s="8" t="s">
        <v>136</v>
      </c>
      <c r="C656" s="8" t="s">
        <v>135</v>
      </c>
      <c r="D656" s="34" t="s">
        <v>215</v>
      </c>
      <c r="E656" s="14" t="s">
        <v>216</v>
      </c>
      <c r="F656" s="28" t="s">
        <v>70</v>
      </c>
      <c r="G656" s="28" t="s">
        <v>125</v>
      </c>
      <c r="H656" s="31" t="s">
        <v>9</v>
      </c>
      <c r="I656" s="8" t="s">
        <v>581</v>
      </c>
      <c r="J656" s="8" t="s">
        <v>582</v>
      </c>
      <c r="K656" s="69" t="s">
        <v>583</v>
      </c>
      <c r="L656" s="8" t="s">
        <v>391</v>
      </c>
      <c r="M656" s="8" t="s">
        <v>584</v>
      </c>
      <c r="N656" s="8" t="s">
        <v>393</v>
      </c>
      <c r="O656" s="8" t="s">
        <v>13</v>
      </c>
      <c r="P656" s="8" t="s">
        <v>285</v>
      </c>
      <c r="Q656" s="8" t="s">
        <v>285</v>
      </c>
      <c r="R656" s="8" t="s">
        <v>225</v>
      </c>
      <c r="S656" s="8" t="s">
        <v>237</v>
      </c>
      <c r="T656" s="14" t="s">
        <v>216</v>
      </c>
      <c r="U656" s="8" t="s">
        <v>183</v>
      </c>
      <c r="V656" s="8">
        <v>0</v>
      </c>
      <c r="W656" s="18">
        <v>3.8461538461538464E-2</v>
      </c>
      <c r="X656" s="51">
        <v>45659</v>
      </c>
      <c r="Y656" s="51">
        <v>41706</v>
      </c>
      <c r="Z656" s="28">
        <v>151</v>
      </c>
      <c r="AA656" s="16" t="s">
        <v>1701</v>
      </c>
      <c r="AB656" s="8" t="s">
        <v>395</v>
      </c>
      <c r="AC656" s="8" t="s">
        <v>395</v>
      </c>
      <c r="AD656" s="8" t="s">
        <v>134</v>
      </c>
      <c r="AE656" s="8">
        <v>3102716006</v>
      </c>
      <c r="AF656" s="8" t="s">
        <v>276</v>
      </c>
      <c r="AG656" s="8" t="s">
        <v>295</v>
      </c>
      <c r="AH656" s="51">
        <v>33297</v>
      </c>
      <c r="AI656" s="28">
        <v>35</v>
      </c>
      <c r="AJ656" s="51" t="s">
        <v>1852</v>
      </c>
    </row>
    <row r="657" spans="1:36" ht="12.65" customHeight="1" x14ac:dyDescent="0.35">
      <c r="A657" s="8" t="s">
        <v>139</v>
      </c>
      <c r="B657" s="8" t="s">
        <v>136</v>
      </c>
      <c r="C657" s="8" t="s">
        <v>135</v>
      </c>
      <c r="D657" s="34" t="s">
        <v>215</v>
      </c>
      <c r="E657" s="14" t="s">
        <v>216</v>
      </c>
      <c r="F657" s="28" t="s">
        <v>70</v>
      </c>
      <c r="G657" s="28" t="s">
        <v>125</v>
      </c>
      <c r="H657" s="31" t="s">
        <v>9</v>
      </c>
      <c r="I657" s="8" t="s">
        <v>585</v>
      </c>
      <c r="J657" s="8" t="s">
        <v>1525</v>
      </c>
      <c r="K657" s="69" t="s">
        <v>586</v>
      </c>
      <c r="L657" s="8" t="s">
        <v>391</v>
      </c>
      <c r="M657" s="8" t="s">
        <v>584</v>
      </c>
      <c r="N657" s="8" t="s">
        <v>393</v>
      </c>
      <c r="O657" s="8" t="s">
        <v>13</v>
      </c>
      <c r="P657" s="8" t="s">
        <v>285</v>
      </c>
      <c r="Q657" s="8" t="s">
        <v>285</v>
      </c>
      <c r="R657" s="8" t="s">
        <v>225</v>
      </c>
      <c r="S657" s="8" t="s">
        <v>237</v>
      </c>
      <c r="T657" s="8" t="s">
        <v>216</v>
      </c>
      <c r="U657" s="8" t="s">
        <v>183</v>
      </c>
      <c r="V657" s="8">
        <v>0</v>
      </c>
      <c r="W657" s="18">
        <v>3.8461538461538464E-2</v>
      </c>
      <c r="X657" s="51">
        <v>45659</v>
      </c>
      <c r="Y657" s="51">
        <v>41706</v>
      </c>
      <c r="Z657" s="28">
        <v>151</v>
      </c>
      <c r="AA657" s="16" t="s">
        <v>1701</v>
      </c>
      <c r="AB657" s="8" t="s">
        <v>395</v>
      </c>
      <c r="AC657" s="8" t="s">
        <v>395</v>
      </c>
      <c r="AD657" s="8" t="s">
        <v>134</v>
      </c>
      <c r="AE657" s="8">
        <v>3102716006</v>
      </c>
      <c r="AF657" s="8" t="s">
        <v>276</v>
      </c>
      <c r="AG657" s="8" t="s">
        <v>295</v>
      </c>
      <c r="AH657" s="51">
        <v>33297</v>
      </c>
      <c r="AI657" s="28">
        <v>35</v>
      </c>
      <c r="AJ657" s="51" t="s">
        <v>1852</v>
      </c>
    </row>
    <row r="658" spans="1:36" ht="12.65" customHeight="1" x14ac:dyDescent="0.35">
      <c r="A658" s="8" t="s">
        <v>139</v>
      </c>
      <c r="B658" s="8" t="s">
        <v>136</v>
      </c>
      <c r="C658" s="8" t="s">
        <v>135</v>
      </c>
      <c r="D658" s="34" t="s">
        <v>215</v>
      </c>
      <c r="E658" s="14" t="s">
        <v>216</v>
      </c>
      <c r="F658" s="28" t="s">
        <v>70</v>
      </c>
      <c r="G658" s="28" t="s">
        <v>125</v>
      </c>
      <c r="H658" s="31" t="s">
        <v>9</v>
      </c>
      <c r="I658" s="8" t="s">
        <v>425</v>
      </c>
      <c r="J658" s="8" t="s">
        <v>426</v>
      </c>
      <c r="K658" s="69" t="s">
        <v>427</v>
      </c>
      <c r="L658" s="8" t="s">
        <v>391</v>
      </c>
      <c r="M658" s="8" t="s">
        <v>428</v>
      </c>
      <c r="N658" s="8" t="s">
        <v>393</v>
      </c>
      <c r="O658" s="8" t="s">
        <v>13</v>
      </c>
      <c r="P658" s="8" t="s">
        <v>285</v>
      </c>
      <c r="Q658" s="8" t="s">
        <v>285</v>
      </c>
      <c r="R658" s="8" t="s">
        <v>225</v>
      </c>
      <c r="S658" s="8" t="s">
        <v>237</v>
      </c>
      <c r="T658" s="8" t="s">
        <v>216</v>
      </c>
      <c r="U658" s="8" t="s">
        <v>183</v>
      </c>
      <c r="V658" s="8">
        <v>0</v>
      </c>
      <c r="W658" s="18">
        <v>3.8461538461538464E-2</v>
      </c>
      <c r="X658" s="51">
        <v>45659</v>
      </c>
      <c r="Y658" s="51">
        <v>41706</v>
      </c>
      <c r="Z658" s="28">
        <v>151</v>
      </c>
      <c r="AA658" s="16" t="s">
        <v>1701</v>
      </c>
      <c r="AB658" s="8" t="s">
        <v>395</v>
      </c>
      <c r="AC658" s="8" t="s">
        <v>395</v>
      </c>
      <c r="AD658" s="8" t="s">
        <v>134</v>
      </c>
      <c r="AE658" s="8">
        <v>3102716006</v>
      </c>
      <c r="AF658" s="8" t="s">
        <v>276</v>
      </c>
      <c r="AG658" s="8" t="s">
        <v>295</v>
      </c>
      <c r="AH658" s="51">
        <v>33297</v>
      </c>
      <c r="AI658" s="28">
        <v>35</v>
      </c>
      <c r="AJ658" s="51" t="s">
        <v>1852</v>
      </c>
    </row>
    <row r="659" spans="1:36" ht="12.65" customHeight="1" x14ac:dyDescent="0.35">
      <c r="A659" s="8" t="s">
        <v>139</v>
      </c>
      <c r="B659" s="8" t="s">
        <v>136</v>
      </c>
      <c r="C659" s="8" t="s">
        <v>135</v>
      </c>
      <c r="D659" s="34" t="s">
        <v>215</v>
      </c>
      <c r="E659" s="14" t="s">
        <v>216</v>
      </c>
      <c r="F659" s="28" t="s">
        <v>70</v>
      </c>
      <c r="G659" s="28" t="s">
        <v>125</v>
      </c>
      <c r="H659" s="31" t="s">
        <v>9</v>
      </c>
      <c r="I659" s="8" t="s">
        <v>477</v>
      </c>
      <c r="J659" s="8" t="s">
        <v>478</v>
      </c>
      <c r="K659" s="69" t="s">
        <v>479</v>
      </c>
      <c r="L659" s="8" t="s">
        <v>391</v>
      </c>
      <c r="M659" s="8" t="s">
        <v>405</v>
      </c>
      <c r="N659" s="8" t="s">
        <v>393</v>
      </c>
      <c r="O659" s="8" t="s">
        <v>13</v>
      </c>
      <c r="P659" s="8" t="s">
        <v>285</v>
      </c>
      <c r="Q659" s="8" t="s">
        <v>285</v>
      </c>
      <c r="R659" s="8" t="s">
        <v>225</v>
      </c>
      <c r="S659" s="8" t="s">
        <v>237</v>
      </c>
      <c r="T659" s="8" t="s">
        <v>216</v>
      </c>
      <c r="U659" s="8" t="s">
        <v>183</v>
      </c>
      <c r="V659" s="8">
        <v>0</v>
      </c>
      <c r="W659" s="18">
        <v>3.8461538461538464E-2</v>
      </c>
      <c r="X659" s="51">
        <v>45659</v>
      </c>
      <c r="Y659" s="51">
        <v>41706</v>
      </c>
      <c r="Z659" s="28">
        <v>151</v>
      </c>
      <c r="AA659" s="16" t="s">
        <v>1701</v>
      </c>
      <c r="AB659" s="8" t="s">
        <v>293</v>
      </c>
      <c r="AC659" s="8" t="s">
        <v>293</v>
      </c>
      <c r="AD659" s="8" t="s">
        <v>134</v>
      </c>
      <c r="AE659" s="8">
        <v>3102716006</v>
      </c>
      <c r="AF659" s="8" t="s">
        <v>276</v>
      </c>
      <c r="AG659" s="8" t="s">
        <v>295</v>
      </c>
      <c r="AH659" s="51">
        <v>33297</v>
      </c>
      <c r="AI659" s="28">
        <v>35</v>
      </c>
      <c r="AJ659" s="51" t="s">
        <v>1852</v>
      </c>
    </row>
    <row r="660" spans="1:36" ht="12.65" customHeight="1" x14ac:dyDescent="0.35">
      <c r="A660" s="8" t="s">
        <v>139</v>
      </c>
      <c r="B660" s="8" t="s">
        <v>136</v>
      </c>
      <c r="C660" s="8" t="s">
        <v>135</v>
      </c>
      <c r="D660" s="34" t="s">
        <v>215</v>
      </c>
      <c r="E660" s="14" t="s">
        <v>216</v>
      </c>
      <c r="F660" s="28" t="s">
        <v>70</v>
      </c>
      <c r="G660" s="28" t="s">
        <v>125</v>
      </c>
      <c r="H660" s="31" t="s">
        <v>9</v>
      </c>
      <c r="I660" s="8" t="s">
        <v>480</v>
      </c>
      <c r="J660" s="8" t="s">
        <v>481</v>
      </c>
      <c r="K660" s="69" t="s">
        <v>482</v>
      </c>
      <c r="L660" s="8" t="s">
        <v>391</v>
      </c>
      <c r="M660" s="8" t="s">
        <v>405</v>
      </c>
      <c r="N660" s="8" t="s">
        <v>393</v>
      </c>
      <c r="O660" s="8" t="s">
        <v>13</v>
      </c>
      <c r="P660" s="8" t="s">
        <v>285</v>
      </c>
      <c r="Q660" s="8" t="s">
        <v>285</v>
      </c>
      <c r="R660" s="8" t="s">
        <v>225</v>
      </c>
      <c r="S660" s="8" t="s">
        <v>237</v>
      </c>
      <c r="T660" s="8" t="s">
        <v>216</v>
      </c>
      <c r="U660" s="8" t="s">
        <v>183</v>
      </c>
      <c r="V660" s="8">
        <v>0</v>
      </c>
      <c r="W660" s="18">
        <v>3.8461538461538464E-2</v>
      </c>
      <c r="X660" s="51">
        <v>45659</v>
      </c>
      <c r="Y660" s="51">
        <v>41706</v>
      </c>
      <c r="Z660" s="28">
        <v>151</v>
      </c>
      <c r="AA660" s="16" t="s">
        <v>1701</v>
      </c>
      <c r="AB660" s="8" t="s">
        <v>293</v>
      </c>
      <c r="AC660" s="8" t="s">
        <v>293</v>
      </c>
      <c r="AD660" s="8" t="s">
        <v>134</v>
      </c>
      <c r="AE660" s="8">
        <v>3102716006</v>
      </c>
      <c r="AF660" s="8" t="s">
        <v>276</v>
      </c>
      <c r="AG660" s="8" t="s">
        <v>295</v>
      </c>
      <c r="AH660" s="51">
        <v>33297</v>
      </c>
      <c r="AI660" s="28">
        <v>35</v>
      </c>
      <c r="AJ660" s="51" t="s">
        <v>1852</v>
      </c>
    </row>
    <row r="661" spans="1:36" ht="12.65" customHeight="1" x14ac:dyDescent="0.35">
      <c r="A661" s="8" t="s">
        <v>139</v>
      </c>
      <c r="B661" s="8" t="s">
        <v>136</v>
      </c>
      <c r="C661" s="8" t="s">
        <v>135</v>
      </c>
      <c r="D661" s="34" t="s">
        <v>215</v>
      </c>
      <c r="E661" s="14" t="s">
        <v>216</v>
      </c>
      <c r="F661" s="28" t="s">
        <v>70</v>
      </c>
      <c r="G661" s="28" t="s">
        <v>125</v>
      </c>
      <c r="H661" s="31" t="s">
        <v>9</v>
      </c>
      <c r="I661" s="8" t="s">
        <v>1167</v>
      </c>
      <c r="J661" s="8" t="s">
        <v>1168</v>
      </c>
      <c r="K661" s="69" t="s">
        <v>1169</v>
      </c>
      <c r="L661" s="8" t="s">
        <v>406</v>
      </c>
      <c r="M661" s="8" t="s">
        <v>976</v>
      </c>
      <c r="N661" s="8" t="s">
        <v>306</v>
      </c>
      <c r="O661" s="8" t="s">
        <v>13</v>
      </c>
      <c r="P661" s="8" t="s">
        <v>285</v>
      </c>
      <c r="Q661" s="8" t="s">
        <v>285</v>
      </c>
      <c r="R661" s="8" t="s">
        <v>225</v>
      </c>
      <c r="S661" s="8" t="s">
        <v>237</v>
      </c>
      <c r="T661" s="8" t="s">
        <v>216</v>
      </c>
      <c r="U661" s="8" t="s">
        <v>186</v>
      </c>
      <c r="V661" s="8">
        <v>0</v>
      </c>
      <c r="W661" s="18">
        <v>3.8461538461538464E-2</v>
      </c>
      <c r="X661" s="51">
        <v>45659</v>
      </c>
      <c r="Y661" s="51">
        <v>41706</v>
      </c>
      <c r="Z661" s="28">
        <v>151</v>
      </c>
      <c r="AA661" s="16" t="s">
        <v>1701</v>
      </c>
      <c r="AB661" s="8" t="s">
        <v>293</v>
      </c>
      <c r="AC661" s="8" t="s">
        <v>293</v>
      </c>
      <c r="AD661" s="8" t="s">
        <v>134</v>
      </c>
      <c r="AE661" s="8">
        <v>3102716006</v>
      </c>
      <c r="AF661" s="8" t="s">
        <v>276</v>
      </c>
      <c r="AG661" s="8" t="s">
        <v>295</v>
      </c>
      <c r="AH661" s="51">
        <v>33297</v>
      </c>
      <c r="AI661" s="28">
        <v>35</v>
      </c>
      <c r="AJ661" s="51" t="s">
        <v>1852</v>
      </c>
    </row>
    <row r="662" spans="1:36" ht="12.65" customHeight="1" x14ac:dyDescent="0.35">
      <c r="A662" s="8" t="s">
        <v>139</v>
      </c>
      <c r="B662" s="8" t="s">
        <v>136</v>
      </c>
      <c r="C662" s="8" t="s">
        <v>135</v>
      </c>
      <c r="D662" s="34" t="s">
        <v>215</v>
      </c>
      <c r="E662" s="14" t="s">
        <v>216</v>
      </c>
      <c r="F662" s="28" t="s">
        <v>70</v>
      </c>
      <c r="G662" s="28" t="s">
        <v>125</v>
      </c>
      <c r="H662" s="31" t="s">
        <v>9</v>
      </c>
      <c r="I662" s="34" t="s">
        <v>1170</v>
      </c>
      <c r="J662" s="8" t="s">
        <v>1171</v>
      </c>
      <c r="K662" s="69" t="s">
        <v>1172</v>
      </c>
      <c r="L662" s="8" t="s">
        <v>406</v>
      </c>
      <c r="M662" s="8" t="s">
        <v>976</v>
      </c>
      <c r="N662" s="8" t="s">
        <v>306</v>
      </c>
      <c r="O662" s="8" t="s">
        <v>13</v>
      </c>
      <c r="P662" s="8" t="s">
        <v>285</v>
      </c>
      <c r="Q662" s="8" t="s">
        <v>285</v>
      </c>
      <c r="R662" s="8" t="s">
        <v>225</v>
      </c>
      <c r="S662" s="8" t="s">
        <v>237</v>
      </c>
      <c r="T662" s="8" t="s">
        <v>216</v>
      </c>
      <c r="U662" s="8" t="s">
        <v>186</v>
      </c>
      <c r="V662" s="8">
        <v>0</v>
      </c>
      <c r="W662" s="18">
        <v>3.8461538461538464E-2</v>
      </c>
      <c r="X662" s="51">
        <v>45659</v>
      </c>
      <c r="Y662" s="51">
        <v>41706</v>
      </c>
      <c r="Z662" s="28">
        <v>151</v>
      </c>
      <c r="AA662" s="16" t="s">
        <v>1701</v>
      </c>
      <c r="AB662" s="8" t="s">
        <v>293</v>
      </c>
      <c r="AC662" s="8" t="s">
        <v>293</v>
      </c>
      <c r="AD662" s="8" t="s">
        <v>134</v>
      </c>
      <c r="AE662" s="8">
        <v>3102716006</v>
      </c>
      <c r="AF662" s="8" t="s">
        <v>276</v>
      </c>
      <c r="AG662" s="8" t="s">
        <v>295</v>
      </c>
      <c r="AH662" s="51">
        <v>33297</v>
      </c>
      <c r="AI662" s="28">
        <v>35</v>
      </c>
      <c r="AJ662" s="51" t="s">
        <v>1852</v>
      </c>
    </row>
    <row r="663" spans="1:36" ht="12.65" customHeight="1" x14ac:dyDescent="0.35">
      <c r="A663" s="8" t="s">
        <v>139</v>
      </c>
      <c r="B663" s="8" t="s">
        <v>136</v>
      </c>
      <c r="C663" s="8" t="s">
        <v>135</v>
      </c>
      <c r="D663" s="34" t="s">
        <v>174</v>
      </c>
      <c r="E663" s="14" t="s">
        <v>175</v>
      </c>
      <c r="F663" s="28" t="s">
        <v>71</v>
      </c>
      <c r="G663" s="28" t="s">
        <v>125</v>
      </c>
      <c r="H663" s="31" t="s">
        <v>9</v>
      </c>
      <c r="I663" s="8" t="s">
        <v>578</v>
      </c>
      <c r="J663" s="8" t="s">
        <v>77</v>
      </c>
      <c r="K663" s="69" t="s">
        <v>579</v>
      </c>
      <c r="L663" s="8" t="s">
        <v>75</v>
      </c>
      <c r="M663" s="8" t="s">
        <v>76</v>
      </c>
      <c r="N663" s="8" t="s">
        <v>306</v>
      </c>
      <c r="O663" s="8" t="s">
        <v>580</v>
      </c>
      <c r="P663" s="8" t="s">
        <v>285</v>
      </c>
      <c r="Q663" s="8" t="s">
        <v>285</v>
      </c>
      <c r="R663" s="8" t="s">
        <v>225</v>
      </c>
      <c r="S663" s="8" t="s">
        <v>237</v>
      </c>
      <c r="T663" s="8" t="s">
        <v>175</v>
      </c>
      <c r="U663" s="8" t="s">
        <v>189</v>
      </c>
      <c r="V663" s="8">
        <v>1</v>
      </c>
      <c r="W663" s="18">
        <v>5.8823529411764705E-2</v>
      </c>
      <c r="X663" s="51">
        <v>45659</v>
      </c>
      <c r="Y663" s="51">
        <v>43385</v>
      </c>
      <c r="Z663" s="28">
        <v>96</v>
      </c>
      <c r="AA663" s="16" t="s">
        <v>1701</v>
      </c>
      <c r="AB663" s="8" t="s">
        <v>395</v>
      </c>
      <c r="AC663" s="8" t="s">
        <v>294</v>
      </c>
      <c r="AD663" s="8" t="s">
        <v>134</v>
      </c>
      <c r="AE663" s="8">
        <v>3102712649</v>
      </c>
      <c r="AF663" s="8" t="s">
        <v>276</v>
      </c>
      <c r="AG663" s="8" t="s">
        <v>292</v>
      </c>
      <c r="AH663" s="51">
        <v>32510</v>
      </c>
      <c r="AI663" s="28">
        <v>37</v>
      </c>
      <c r="AJ663" s="51" t="s">
        <v>1852</v>
      </c>
    </row>
    <row r="664" spans="1:36" ht="12.65" customHeight="1" x14ac:dyDescent="0.35">
      <c r="A664" s="8" t="s">
        <v>139</v>
      </c>
      <c r="B664" s="8" t="s">
        <v>136</v>
      </c>
      <c r="C664" s="8" t="s">
        <v>135</v>
      </c>
      <c r="D664" s="34" t="s">
        <v>174</v>
      </c>
      <c r="E664" s="14" t="s">
        <v>175</v>
      </c>
      <c r="F664" s="28" t="s">
        <v>71</v>
      </c>
      <c r="G664" s="28" t="s">
        <v>125</v>
      </c>
      <c r="H664" s="31" t="s">
        <v>9</v>
      </c>
      <c r="I664" s="8" t="s">
        <v>775</v>
      </c>
      <c r="J664" s="8" t="s">
        <v>79</v>
      </c>
      <c r="K664" s="69" t="s">
        <v>776</v>
      </c>
      <c r="L664" s="8" t="s">
        <v>75</v>
      </c>
      <c r="M664" s="8" t="s">
        <v>76</v>
      </c>
      <c r="N664" s="8" t="s">
        <v>306</v>
      </c>
      <c r="O664" s="8" t="s">
        <v>400</v>
      </c>
      <c r="P664" s="8" t="s">
        <v>285</v>
      </c>
      <c r="Q664" s="8" t="s">
        <v>285</v>
      </c>
      <c r="R664" s="8" t="s">
        <v>225</v>
      </c>
      <c r="S664" s="8" t="s">
        <v>237</v>
      </c>
      <c r="T664" s="8" t="s">
        <v>175</v>
      </c>
      <c r="U664" s="8" t="s">
        <v>189</v>
      </c>
      <c r="V664" s="8">
        <v>0</v>
      </c>
      <c r="W664" s="18">
        <v>5.8823529411764705E-2</v>
      </c>
      <c r="X664" s="51">
        <v>45659</v>
      </c>
      <c r="Y664" s="51">
        <v>43385</v>
      </c>
      <c r="Z664" s="28">
        <v>96</v>
      </c>
      <c r="AA664" s="16" t="s">
        <v>1701</v>
      </c>
      <c r="AB664" s="8" t="s">
        <v>395</v>
      </c>
      <c r="AC664" s="8" t="s">
        <v>294</v>
      </c>
      <c r="AD664" s="8" t="s">
        <v>134</v>
      </c>
      <c r="AE664" s="8">
        <v>3102712649</v>
      </c>
      <c r="AF664" s="8" t="s">
        <v>276</v>
      </c>
      <c r="AG664" s="8" t="s">
        <v>292</v>
      </c>
      <c r="AH664" s="51">
        <v>32510</v>
      </c>
      <c r="AI664" s="28">
        <v>37</v>
      </c>
      <c r="AJ664" s="51" t="s">
        <v>1852</v>
      </c>
    </row>
    <row r="665" spans="1:36" ht="12.65" customHeight="1" x14ac:dyDescent="0.35">
      <c r="A665" s="8" t="s">
        <v>139</v>
      </c>
      <c r="B665" s="8" t="s">
        <v>136</v>
      </c>
      <c r="C665" s="8" t="s">
        <v>135</v>
      </c>
      <c r="D665" s="34" t="s">
        <v>174</v>
      </c>
      <c r="E665" s="14" t="s">
        <v>175</v>
      </c>
      <c r="F665" s="28" t="s">
        <v>71</v>
      </c>
      <c r="G665" s="28" t="s">
        <v>125</v>
      </c>
      <c r="H665" s="31" t="s">
        <v>9</v>
      </c>
      <c r="I665" s="8" t="s">
        <v>838</v>
      </c>
      <c r="J665" s="8" t="s">
        <v>93</v>
      </c>
      <c r="K665" s="69" t="s">
        <v>839</v>
      </c>
      <c r="L665" s="8" t="s">
        <v>75</v>
      </c>
      <c r="M665" s="8" t="s">
        <v>76</v>
      </c>
      <c r="N665" s="8" t="s">
        <v>306</v>
      </c>
      <c r="O665" s="8" t="s">
        <v>400</v>
      </c>
      <c r="P665" s="8" t="s">
        <v>285</v>
      </c>
      <c r="Q665" s="8" t="s">
        <v>285</v>
      </c>
      <c r="R665" s="8" t="s">
        <v>225</v>
      </c>
      <c r="S665" s="8" t="s">
        <v>237</v>
      </c>
      <c r="T665" s="8" t="s">
        <v>175</v>
      </c>
      <c r="U665" s="8" t="s">
        <v>189</v>
      </c>
      <c r="V665" s="8">
        <v>0</v>
      </c>
      <c r="W665" s="18">
        <v>5.8823529411764705E-2</v>
      </c>
      <c r="X665" s="51">
        <v>45659</v>
      </c>
      <c r="Y665" s="51">
        <v>43385</v>
      </c>
      <c r="Z665" s="28">
        <v>96</v>
      </c>
      <c r="AA665" s="16" t="s">
        <v>1701</v>
      </c>
      <c r="AB665" s="8" t="s">
        <v>293</v>
      </c>
      <c r="AC665" s="8" t="s">
        <v>291</v>
      </c>
      <c r="AD665" s="8" t="s">
        <v>134</v>
      </c>
      <c r="AE665" s="8">
        <v>3102712649</v>
      </c>
      <c r="AF665" s="8" t="s">
        <v>276</v>
      </c>
      <c r="AG665" s="8" t="s">
        <v>292</v>
      </c>
      <c r="AH665" s="51">
        <v>32510</v>
      </c>
      <c r="AI665" s="28">
        <v>37</v>
      </c>
      <c r="AJ665" s="51" t="s">
        <v>1852</v>
      </c>
    </row>
    <row r="666" spans="1:36" ht="12.65" customHeight="1" x14ac:dyDescent="0.35">
      <c r="A666" s="8" t="s">
        <v>139</v>
      </c>
      <c r="B666" s="8" t="s">
        <v>136</v>
      </c>
      <c r="C666" s="8" t="s">
        <v>135</v>
      </c>
      <c r="D666" s="34" t="s">
        <v>174</v>
      </c>
      <c r="E666" s="14" t="s">
        <v>175</v>
      </c>
      <c r="F666" s="28" t="s">
        <v>71</v>
      </c>
      <c r="G666" s="28" t="s">
        <v>125</v>
      </c>
      <c r="H666" s="31" t="s">
        <v>9</v>
      </c>
      <c r="I666" s="8" t="s">
        <v>497</v>
      </c>
      <c r="J666" s="8" t="s">
        <v>82</v>
      </c>
      <c r="K666" s="69" t="s">
        <v>498</v>
      </c>
      <c r="L666" s="8" t="s">
        <v>75</v>
      </c>
      <c r="M666" s="8" t="s">
        <v>76</v>
      </c>
      <c r="N666" s="8" t="s">
        <v>306</v>
      </c>
      <c r="O666" s="8" t="s">
        <v>13</v>
      </c>
      <c r="P666" s="8" t="s">
        <v>285</v>
      </c>
      <c r="Q666" s="8" t="s">
        <v>285</v>
      </c>
      <c r="R666" s="8" t="s">
        <v>225</v>
      </c>
      <c r="S666" s="8" t="s">
        <v>237</v>
      </c>
      <c r="T666" s="8" t="s">
        <v>175</v>
      </c>
      <c r="U666" s="8" t="s">
        <v>189</v>
      </c>
      <c r="V666" s="8">
        <v>0</v>
      </c>
      <c r="W666" s="18">
        <v>5.8823529411764705E-2</v>
      </c>
      <c r="X666" s="51">
        <v>45659</v>
      </c>
      <c r="Y666" s="51">
        <v>43385</v>
      </c>
      <c r="Z666" s="28">
        <v>96</v>
      </c>
      <c r="AA666" s="16" t="s">
        <v>1701</v>
      </c>
      <c r="AB666" s="8" t="s">
        <v>395</v>
      </c>
      <c r="AC666" s="8" t="s">
        <v>294</v>
      </c>
      <c r="AD666" s="8" t="s">
        <v>134</v>
      </c>
      <c r="AE666" s="8">
        <v>3102712649</v>
      </c>
      <c r="AF666" s="8" t="s">
        <v>276</v>
      </c>
      <c r="AG666" s="8" t="s">
        <v>292</v>
      </c>
      <c r="AH666" s="51">
        <v>32510</v>
      </c>
      <c r="AI666" s="28">
        <v>37</v>
      </c>
      <c r="AJ666" s="51" t="s">
        <v>1852</v>
      </c>
    </row>
    <row r="667" spans="1:36" ht="12.65" customHeight="1" x14ac:dyDescent="0.35">
      <c r="A667" s="8" t="s">
        <v>139</v>
      </c>
      <c r="B667" s="8" t="s">
        <v>136</v>
      </c>
      <c r="C667" s="8" t="s">
        <v>135</v>
      </c>
      <c r="D667" s="34" t="s">
        <v>174</v>
      </c>
      <c r="E667" s="14" t="s">
        <v>175</v>
      </c>
      <c r="F667" s="28" t="s">
        <v>71</v>
      </c>
      <c r="G667" s="28" t="s">
        <v>125</v>
      </c>
      <c r="H667" s="31" t="s">
        <v>9</v>
      </c>
      <c r="I667" s="8" t="s">
        <v>720</v>
      </c>
      <c r="J667" s="8" t="s">
        <v>84</v>
      </c>
      <c r="K667" s="69" t="s">
        <v>721</v>
      </c>
      <c r="L667" s="8" t="s">
        <v>75</v>
      </c>
      <c r="M667" s="8" t="s">
        <v>76</v>
      </c>
      <c r="N667" s="8" t="s">
        <v>306</v>
      </c>
      <c r="O667" s="8" t="s">
        <v>722</v>
      </c>
      <c r="P667" s="8" t="s">
        <v>285</v>
      </c>
      <c r="Q667" s="8" t="s">
        <v>285</v>
      </c>
      <c r="R667" s="8" t="s">
        <v>225</v>
      </c>
      <c r="S667" s="8" t="s">
        <v>237</v>
      </c>
      <c r="T667" s="8" t="s">
        <v>175</v>
      </c>
      <c r="U667" s="8" t="s">
        <v>189</v>
      </c>
      <c r="V667" s="8">
        <v>0</v>
      </c>
      <c r="W667" s="18">
        <v>5.8823529411764705E-2</v>
      </c>
      <c r="X667" s="51">
        <v>45659</v>
      </c>
      <c r="Y667" s="51">
        <v>43385</v>
      </c>
      <c r="Z667" s="28">
        <v>96</v>
      </c>
      <c r="AA667" s="16" t="s">
        <v>1701</v>
      </c>
      <c r="AB667" s="8" t="s">
        <v>293</v>
      </c>
      <c r="AC667" s="8" t="s">
        <v>294</v>
      </c>
      <c r="AD667" s="8" t="s">
        <v>134</v>
      </c>
      <c r="AE667" s="8">
        <v>3102712649</v>
      </c>
      <c r="AF667" s="8" t="s">
        <v>276</v>
      </c>
      <c r="AG667" s="8" t="s">
        <v>292</v>
      </c>
      <c r="AH667" s="51">
        <v>32510</v>
      </c>
      <c r="AI667" s="28">
        <v>37</v>
      </c>
      <c r="AJ667" s="51" t="s">
        <v>1852</v>
      </c>
    </row>
    <row r="668" spans="1:36" ht="12.65" customHeight="1" x14ac:dyDescent="0.35">
      <c r="A668" s="8" t="s">
        <v>139</v>
      </c>
      <c r="B668" s="8" t="s">
        <v>136</v>
      </c>
      <c r="C668" s="8" t="s">
        <v>135</v>
      </c>
      <c r="D668" s="34" t="s">
        <v>174</v>
      </c>
      <c r="E668" s="14" t="s">
        <v>175</v>
      </c>
      <c r="F668" s="28" t="s">
        <v>71</v>
      </c>
      <c r="G668" s="28" t="s">
        <v>125</v>
      </c>
      <c r="H668" s="31" t="s">
        <v>9</v>
      </c>
      <c r="I668" s="8" t="s">
        <v>829</v>
      </c>
      <c r="J668" s="8" t="s">
        <v>85</v>
      </c>
      <c r="K668" s="69" t="s">
        <v>830</v>
      </c>
      <c r="L668" s="8" t="s">
        <v>75</v>
      </c>
      <c r="M668" s="8" t="s">
        <v>76</v>
      </c>
      <c r="N668" s="8" t="s">
        <v>306</v>
      </c>
      <c r="O668" s="8" t="s">
        <v>13</v>
      </c>
      <c r="P668" s="8" t="s">
        <v>285</v>
      </c>
      <c r="Q668" s="8" t="s">
        <v>285</v>
      </c>
      <c r="R668" s="8" t="s">
        <v>225</v>
      </c>
      <c r="S668" s="8" t="s">
        <v>237</v>
      </c>
      <c r="T668" s="8" t="s">
        <v>175</v>
      </c>
      <c r="U668" s="8" t="s">
        <v>189</v>
      </c>
      <c r="V668" s="8">
        <v>0</v>
      </c>
      <c r="W668" s="18">
        <v>5.8823529411764705E-2</v>
      </c>
      <c r="X668" s="51">
        <v>45659</v>
      </c>
      <c r="Y668" s="51">
        <v>43385</v>
      </c>
      <c r="Z668" s="28">
        <v>96</v>
      </c>
      <c r="AA668" s="16" t="s">
        <v>1701</v>
      </c>
      <c r="AB668" s="8" t="s">
        <v>293</v>
      </c>
      <c r="AC668" s="8" t="s">
        <v>294</v>
      </c>
      <c r="AD668" s="8" t="s">
        <v>134</v>
      </c>
      <c r="AE668" s="8">
        <v>3102712649</v>
      </c>
      <c r="AF668" s="8" t="s">
        <v>276</v>
      </c>
      <c r="AG668" s="8" t="s">
        <v>292</v>
      </c>
      <c r="AH668" s="51">
        <v>32510</v>
      </c>
      <c r="AI668" s="28">
        <v>37</v>
      </c>
      <c r="AJ668" s="51" t="s">
        <v>1852</v>
      </c>
    </row>
    <row r="669" spans="1:36" ht="12.65" customHeight="1" x14ac:dyDescent="0.35">
      <c r="A669" s="8" t="s">
        <v>139</v>
      </c>
      <c r="B669" s="8" t="s">
        <v>136</v>
      </c>
      <c r="C669" s="8" t="s">
        <v>135</v>
      </c>
      <c r="D669" s="34" t="s">
        <v>174</v>
      </c>
      <c r="E669" s="14" t="s">
        <v>175</v>
      </c>
      <c r="F669" s="28" t="s">
        <v>71</v>
      </c>
      <c r="G669" s="28" t="s">
        <v>125</v>
      </c>
      <c r="H669" s="31" t="s">
        <v>9</v>
      </c>
      <c r="I669" s="8" t="s">
        <v>678</v>
      </c>
      <c r="J669" s="8" t="s">
        <v>90</v>
      </c>
      <c r="K669" s="69" t="s">
        <v>679</v>
      </c>
      <c r="L669" s="8" t="s">
        <v>75</v>
      </c>
      <c r="M669" s="8" t="s">
        <v>76</v>
      </c>
      <c r="N669" s="8" t="s">
        <v>306</v>
      </c>
      <c r="O669" s="8" t="s">
        <v>429</v>
      </c>
      <c r="P669" s="8" t="s">
        <v>285</v>
      </c>
      <c r="Q669" s="8" t="s">
        <v>285</v>
      </c>
      <c r="R669" s="8" t="s">
        <v>225</v>
      </c>
      <c r="S669" s="8" t="s">
        <v>237</v>
      </c>
      <c r="T669" s="8" t="s">
        <v>175</v>
      </c>
      <c r="U669" s="8" t="s">
        <v>189</v>
      </c>
      <c r="V669" s="8">
        <v>0</v>
      </c>
      <c r="W669" s="18">
        <v>5.8823529411764705E-2</v>
      </c>
      <c r="X669" s="51">
        <v>45659</v>
      </c>
      <c r="Y669" s="51">
        <v>43385</v>
      </c>
      <c r="Z669" s="28">
        <v>96</v>
      </c>
      <c r="AA669" s="16" t="s">
        <v>1701</v>
      </c>
      <c r="AB669" s="8" t="s">
        <v>395</v>
      </c>
      <c r="AC669" s="8" t="s">
        <v>294</v>
      </c>
      <c r="AD669" s="8" t="s">
        <v>134</v>
      </c>
      <c r="AE669" s="8">
        <v>3102712649</v>
      </c>
      <c r="AF669" s="8" t="s">
        <v>276</v>
      </c>
      <c r="AG669" s="8" t="s">
        <v>292</v>
      </c>
      <c r="AH669" s="51">
        <v>32510</v>
      </c>
      <c r="AI669" s="28">
        <v>37</v>
      </c>
      <c r="AJ669" s="51" t="s">
        <v>1852</v>
      </c>
    </row>
    <row r="670" spans="1:36" ht="12.65" customHeight="1" x14ac:dyDescent="0.35">
      <c r="A670" s="8" t="s">
        <v>139</v>
      </c>
      <c r="B670" s="8" t="s">
        <v>136</v>
      </c>
      <c r="C670" s="8" t="s">
        <v>135</v>
      </c>
      <c r="D670" s="34" t="s">
        <v>174</v>
      </c>
      <c r="E670" s="14" t="s">
        <v>175</v>
      </c>
      <c r="F670" s="28" t="s">
        <v>71</v>
      </c>
      <c r="G670" s="28" t="s">
        <v>125</v>
      </c>
      <c r="H670" s="31" t="s">
        <v>9</v>
      </c>
      <c r="I670" s="8" t="s">
        <v>435</v>
      </c>
      <c r="J670" s="8" t="s">
        <v>436</v>
      </c>
      <c r="K670" s="69" t="s">
        <v>437</v>
      </c>
      <c r="L670" s="8" t="s">
        <v>299</v>
      </c>
      <c r="M670" s="8" t="s">
        <v>299</v>
      </c>
      <c r="N670" s="8" t="s">
        <v>306</v>
      </c>
      <c r="O670" s="8" t="s">
        <v>400</v>
      </c>
      <c r="P670" s="8" t="s">
        <v>285</v>
      </c>
      <c r="Q670" s="8" t="s">
        <v>285</v>
      </c>
      <c r="R670" s="8" t="s">
        <v>225</v>
      </c>
      <c r="S670" s="8" t="s">
        <v>237</v>
      </c>
      <c r="T670" s="8" t="s">
        <v>175</v>
      </c>
      <c r="U670" s="14" t="s">
        <v>194</v>
      </c>
      <c r="V670" s="8">
        <v>0</v>
      </c>
      <c r="W670" s="18">
        <v>5.8823529411764705E-2</v>
      </c>
      <c r="X670" s="51">
        <v>45659</v>
      </c>
      <c r="Y670" s="51">
        <v>43385</v>
      </c>
      <c r="Z670" s="28">
        <v>96</v>
      </c>
      <c r="AA670" s="16" t="s">
        <v>1701</v>
      </c>
      <c r="AB670" s="8" t="s">
        <v>291</v>
      </c>
      <c r="AC670" s="8" t="s">
        <v>291</v>
      </c>
      <c r="AD670" s="8" t="s">
        <v>134</v>
      </c>
      <c r="AE670" s="8">
        <v>3102712649</v>
      </c>
      <c r="AF670" s="8" t="s">
        <v>276</v>
      </c>
      <c r="AG670" s="8" t="s">
        <v>292</v>
      </c>
      <c r="AH670" s="51">
        <v>32510</v>
      </c>
      <c r="AI670" s="28">
        <v>37</v>
      </c>
      <c r="AJ670" s="51" t="s">
        <v>1852</v>
      </c>
    </row>
    <row r="671" spans="1:36" ht="12.65" customHeight="1" x14ac:dyDescent="0.35">
      <c r="A671" s="8" t="s">
        <v>139</v>
      </c>
      <c r="B671" s="8" t="s">
        <v>136</v>
      </c>
      <c r="C671" s="8" t="s">
        <v>135</v>
      </c>
      <c r="D671" s="34" t="s">
        <v>174</v>
      </c>
      <c r="E671" s="14" t="s">
        <v>175</v>
      </c>
      <c r="F671" s="28" t="s">
        <v>71</v>
      </c>
      <c r="G671" s="28" t="s">
        <v>125</v>
      </c>
      <c r="H671" s="31" t="s">
        <v>9</v>
      </c>
      <c r="I671" s="8" t="s">
        <v>549</v>
      </c>
      <c r="J671" s="8" t="s">
        <v>550</v>
      </c>
      <c r="K671" s="69" t="s">
        <v>551</v>
      </c>
      <c r="L671" s="8" t="s">
        <v>299</v>
      </c>
      <c r="M671" s="8" t="s">
        <v>299</v>
      </c>
      <c r="N671" s="8" t="s">
        <v>306</v>
      </c>
      <c r="O671" s="8" t="s">
        <v>552</v>
      </c>
      <c r="P671" s="8" t="s">
        <v>285</v>
      </c>
      <c r="Q671" s="8" t="s">
        <v>285</v>
      </c>
      <c r="R671" s="8" t="s">
        <v>225</v>
      </c>
      <c r="S671" s="8" t="s">
        <v>237</v>
      </c>
      <c r="T671" s="8" t="s">
        <v>175</v>
      </c>
      <c r="U671" s="14" t="s">
        <v>194</v>
      </c>
      <c r="V671" s="8">
        <v>0</v>
      </c>
      <c r="W671" s="18">
        <v>5.8823529411764705E-2</v>
      </c>
      <c r="X671" s="51">
        <v>45659</v>
      </c>
      <c r="Y671" s="51">
        <v>43385</v>
      </c>
      <c r="Z671" s="28">
        <v>96</v>
      </c>
      <c r="AA671" s="16" t="s">
        <v>1701</v>
      </c>
      <c r="AB671" s="8" t="s">
        <v>294</v>
      </c>
      <c r="AC671" s="8" t="s">
        <v>294</v>
      </c>
      <c r="AD671" s="8" t="s">
        <v>134</v>
      </c>
      <c r="AE671" s="8">
        <v>3102712649</v>
      </c>
      <c r="AF671" s="8" t="s">
        <v>276</v>
      </c>
      <c r="AG671" s="8" t="s">
        <v>292</v>
      </c>
      <c r="AH671" s="51">
        <v>32510</v>
      </c>
      <c r="AI671" s="28">
        <v>37</v>
      </c>
      <c r="AJ671" s="51" t="s">
        <v>1852</v>
      </c>
    </row>
    <row r="672" spans="1:36" ht="12.65" customHeight="1" x14ac:dyDescent="0.35">
      <c r="A672" s="8" t="s">
        <v>139</v>
      </c>
      <c r="B672" s="8" t="s">
        <v>136</v>
      </c>
      <c r="C672" s="8" t="s">
        <v>135</v>
      </c>
      <c r="D672" s="34" t="s">
        <v>174</v>
      </c>
      <c r="E672" s="14" t="s">
        <v>175</v>
      </c>
      <c r="F672" s="28" t="s">
        <v>71</v>
      </c>
      <c r="G672" s="28" t="s">
        <v>125</v>
      </c>
      <c r="H672" s="31" t="s">
        <v>9</v>
      </c>
      <c r="I672" s="8" t="s">
        <v>729</v>
      </c>
      <c r="J672" s="8" t="s">
        <v>730</v>
      </c>
      <c r="K672" s="69" t="s">
        <v>731</v>
      </c>
      <c r="L672" s="8" t="s">
        <v>299</v>
      </c>
      <c r="M672" s="8" t="s">
        <v>299</v>
      </c>
      <c r="N672" s="8" t="s">
        <v>306</v>
      </c>
      <c r="O672" s="8" t="s">
        <v>13</v>
      </c>
      <c r="P672" s="8" t="s">
        <v>285</v>
      </c>
      <c r="Q672" s="8" t="s">
        <v>285</v>
      </c>
      <c r="R672" s="8" t="s">
        <v>225</v>
      </c>
      <c r="S672" s="8" t="s">
        <v>237</v>
      </c>
      <c r="T672" s="8" t="s">
        <v>175</v>
      </c>
      <c r="U672" s="14" t="s">
        <v>194</v>
      </c>
      <c r="V672" s="8">
        <v>0</v>
      </c>
      <c r="W672" s="18">
        <v>5.8823529411764705E-2</v>
      </c>
      <c r="X672" s="51">
        <v>45659</v>
      </c>
      <c r="Y672" s="51">
        <v>43385</v>
      </c>
      <c r="Z672" s="28">
        <v>96</v>
      </c>
      <c r="AA672" s="16" t="s">
        <v>1701</v>
      </c>
      <c r="AB672" s="8" t="s">
        <v>291</v>
      </c>
      <c r="AC672" s="8" t="s">
        <v>291</v>
      </c>
      <c r="AD672" s="8" t="s">
        <v>134</v>
      </c>
      <c r="AE672" s="8">
        <v>3102712649</v>
      </c>
      <c r="AF672" s="8" t="s">
        <v>276</v>
      </c>
      <c r="AG672" s="8" t="s">
        <v>292</v>
      </c>
      <c r="AH672" s="51">
        <v>32510</v>
      </c>
      <c r="AI672" s="28">
        <v>37</v>
      </c>
      <c r="AJ672" s="51" t="s">
        <v>1852</v>
      </c>
    </row>
    <row r="673" spans="1:36" ht="12.65" customHeight="1" x14ac:dyDescent="0.35">
      <c r="A673" s="8" t="s">
        <v>139</v>
      </c>
      <c r="B673" s="8" t="s">
        <v>136</v>
      </c>
      <c r="C673" s="8" t="s">
        <v>135</v>
      </c>
      <c r="D673" s="34" t="s">
        <v>174</v>
      </c>
      <c r="E673" s="14" t="s">
        <v>175</v>
      </c>
      <c r="F673" s="28" t="s">
        <v>71</v>
      </c>
      <c r="G673" s="28" t="s">
        <v>125</v>
      </c>
      <c r="H673" s="31" t="s">
        <v>9</v>
      </c>
      <c r="I673" s="8" t="s">
        <v>385</v>
      </c>
      <c r="J673" s="8" t="s">
        <v>386</v>
      </c>
      <c r="K673" s="69" t="s">
        <v>387</v>
      </c>
      <c r="L673" s="8" t="s">
        <v>299</v>
      </c>
      <c r="M673" s="8" t="s">
        <v>299</v>
      </c>
      <c r="N673" s="8" t="s">
        <v>306</v>
      </c>
      <c r="O673" s="8" t="s">
        <v>13</v>
      </c>
      <c r="P673" s="8" t="s">
        <v>285</v>
      </c>
      <c r="Q673" s="8" t="s">
        <v>285</v>
      </c>
      <c r="R673" s="8" t="s">
        <v>225</v>
      </c>
      <c r="S673" s="8" t="s">
        <v>237</v>
      </c>
      <c r="T673" s="8" t="s">
        <v>175</v>
      </c>
      <c r="U673" s="14" t="s">
        <v>194</v>
      </c>
      <c r="V673" s="8">
        <v>0</v>
      </c>
      <c r="W673" s="18">
        <v>5.8823529411764705E-2</v>
      </c>
      <c r="X673" s="51">
        <v>45659</v>
      </c>
      <c r="Y673" s="51">
        <v>43385</v>
      </c>
      <c r="Z673" s="28">
        <v>96</v>
      </c>
      <c r="AA673" s="16" t="s">
        <v>1701</v>
      </c>
      <c r="AB673" s="8" t="s">
        <v>291</v>
      </c>
      <c r="AC673" s="8" t="s">
        <v>291</v>
      </c>
      <c r="AD673" s="8" t="s">
        <v>134</v>
      </c>
      <c r="AE673" s="8">
        <v>3102712649</v>
      </c>
      <c r="AF673" s="8" t="s">
        <v>276</v>
      </c>
      <c r="AG673" s="8" t="s">
        <v>292</v>
      </c>
      <c r="AH673" s="51">
        <v>32510</v>
      </c>
      <c r="AI673" s="28">
        <v>37</v>
      </c>
      <c r="AJ673" s="51" t="s">
        <v>1852</v>
      </c>
    </row>
    <row r="674" spans="1:36" ht="12.65" customHeight="1" x14ac:dyDescent="0.35">
      <c r="A674" s="8" t="s">
        <v>139</v>
      </c>
      <c r="B674" s="8" t="s">
        <v>136</v>
      </c>
      <c r="C674" s="8" t="s">
        <v>135</v>
      </c>
      <c r="D674" s="34" t="s">
        <v>174</v>
      </c>
      <c r="E674" s="14" t="s">
        <v>175</v>
      </c>
      <c r="F674" s="28" t="s">
        <v>71</v>
      </c>
      <c r="G674" s="28" t="s">
        <v>125</v>
      </c>
      <c r="H674" s="31" t="s">
        <v>9</v>
      </c>
      <c r="I674" s="8" t="s">
        <v>695</v>
      </c>
      <c r="J674" s="8" t="s">
        <v>696</v>
      </c>
      <c r="K674" s="69" t="s">
        <v>697</v>
      </c>
      <c r="L674" s="8" t="s">
        <v>299</v>
      </c>
      <c r="M674" s="8" t="s">
        <v>299</v>
      </c>
      <c r="N674" s="8" t="s">
        <v>306</v>
      </c>
      <c r="O674" s="8" t="s">
        <v>429</v>
      </c>
      <c r="P674" s="8" t="s">
        <v>285</v>
      </c>
      <c r="Q674" s="8" t="s">
        <v>285</v>
      </c>
      <c r="R674" s="8" t="s">
        <v>225</v>
      </c>
      <c r="S674" s="8" t="s">
        <v>237</v>
      </c>
      <c r="T674" s="8" t="s">
        <v>175</v>
      </c>
      <c r="U674" s="14" t="s">
        <v>194</v>
      </c>
      <c r="V674" s="8">
        <v>0</v>
      </c>
      <c r="W674" s="18">
        <v>5.8823529411764705E-2</v>
      </c>
      <c r="X674" s="51">
        <v>45659</v>
      </c>
      <c r="Y674" s="51">
        <v>43385</v>
      </c>
      <c r="Z674" s="28">
        <v>96</v>
      </c>
      <c r="AA674" s="16" t="s">
        <v>1701</v>
      </c>
      <c r="AB674" s="8" t="s">
        <v>294</v>
      </c>
      <c r="AC674" s="8" t="s">
        <v>294</v>
      </c>
      <c r="AD674" s="8" t="s">
        <v>134</v>
      </c>
      <c r="AE674" s="8">
        <v>3102712649</v>
      </c>
      <c r="AF674" s="8" t="s">
        <v>276</v>
      </c>
      <c r="AG674" s="8" t="s">
        <v>292</v>
      </c>
      <c r="AH674" s="51">
        <v>32510</v>
      </c>
      <c r="AI674" s="28">
        <v>37</v>
      </c>
      <c r="AJ674" s="51" t="s">
        <v>1852</v>
      </c>
    </row>
    <row r="675" spans="1:36" ht="12.65" customHeight="1" x14ac:dyDescent="0.35">
      <c r="A675" s="8" t="s">
        <v>139</v>
      </c>
      <c r="B675" s="8" t="s">
        <v>136</v>
      </c>
      <c r="C675" s="8" t="s">
        <v>135</v>
      </c>
      <c r="D675" s="34" t="s">
        <v>174</v>
      </c>
      <c r="E675" s="14" t="s">
        <v>175</v>
      </c>
      <c r="F675" s="28" t="s">
        <v>71</v>
      </c>
      <c r="G675" s="28" t="s">
        <v>125</v>
      </c>
      <c r="H675" s="31" t="s">
        <v>9</v>
      </c>
      <c r="I675" s="8" t="s">
        <v>619</v>
      </c>
      <c r="J675" s="8" t="s">
        <v>620</v>
      </c>
      <c r="K675" s="69" t="s">
        <v>621</v>
      </c>
      <c r="L675" s="8" t="s">
        <v>299</v>
      </c>
      <c r="M675" s="8" t="s">
        <v>299</v>
      </c>
      <c r="N675" s="8" t="s">
        <v>306</v>
      </c>
      <c r="O675" s="8" t="s">
        <v>13</v>
      </c>
      <c r="P675" s="8" t="s">
        <v>285</v>
      </c>
      <c r="Q675" s="8" t="s">
        <v>285</v>
      </c>
      <c r="R675" s="8" t="s">
        <v>225</v>
      </c>
      <c r="S675" s="8" t="s">
        <v>237</v>
      </c>
      <c r="T675" s="8" t="s">
        <v>175</v>
      </c>
      <c r="U675" s="8" t="s">
        <v>194</v>
      </c>
      <c r="V675" s="8">
        <v>0</v>
      </c>
      <c r="W675" s="18">
        <v>5.8823529411764705E-2</v>
      </c>
      <c r="X675" s="51">
        <v>45659</v>
      </c>
      <c r="Y675" s="51">
        <v>43385</v>
      </c>
      <c r="Z675" s="28">
        <v>96</v>
      </c>
      <c r="AA675" s="16" t="s">
        <v>1701</v>
      </c>
      <c r="AB675" s="8" t="s">
        <v>294</v>
      </c>
      <c r="AC675" s="8" t="s">
        <v>291</v>
      </c>
      <c r="AD675" s="8" t="s">
        <v>134</v>
      </c>
      <c r="AE675" s="8">
        <v>3102712649</v>
      </c>
      <c r="AF675" s="8" t="s">
        <v>276</v>
      </c>
      <c r="AG675" s="8" t="s">
        <v>292</v>
      </c>
      <c r="AH675" s="51">
        <v>32510</v>
      </c>
      <c r="AI675" s="28">
        <v>37</v>
      </c>
      <c r="AJ675" s="51" t="s">
        <v>1852</v>
      </c>
    </row>
    <row r="676" spans="1:36" ht="12.65" customHeight="1" x14ac:dyDescent="0.35">
      <c r="A676" s="8" t="s">
        <v>139</v>
      </c>
      <c r="B676" s="8" t="s">
        <v>136</v>
      </c>
      <c r="C676" s="8" t="s">
        <v>135</v>
      </c>
      <c r="D676" s="34" t="s">
        <v>174</v>
      </c>
      <c r="E676" s="14" t="s">
        <v>175</v>
      </c>
      <c r="F676" s="28" t="s">
        <v>71</v>
      </c>
      <c r="G676" s="28" t="s">
        <v>125</v>
      </c>
      <c r="H676" s="31" t="s">
        <v>9</v>
      </c>
      <c r="I676" s="8" t="s">
        <v>297</v>
      </c>
      <c r="J676" s="8" t="s">
        <v>902</v>
      </c>
      <c r="K676" s="69" t="s">
        <v>298</v>
      </c>
      <c r="L676" s="8" t="s">
        <v>299</v>
      </c>
      <c r="M676" s="8" t="s">
        <v>299</v>
      </c>
      <c r="N676" s="8" t="s">
        <v>306</v>
      </c>
      <c r="O676" s="8" t="s">
        <v>13</v>
      </c>
      <c r="P676" s="8" t="s">
        <v>285</v>
      </c>
      <c r="Q676" s="8" t="s">
        <v>285</v>
      </c>
      <c r="R676" s="8" t="s">
        <v>225</v>
      </c>
      <c r="S676" s="8" t="s">
        <v>237</v>
      </c>
      <c r="T676" s="8" t="s">
        <v>175</v>
      </c>
      <c r="U676" s="8" t="s">
        <v>194</v>
      </c>
      <c r="V676" s="8">
        <v>0</v>
      </c>
      <c r="W676" s="18">
        <v>5.8823529411764705E-2</v>
      </c>
      <c r="X676" s="51">
        <v>45659</v>
      </c>
      <c r="Y676" s="51">
        <v>43385</v>
      </c>
      <c r="Z676" s="28">
        <v>96</v>
      </c>
      <c r="AA676" s="16" t="s">
        <v>1701</v>
      </c>
      <c r="AB676" s="8" t="s">
        <v>291</v>
      </c>
      <c r="AC676" s="8" t="s">
        <v>291</v>
      </c>
      <c r="AD676" s="8" t="s">
        <v>134</v>
      </c>
      <c r="AE676" s="8">
        <v>3102712649</v>
      </c>
      <c r="AF676" s="8" t="s">
        <v>276</v>
      </c>
      <c r="AG676" s="8" t="s">
        <v>292</v>
      </c>
      <c r="AH676" s="51">
        <v>32510</v>
      </c>
      <c r="AI676" s="28">
        <v>37</v>
      </c>
      <c r="AJ676" s="51" t="s">
        <v>1852</v>
      </c>
    </row>
    <row r="677" spans="1:36" ht="12.65" customHeight="1" x14ac:dyDescent="0.35">
      <c r="A677" s="8" t="s">
        <v>139</v>
      </c>
      <c r="B677" s="8" t="s">
        <v>136</v>
      </c>
      <c r="C677" s="8" t="s">
        <v>135</v>
      </c>
      <c r="D677" s="34" t="s">
        <v>174</v>
      </c>
      <c r="E677" s="14" t="s">
        <v>175</v>
      </c>
      <c r="F677" s="28" t="s">
        <v>71</v>
      </c>
      <c r="G677" s="28" t="s">
        <v>125</v>
      </c>
      <c r="H677" s="31" t="s">
        <v>9</v>
      </c>
      <c r="I677" s="8" t="s">
        <v>628</v>
      </c>
      <c r="J677" s="8" t="s">
        <v>1126</v>
      </c>
      <c r="K677" s="69" t="s">
        <v>629</v>
      </c>
      <c r="L677" s="8" t="s">
        <v>299</v>
      </c>
      <c r="M677" s="8" t="s">
        <v>299</v>
      </c>
      <c r="N677" s="8" t="s">
        <v>306</v>
      </c>
      <c r="O677" s="8" t="s">
        <v>13</v>
      </c>
      <c r="P677" s="8" t="s">
        <v>285</v>
      </c>
      <c r="Q677" s="8" t="s">
        <v>285</v>
      </c>
      <c r="R677" s="8" t="s">
        <v>225</v>
      </c>
      <c r="S677" s="8" t="s">
        <v>237</v>
      </c>
      <c r="T677" s="8" t="s">
        <v>175</v>
      </c>
      <c r="U677" s="8" t="s">
        <v>194</v>
      </c>
      <c r="V677" s="8">
        <v>0</v>
      </c>
      <c r="W677" s="18">
        <v>5.8823529411764705E-2</v>
      </c>
      <c r="X677" s="51">
        <v>45659</v>
      </c>
      <c r="Y677" s="51">
        <v>43385</v>
      </c>
      <c r="Z677" s="28">
        <v>96</v>
      </c>
      <c r="AA677" s="16" t="s">
        <v>1701</v>
      </c>
      <c r="AB677" s="8" t="s">
        <v>291</v>
      </c>
      <c r="AC677" s="8" t="s">
        <v>291</v>
      </c>
      <c r="AD677" s="8" t="s">
        <v>134</v>
      </c>
      <c r="AE677" s="8">
        <v>3102712649</v>
      </c>
      <c r="AF677" s="8" t="s">
        <v>276</v>
      </c>
      <c r="AG677" s="8" t="s">
        <v>292</v>
      </c>
      <c r="AH677" s="51">
        <v>32510</v>
      </c>
      <c r="AI677" s="28">
        <v>37</v>
      </c>
      <c r="AJ677" s="51" t="s">
        <v>1852</v>
      </c>
    </row>
    <row r="678" spans="1:36" ht="12.65" customHeight="1" x14ac:dyDescent="0.35">
      <c r="A678" s="8" t="s">
        <v>139</v>
      </c>
      <c r="B678" s="8" t="s">
        <v>136</v>
      </c>
      <c r="C678" s="8" t="s">
        <v>135</v>
      </c>
      <c r="D678" s="34" t="s">
        <v>174</v>
      </c>
      <c r="E678" s="14" t="s">
        <v>175</v>
      </c>
      <c r="F678" s="28" t="s">
        <v>71</v>
      </c>
      <c r="G678" s="28" t="s">
        <v>125</v>
      </c>
      <c r="H678" s="31" t="s">
        <v>9</v>
      </c>
      <c r="I678" s="8" t="s">
        <v>320</v>
      </c>
      <c r="J678" s="8" t="s">
        <v>42</v>
      </c>
      <c r="K678" s="69" t="s">
        <v>321</v>
      </c>
      <c r="L678" s="8" t="s">
        <v>75</v>
      </c>
      <c r="M678" s="8" t="s">
        <v>107</v>
      </c>
      <c r="N678" s="8" t="s">
        <v>306</v>
      </c>
      <c r="O678" s="8" t="s">
        <v>13</v>
      </c>
      <c r="P678" s="8" t="s">
        <v>285</v>
      </c>
      <c r="Q678" s="8" t="s">
        <v>285</v>
      </c>
      <c r="R678" s="8" t="s">
        <v>225</v>
      </c>
      <c r="S678" s="8" t="s">
        <v>237</v>
      </c>
      <c r="T678" s="8" t="s">
        <v>175</v>
      </c>
      <c r="U678" s="8" t="s">
        <v>189</v>
      </c>
      <c r="V678" s="8">
        <v>0</v>
      </c>
      <c r="W678" s="18">
        <v>5.8823529411764705E-2</v>
      </c>
      <c r="X678" s="51">
        <v>45659</v>
      </c>
      <c r="Y678" s="51">
        <v>43385</v>
      </c>
      <c r="Z678" s="28">
        <v>96</v>
      </c>
      <c r="AA678" s="16" t="s">
        <v>1701</v>
      </c>
      <c r="AB678" s="8" t="s">
        <v>293</v>
      </c>
      <c r="AC678" s="8" t="s">
        <v>291</v>
      </c>
      <c r="AD678" s="8" t="s">
        <v>134</v>
      </c>
      <c r="AE678" s="8">
        <v>3102712649</v>
      </c>
      <c r="AF678" s="8" t="s">
        <v>276</v>
      </c>
      <c r="AG678" s="8" t="s">
        <v>292</v>
      </c>
      <c r="AH678" s="51">
        <v>32510</v>
      </c>
      <c r="AI678" s="28">
        <v>37</v>
      </c>
      <c r="AJ678" s="51" t="s">
        <v>1852</v>
      </c>
    </row>
    <row r="679" spans="1:36" ht="12.65" customHeight="1" x14ac:dyDescent="0.35">
      <c r="A679" s="8" t="s">
        <v>139</v>
      </c>
      <c r="B679" s="8" t="s">
        <v>136</v>
      </c>
      <c r="C679" s="8" t="s">
        <v>135</v>
      </c>
      <c r="D679" s="34" t="s">
        <v>174</v>
      </c>
      <c r="E679" s="14" t="s">
        <v>175</v>
      </c>
      <c r="F679" s="28" t="s">
        <v>71</v>
      </c>
      <c r="G679" s="28" t="s">
        <v>125</v>
      </c>
      <c r="H679" s="31" t="s">
        <v>9</v>
      </c>
      <c r="I679" s="8" t="s">
        <v>340</v>
      </c>
      <c r="J679" s="8" t="s">
        <v>43</v>
      </c>
      <c r="K679" s="69" t="s">
        <v>341</v>
      </c>
      <c r="L679" s="8" t="s">
        <v>75</v>
      </c>
      <c r="M679" s="8" t="s">
        <v>107</v>
      </c>
      <c r="N679" s="8" t="s">
        <v>306</v>
      </c>
      <c r="O679" s="8" t="s">
        <v>13</v>
      </c>
      <c r="P679" s="8" t="s">
        <v>285</v>
      </c>
      <c r="Q679" s="8" t="s">
        <v>285</v>
      </c>
      <c r="R679" s="8" t="s">
        <v>225</v>
      </c>
      <c r="S679" s="8" t="s">
        <v>237</v>
      </c>
      <c r="T679" s="8" t="s">
        <v>175</v>
      </c>
      <c r="U679" s="8" t="s">
        <v>189</v>
      </c>
      <c r="V679" s="8">
        <v>0</v>
      </c>
      <c r="W679" s="18">
        <v>5.8823529411764705E-2</v>
      </c>
      <c r="X679" s="51">
        <v>45659</v>
      </c>
      <c r="Y679" s="51">
        <v>43385</v>
      </c>
      <c r="Z679" s="28">
        <v>96</v>
      </c>
      <c r="AA679" s="16" t="s">
        <v>1701</v>
      </c>
      <c r="AB679" s="8" t="s">
        <v>395</v>
      </c>
      <c r="AC679" s="8" t="s">
        <v>294</v>
      </c>
      <c r="AD679" s="8" t="s">
        <v>134</v>
      </c>
      <c r="AE679" s="8">
        <v>3102712649</v>
      </c>
      <c r="AF679" s="8" t="s">
        <v>276</v>
      </c>
      <c r="AG679" s="8" t="s">
        <v>292</v>
      </c>
      <c r="AH679" s="51">
        <v>32510</v>
      </c>
      <c r="AI679" s="28">
        <v>37</v>
      </c>
      <c r="AJ679" s="51" t="s">
        <v>1852</v>
      </c>
    </row>
    <row r="680" spans="1:36" ht="12.65" customHeight="1" x14ac:dyDescent="0.3">
      <c r="A680" s="8" t="s">
        <v>4</v>
      </c>
      <c r="B680" s="8" t="s">
        <v>147</v>
      </c>
      <c r="C680" s="8" t="s">
        <v>135</v>
      </c>
      <c r="D680" s="34" t="s">
        <v>1743</v>
      </c>
      <c r="E680" s="14" t="s">
        <v>4</v>
      </c>
      <c r="F680" s="8" t="s">
        <v>69</v>
      </c>
      <c r="G680" s="8" t="s">
        <v>125</v>
      </c>
      <c r="H680" s="14" t="s">
        <v>9</v>
      </c>
      <c r="I680" s="34" t="s">
        <v>14</v>
      </c>
      <c r="J680" s="8" t="s">
        <v>14</v>
      </c>
      <c r="K680" s="69" t="s">
        <v>14</v>
      </c>
      <c r="L680" s="8" t="s">
        <v>442</v>
      </c>
      <c r="M680" s="8" t="s">
        <v>443</v>
      </c>
      <c r="N680" s="8" t="s">
        <v>393</v>
      </c>
      <c r="O680" s="7" t="s">
        <v>36</v>
      </c>
      <c r="P680" s="7" t="s">
        <v>282</v>
      </c>
      <c r="Q680" s="8" t="s">
        <v>543</v>
      </c>
      <c r="R680" s="8" t="s">
        <v>222</v>
      </c>
      <c r="S680" s="8" t="s">
        <v>237</v>
      </c>
      <c r="T680" s="8" t="s">
        <v>4</v>
      </c>
      <c r="U680" s="8" t="s">
        <v>183</v>
      </c>
      <c r="V680" s="8">
        <v>1</v>
      </c>
      <c r="W680" s="18">
        <v>1</v>
      </c>
      <c r="X680" s="16" t="s">
        <v>4</v>
      </c>
      <c r="Y680" s="16" t="s">
        <v>14</v>
      </c>
      <c r="Z680" s="28" t="s">
        <v>14</v>
      </c>
      <c r="AA680" s="16" t="s">
        <v>14</v>
      </c>
      <c r="AB680" s="8" t="s">
        <v>14</v>
      </c>
      <c r="AC680" s="8" t="s">
        <v>14</v>
      </c>
      <c r="AD680" s="8" t="s">
        <v>4</v>
      </c>
      <c r="AE680" s="8" t="s">
        <v>4</v>
      </c>
      <c r="AF680" s="8" t="s">
        <v>4</v>
      </c>
      <c r="AG680" s="8" t="s">
        <v>295</v>
      </c>
      <c r="AH680" s="51" t="s">
        <v>4</v>
      </c>
      <c r="AI680" s="28" t="s">
        <v>4</v>
      </c>
      <c r="AJ680" s="51" t="s">
        <v>4</v>
      </c>
    </row>
    <row r="681" spans="1:36" ht="12.65" customHeight="1" x14ac:dyDescent="0.3">
      <c r="A681" s="8" t="s">
        <v>139</v>
      </c>
      <c r="B681" s="8" t="s">
        <v>147</v>
      </c>
      <c r="C681" s="8" t="s">
        <v>135</v>
      </c>
      <c r="D681" s="34" t="s">
        <v>204</v>
      </c>
      <c r="E681" s="14" t="s">
        <v>205</v>
      </c>
      <c r="F681" s="8" t="s">
        <v>71</v>
      </c>
      <c r="G681" s="8" t="s">
        <v>125</v>
      </c>
      <c r="H681" s="14" t="s">
        <v>9</v>
      </c>
      <c r="I681" s="34" t="s">
        <v>14</v>
      </c>
      <c r="J681" s="8" t="s">
        <v>14</v>
      </c>
      <c r="K681" s="69" t="s">
        <v>14</v>
      </c>
      <c r="L681" s="8" t="s">
        <v>1614</v>
      </c>
      <c r="M681" s="8" t="s">
        <v>1573</v>
      </c>
      <c r="N681" s="8" t="s">
        <v>393</v>
      </c>
      <c r="O681" s="7" t="s">
        <v>11</v>
      </c>
      <c r="P681" s="7" t="s">
        <v>274</v>
      </c>
      <c r="Q681" s="8" t="s">
        <v>275</v>
      </c>
      <c r="R681" s="8" t="s">
        <v>231</v>
      </c>
      <c r="S681" s="8" t="s">
        <v>247</v>
      </c>
      <c r="T681" s="8" t="s">
        <v>205</v>
      </c>
      <c r="U681" s="8" t="s">
        <v>54</v>
      </c>
      <c r="V681" s="8">
        <v>1</v>
      </c>
      <c r="W681" s="18">
        <v>1</v>
      </c>
      <c r="X681" s="16">
        <v>45839</v>
      </c>
      <c r="Y681" s="16">
        <v>45659</v>
      </c>
      <c r="Z681" s="28">
        <v>21</v>
      </c>
      <c r="AA681" s="16" t="s">
        <v>1700</v>
      </c>
      <c r="AB681" s="8" t="s">
        <v>14</v>
      </c>
      <c r="AC681" s="8" t="s">
        <v>14</v>
      </c>
      <c r="AD681" s="8" t="s">
        <v>137</v>
      </c>
      <c r="AE681" s="8">
        <v>3102717024</v>
      </c>
      <c r="AF681" s="8" t="s">
        <v>276</v>
      </c>
      <c r="AG681" s="8" t="s">
        <v>295</v>
      </c>
      <c r="AH681" s="51">
        <v>32708</v>
      </c>
      <c r="AI681" s="28">
        <v>37</v>
      </c>
      <c r="AJ681" s="51" t="s">
        <v>1853</v>
      </c>
    </row>
    <row r="682" spans="1:36" ht="12.65" customHeight="1" x14ac:dyDescent="0.35">
      <c r="A682" s="8" t="s">
        <v>139</v>
      </c>
      <c r="B682" s="8" t="s">
        <v>136</v>
      </c>
      <c r="C682" s="8" t="s">
        <v>135</v>
      </c>
      <c r="D682" s="34" t="s">
        <v>168</v>
      </c>
      <c r="E682" s="14" t="s">
        <v>169</v>
      </c>
      <c r="F682" s="28" t="s">
        <v>71</v>
      </c>
      <c r="G682" s="28" t="s">
        <v>125</v>
      </c>
      <c r="H682" s="31" t="s">
        <v>9</v>
      </c>
      <c r="I682" s="34" t="s">
        <v>1909</v>
      </c>
      <c r="J682" s="8" t="s">
        <v>1814</v>
      </c>
      <c r="K682" s="69" t="s">
        <v>1811</v>
      </c>
      <c r="L682" s="8" t="s">
        <v>75</v>
      </c>
      <c r="M682" s="8" t="s">
        <v>107</v>
      </c>
      <c r="N682" s="8" t="s">
        <v>306</v>
      </c>
      <c r="O682" s="8" t="s">
        <v>15</v>
      </c>
      <c r="P682" s="8" t="s">
        <v>288</v>
      </c>
      <c r="Q682" s="8" t="s">
        <v>326</v>
      </c>
      <c r="R682" s="8" t="s">
        <v>234</v>
      </c>
      <c r="S682" s="8" t="s">
        <v>241</v>
      </c>
      <c r="T682" s="8" t="s">
        <v>169</v>
      </c>
      <c r="U682" s="8" t="s">
        <v>189</v>
      </c>
      <c r="V682" s="8">
        <v>1</v>
      </c>
      <c r="W682" s="18">
        <v>6.6666666666666666E-2</v>
      </c>
      <c r="X682" s="51">
        <v>45659</v>
      </c>
      <c r="Y682" s="51">
        <v>40461</v>
      </c>
      <c r="Z682" s="28">
        <v>192</v>
      </c>
      <c r="AA682" s="16" t="s">
        <v>1701</v>
      </c>
      <c r="AB682" s="8" t="s">
        <v>395</v>
      </c>
      <c r="AC682" s="8" t="s">
        <v>395</v>
      </c>
      <c r="AD682" s="8" t="s">
        <v>134</v>
      </c>
      <c r="AE682" s="8">
        <v>3102716419</v>
      </c>
      <c r="AF682" s="8" t="s">
        <v>276</v>
      </c>
      <c r="AG682" s="8" t="s">
        <v>295</v>
      </c>
      <c r="AH682" s="51">
        <v>27249</v>
      </c>
      <c r="AI682" s="28">
        <v>52</v>
      </c>
      <c r="AJ682" s="51" t="s">
        <v>1852</v>
      </c>
    </row>
    <row r="683" spans="1:36" ht="12.65" customHeight="1" x14ac:dyDescent="0.35">
      <c r="A683" s="8" t="s">
        <v>139</v>
      </c>
      <c r="B683" s="8" t="s">
        <v>136</v>
      </c>
      <c r="C683" s="8" t="s">
        <v>135</v>
      </c>
      <c r="D683" s="34" t="s">
        <v>168</v>
      </c>
      <c r="E683" s="14" t="s">
        <v>169</v>
      </c>
      <c r="F683" s="28" t="s">
        <v>71</v>
      </c>
      <c r="G683" s="28" t="s">
        <v>125</v>
      </c>
      <c r="H683" s="31" t="s">
        <v>9</v>
      </c>
      <c r="I683" s="8" t="s">
        <v>817</v>
      </c>
      <c r="J683" s="8" t="s">
        <v>86</v>
      </c>
      <c r="K683" s="69" t="s">
        <v>818</v>
      </c>
      <c r="L683" s="8" t="s">
        <v>75</v>
      </c>
      <c r="M683" s="8" t="s">
        <v>76</v>
      </c>
      <c r="N683" s="8" t="s">
        <v>306</v>
      </c>
      <c r="O683" s="8" t="s">
        <v>154</v>
      </c>
      <c r="P683" s="8" t="s">
        <v>476</v>
      </c>
      <c r="Q683" s="8" t="s">
        <v>326</v>
      </c>
      <c r="R683" s="8" t="s">
        <v>234</v>
      </c>
      <c r="S683" s="8" t="s">
        <v>241</v>
      </c>
      <c r="T683" s="8" t="s">
        <v>169</v>
      </c>
      <c r="U683" s="8" t="s">
        <v>189</v>
      </c>
      <c r="V683" s="8">
        <v>0</v>
      </c>
      <c r="W683" s="18">
        <v>6.6666666666666666E-2</v>
      </c>
      <c r="X683" s="51">
        <v>45659</v>
      </c>
      <c r="Y683" s="51">
        <v>40461</v>
      </c>
      <c r="Z683" s="28">
        <v>192</v>
      </c>
      <c r="AA683" s="16" t="s">
        <v>1701</v>
      </c>
      <c r="AB683" s="8" t="s">
        <v>395</v>
      </c>
      <c r="AC683" s="8" t="s">
        <v>294</v>
      </c>
      <c r="AD683" s="8" t="s">
        <v>134</v>
      </c>
      <c r="AE683" s="8">
        <v>3102716419</v>
      </c>
      <c r="AF683" s="8" t="s">
        <v>276</v>
      </c>
      <c r="AG683" s="8" t="s">
        <v>292</v>
      </c>
      <c r="AH683" s="51">
        <v>27249</v>
      </c>
      <c r="AI683" s="28">
        <v>52</v>
      </c>
      <c r="AJ683" s="51" t="s">
        <v>1852</v>
      </c>
    </row>
    <row r="684" spans="1:36" ht="12.65" customHeight="1" x14ac:dyDescent="0.35">
      <c r="A684" s="8" t="s">
        <v>139</v>
      </c>
      <c r="B684" s="8" t="s">
        <v>136</v>
      </c>
      <c r="C684" s="8" t="s">
        <v>135</v>
      </c>
      <c r="D684" s="34" t="s">
        <v>168</v>
      </c>
      <c r="E684" s="14" t="s">
        <v>169</v>
      </c>
      <c r="F684" s="28" t="s">
        <v>71</v>
      </c>
      <c r="G684" s="28" t="s">
        <v>125</v>
      </c>
      <c r="H684" s="31" t="s">
        <v>9</v>
      </c>
      <c r="I684" s="34" t="s">
        <v>780</v>
      </c>
      <c r="J684" s="8" t="s">
        <v>91</v>
      </c>
      <c r="K684" s="69" t="s">
        <v>1198</v>
      </c>
      <c r="L684" s="8" t="s">
        <v>75</v>
      </c>
      <c r="M684" s="8" t="s">
        <v>76</v>
      </c>
      <c r="N684" s="8" t="s">
        <v>306</v>
      </c>
      <c r="O684" s="8" t="s">
        <v>155</v>
      </c>
      <c r="P684" s="8" t="s">
        <v>287</v>
      </c>
      <c r="Q684" s="8" t="s">
        <v>326</v>
      </c>
      <c r="R684" s="8" t="s">
        <v>234</v>
      </c>
      <c r="S684" s="8" t="s">
        <v>241</v>
      </c>
      <c r="T684" s="8" t="s">
        <v>169</v>
      </c>
      <c r="U684" s="8" t="s">
        <v>189</v>
      </c>
      <c r="V684" s="8">
        <v>0</v>
      </c>
      <c r="W684" s="18">
        <v>6.6666666666666666E-2</v>
      </c>
      <c r="X684" s="51">
        <v>45659</v>
      </c>
      <c r="Y684" s="51">
        <v>40461</v>
      </c>
      <c r="Z684" s="28">
        <v>192</v>
      </c>
      <c r="AA684" s="16" t="s">
        <v>1701</v>
      </c>
      <c r="AB684" s="8" t="s">
        <v>395</v>
      </c>
      <c r="AC684" s="8" t="s">
        <v>294</v>
      </c>
      <c r="AD684" s="8" t="s">
        <v>134</v>
      </c>
      <c r="AE684" s="8">
        <v>3102716419</v>
      </c>
      <c r="AF684" s="8" t="s">
        <v>276</v>
      </c>
      <c r="AG684" s="8" t="s">
        <v>292</v>
      </c>
      <c r="AH684" s="51">
        <v>27249</v>
      </c>
      <c r="AI684" s="28">
        <v>52</v>
      </c>
      <c r="AJ684" s="51" t="s">
        <v>1852</v>
      </c>
    </row>
    <row r="685" spans="1:36" ht="12.65" customHeight="1" x14ac:dyDescent="0.35">
      <c r="A685" s="8" t="s">
        <v>139</v>
      </c>
      <c r="B685" s="8" t="s">
        <v>136</v>
      </c>
      <c r="C685" s="8" t="s">
        <v>135</v>
      </c>
      <c r="D685" s="34" t="s">
        <v>168</v>
      </c>
      <c r="E685" s="14" t="s">
        <v>169</v>
      </c>
      <c r="F685" s="28" t="s">
        <v>71</v>
      </c>
      <c r="G685" s="28" t="s">
        <v>125</v>
      </c>
      <c r="H685" s="31" t="s">
        <v>9</v>
      </c>
      <c r="I685" s="8" t="s">
        <v>656</v>
      </c>
      <c r="J685" s="8" t="s">
        <v>108</v>
      </c>
      <c r="K685" s="69" t="s">
        <v>657</v>
      </c>
      <c r="L685" s="8" t="s">
        <v>75</v>
      </c>
      <c r="M685" s="8" t="s">
        <v>107</v>
      </c>
      <c r="N685" s="8" t="s">
        <v>306</v>
      </c>
      <c r="O685" s="8" t="s">
        <v>146</v>
      </c>
      <c r="P685" s="8" t="s">
        <v>283</v>
      </c>
      <c r="Q685" s="8" t="s">
        <v>326</v>
      </c>
      <c r="R685" s="8" t="s">
        <v>234</v>
      </c>
      <c r="S685" s="8" t="s">
        <v>241</v>
      </c>
      <c r="T685" s="8" t="s">
        <v>169</v>
      </c>
      <c r="U685" s="8" t="s">
        <v>189</v>
      </c>
      <c r="V685" s="8">
        <v>0</v>
      </c>
      <c r="W685" s="18">
        <v>6.6666666666666666E-2</v>
      </c>
      <c r="X685" s="51">
        <v>45659</v>
      </c>
      <c r="Y685" s="51">
        <v>40461</v>
      </c>
      <c r="Z685" s="28">
        <v>192</v>
      </c>
      <c r="AA685" s="16" t="s">
        <v>1701</v>
      </c>
      <c r="AB685" s="8" t="s">
        <v>395</v>
      </c>
      <c r="AC685" s="8" t="s">
        <v>294</v>
      </c>
      <c r="AD685" s="8" t="s">
        <v>134</v>
      </c>
      <c r="AE685" s="8">
        <v>3102716419</v>
      </c>
      <c r="AF685" s="8" t="s">
        <v>276</v>
      </c>
      <c r="AG685" s="8" t="s">
        <v>292</v>
      </c>
      <c r="AH685" s="51">
        <v>27249</v>
      </c>
      <c r="AI685" s="28">
        <v>52</v>
      </c>
      <c r="AJ685" s="51" t="s">
        <v>1852</v>
      </c>
    </row>
    <row r="686" spans="1:36" ht="12.65" customHeight="1" x14ac:dyDescent="0.35">
      <c r="A686" s="8" t="s">
        <v>139</v>
      </c>
      <c r="B686" s="8" t="s">
        <v>136</v>
      </c>
      <c r="C686" s="8" t="s">
        <v>135</v>
      </c>
      <c r="D686" s="34" t="s">
        <v>168</v>
      </c>
      <c r="E686" s="14" t="s">
        <v>169</v>
      </c>
      <c r="F686" s="28" t="s">
        <v>71</v>
      </c>
      <c r="G686" s="28" t="s">
        <v>125</v>
      </c>
      <c r="H686" s="31" t="s">
        <v>9</v>
      </c>
      <c r="I686" s="8" t="s">
        <v>324</v>
      </c>
      <c r="J686" s="8" t="s">
        <v>94</v>
      </c>
      <c r="K686" s="69" t="s">
        <v>325</v>
      </c>
      <c r="L686" s="8" t="s">
        <v>75</v>
      </c>
      <c r="M686" s="8" t="s">
        <v>75</v>
      </c>
      <c r="N686" s="8" t="s">
        <v>306</v>
      </c>
      <c r="O686" s="8" t="s">
        <v>146</v>
      </c>
      <c r="P686" s="8" t="s">
        <v>283</v>
      </c>
      <c r="Q686" s="8" t="s">
        <v>326</v>
      </c>
      <c r="R686" s="8" t="s">
        <v>234</v>
      </c>
      <c r="S686" s="8" t="s">
        <v>241</v>
      </c>
      <c r="T686" s="8" t="s">
        <v>169</v>
      </c>
      <c r="U686" s="8" t="s">
        <v>189</v>
      </c>
      <c r="V686" s="8">
        <v>0</v>
      </c>
      <c r="W686" s="18">
        <v>6.6666666666666666E-2</v>
      </c>
      <c r="X686" s="51">
        <v>45659</v>
      </c>
      <c r="Y686" s="51">
        <v>40461</v>
      </c>
      <c r="Z686" s="28">
        <v>192</v>
      </c>
      <c r="AA686" s="16" t="s">
        <v>1701</v>
      </c>
      <c r="AB686" s="8" t="s">
        <v>291</v>
      </c>
      <c r="AC686" s="8" t="s">
        <v>291</v>
      </c>
      <c r="AD686" s="8" t="s">
        <v>134</v>
      </c>
      <c r="AE686" s="8">
        <v>3102716419</v>
      </c>
      <c r="AF686" s="8" t="s">
        <v>276</v>
      </c>
      <c r="AG686" s="8" t="s">
        <v>292</v>
      </c>
      <c r="AH686" s="51">
        <v>27249</v>
      </c>
      <c r="AI686" s="28">
        <v>52</v>
      </c>
      <c r="AJ686" s="51" t="s">
        <v>1852</v>
      </c>
    </row>
    <row r="687" spans="1:36" ht="12.65" customHeight="1" x14ac:dyDescent="0.35">
      <c r="A687" s="8" t="s">
        <v>139</v>
      </c>
      <c r="B687" s="8" t="s">
        <v>136</v>
      </c>
      <c r="C687" s="8" t="s">
        <v>135</v>
      </c>
      <c r="D687" s="34" t="s">
        <v>168</v>
      </c>
      <c r="E687" s="14" t="s">
        <v>169</v>
      </c>
      <c r="F687" s="28" t="s">
        <v>71</v>
      </c>
      <c r="G687" s="28" t="s">
        <v>125</v>
      </c>
      <c r="H687" s="31" t="s">
        <v>9</v>
      </c>
      <c r="I687" s="8" t="s">
        <v>848</v>
      </c>
      <c r="J687" s="8" t="s">
        <v>100</v>
      </c>
      <c r="K687" s="69" t="s">
        <v>849</v>
      </c>
      <c r="L687" s="8" t="s">
        <v>75</v>
      </c>
      <c r="M687" s="8" t="s">
        <v>75</v>
      </c>
      <c r="N687" s="8" t="s">
        <v>306</v>
      </c>
      <c r="O687" s="8" t="s">
        <v>23</v>
      </c>
      <c r="P687" s="8" t="s">
        <v>419</v>
      </c>
      <c r="Q687" s="8" t="s">
        <v>326</v>
      </c>
      <c r="R687" s="8" t="s">
        <v>234</v>
      </c>
      <c r="S687" s="8" t="s">
        <v>241</v>
      </c>
      <c r="T687" s="8" t="s">
        <v>169</v>
      </c>
      <c r="U687" s="8" t="s">
        <v>189</v>
      </c>
      <c r="V687" s="8">
        <v>0</v>
      </c>
      <c r="W687" s="18">
        <v>6.6666666666666666E-2</v>
      </c>
      <c r="X687" s="51">
        <v>45659</v>
      </c>
      <c r="Y687" s="51">
        <v>40461</v>
      </c>
      <c r="Z687" s="28">
        <v>192</v>
      </c>
      <c r="AA687" s="16" t="s">
        <v>1701</v>
      </c>
      <c r="AB687" s="8" t="s">
        <v>395</v>
      </c>
      <c r="AC687" s="8" t="s">
        <v>294</v>
      </c>
      <c r="AD687" s="8" t="s">
        <v>134</v>
      </c>
      <c r="AE687" s="8">
        <v>3102716419</v>
      </c>
      <c r="AF687" s="8" t="s">
        <v>276</v>
      </c>
      <c r="AG687" s="8" t="s">
        <v>292</v>
      </c>
      <c r="AH687" s="51">
        <v>27249</v>
      </c>
      <c r="AI687" s="28">
        <v>52</v>
      </c>
      <c r="AJ687" s="51" t="s">
        <v>1852</v>
      </c>
    </row>
    <row r="688" spans="1:36" ht="12.65" customHeight="1" x14ac:dyDescent="0.35">
      <c r="A688" s="8" t="s">
        <v>139</v>
      </c>
      <c r="B688" s="8" t="s">
        <v>136</v>
      </c>
      <c r="C688" s="8" t="s">
        <v>135</v>
      </c>
      <c r="D688" s="34" t="s">
        <v>168</v>
      </c>
      <c r="E688" s="14" t="s">
        <v>169</v>
      </c>
      <c r="F688" s="28" t="s">
        <v>71</v>
      </c>
      <c r="G688" s="28" t="s">
        <v>125</v>
      </c>
      <c r="H688" s="31" t="s">
        <v>9</v>
      </c>
      <c r="I688" s="8" t="s">
        <v>700</v>
      </c>
      <c r="J688" s="8" t="s">
        <v>1224</v>
      </c>
      <c r="K688" s="69" t="s">
        <v>701</v>
      </c>
      <c r="L688" s="8" t="s">
        <v>410</v>
      </c>
      <c r="M688" s="8" t="s">
        <v>410</v>
      </c>
      <c r="N688" s="8" t="s">
        <v>306</v>
      </c>
      <c r="O688" s="8" t="s">
        <v>15</v>
      </c>
      <c r="P688" s="8" t="s">
        <v>288</v>
      </c>
      <c r="Q688" s="8" t="s">
        <v>326</v>
      </c>
      <c r="R688" s="8" t="s">
        <v>234</v>
      </c>
      <c r="S688" s="8" t="s">
        <v>241</v>
      </c>
      <c r="T688" s="8" t="s">
        <v>169</v>
      </c>
      <c r="U688" s="8" t="s">
        <v>54</v>
      </c>
      <c r="V688" s="8">
        <v>0</v>
      </c>
      <c r="W688" s="18">
        <v>6.6666666666666666E-2</v>
      </c>
      <c r="X688" s="51">
        <v>45659</v>
      </c>
      <c r="Y688" s="51">
        <v>40461</v>
      </c>
      <c r="Z688" s="28">
        <v>192</v>
      </c>
      <c r="AA688" s="16" t="s">
        <v>1701</v>
      </c>
      <c r="AB688" s="8" t="s">
        <v>294</v>
      </c>
      <c r="AC688" s="8" t="s">
        <v>395</v>
      </c>
      <c r="AD688" s="8" t="s">
        <v>134</v>
      </c>
      <c r="AE688" s="8">
        <v>3102716419</v>
      </c>
      <c r="AF688" s="8" t="s">
        <v>276</v>
      </c>
      <c r="AG688" s="8" t="s">
        <v>292</v>
      </c>
      <c r="AH688" s="51">
        <v>27249</v>
      </c>
      <c r="AI688" s="28">
        <v>52</v>
      </c>
      <c r="AJ688" s="51" t="s">
        <v>1852</v>
      </c>
    </row>
    <row r="689" spans="1:36" ht="12.65" customHeight="1" x14ac:dyDescent="0.35">
      <c r="A689" s="8" t="s">
        <v>139</v>
      </c>
      <c r="B689" s="8" t="s">
        <v>136</v>
      </c>
      <c r="C689" s="8" t="s">
        <v>135</v>
      </c>
      <c r="D689" s="34" t="s">
        <v>168</v>
      </c>
      <c r="E689" s="14" t="s">
        <v>169</v>
      </c>
      <c r="F689" s="28" t="s">
        <v>71</v>
      </c>
      <c r="G689" s="28" t="s">
        <v>125</v>
      </c>
      <c r="H689" s="31" t="s">
        <v>9</v>
      </c>
      <c r="I689" s="8" t="s">
        <v>810</v>
      </c>
      <c r="J689" s="8" t="s">
        <v>1289</v>
      </c>
      <c r="K689" s="69" t="s">
        <v>811</v>
      </c>
      <c r="L689" s="8" t="s">
        <v>410</v>
      </c>
      <c r="M689" s="8" t="s">
        <v>410</v>
      </c>
      <c r="N689" s="8" t="s">
        <v>306</v>
      </c>
      <c r="O689" s="8" t="s">
        <v>416</v>
      </c>
      <c r="P689" s="8" t="s">
        <v>417</v>
      </c>
      <c r="Q689" s="8" t="s">
        <v>326</v>
      </c>
      <c r="R689" s="8" t="s">
        <v>234</v>
      </c>
      <c r="S689" s="8" t="s">
        <v>241</v>
      </c>
      <c r="T689" s="8" t="s">
        <v>169</v>
      </c>
      <c r="U689" s="8" t="s">
        <v>54</v>
      </c>
      <c r="V689" s="8">
        <v>0</v>
      </c>
      <c r="W689" s="18">
        <v>6.6666666666666666E-2</v>
      </c>
      <c r="X689" s="51">
        <v>45659</v>
      </c>
      <c r="Y689" s="51">
        <v>40461</v>
      </c>
      <c r="Z689" s="28">
        <v>192</v>
      </c>
      <c r="AA689" s="16" t="s">
        <v>1701</v>
      </c>
      <c r="AB689" s="8" t="s">
        <v>291</v>
      </c>
      <c r="AC689" s="8" t="s">
        <v>293</v>
      </c>
      <c r="AD689" s="8" t="s">
        <v>134</v>
      </c>
      <c r="AE689" s="8">
        <v>3102716419</v>
      </c>
      <c r="AF689" s="8" t="s">
        <v>276</v>
      </c>
      <c r="AG689" s="8" t="s">
        <v>295</v>
      </c>
      <c r="AH689" s="51">
        <v>27249</v>
      </c>
      <c r="AI689" s="28">
        <v>52</v>
      </c>
      <c r="AJ689" s="51" t="s">
        <v>1852</v>
      </c>
    </row>
    <row r="690" spans="1:36" ht="12.65" customHeight="1" x14ac:dyDescent="0.35">
      <c r="A690" s="8" t="s">
        <v>139</v>
      </c>
      <c r="B690" s="8" t="s">
        <v>136</v>
      </c>
      <c r="C690" s="8" t="s">
        <v>135</v>
      </c>
      <c r="D690" s="34" t="s">
        <v>168</v>
      </c>
      <c r="E690" s="14" t="s">
        <v>169</v>
      </c>
      <c r="F690" s="28" t="s">
        <v>71</v>
      </c>
      <c r="G690" s="28" t="s">
        <v>125</v>
      </c>
      <c r="H690" s="31" t="s">
        <v>9</v>
      </c>
      <c r="I690" s="8" t="s">
        <v>711</v>
      </c>
      <c r="J690" s="8" t="s">
        <v>712</v>
      </c>
      <c r="K690" s="69" t="s">
        <v>713</v>
      </c>
      <c r="L690" s="8" t="s">
        <v>299</v>
      </c>
      <c r="M690" s="8" t="s">
        <v>299</v>
      </c>
      <c r="N690" s="8" t="s">
        <v>306</v>
      </c>
      <c r="O690" s="8" t="s">
        <v>154</v>
      </c>
      <c r="P690" s="8" t="s">
        <v>476</v>
      </c>
      <c r="Q690" s="8" t="s">
        <v>326</v>
      </c>
      <c r="R690" s="8" t="s">
        <v>234</v>
      </c>
      <c r="S690" s="8" t="s">
        <v>241</v>
      </c>
      <c r="T690" s="8" t="s">
        <v>169</v>
      </c>
      <c r="U690" s="8" t="s">
        <v>194</v>
      </c>
      <c r="V690" s="8">
        <v>0</v>
      </c>
      <c r="W690" s="18">
        <v>6.6666666666666666E-2</v>
      </c>
      <c r="X690" s="51">
        <v>45659</v>
      </c>
      <c r="Y690" s="51">
        <v>40461</v>
      </c>
      <c r="Z690" s="28">
        <v>192</v>
      </c>
      <c r="AA690" s="16" t="s">
        <v>1701</v>
      </c>
      <c r="AB690" s="8" t="s">
        <v>294</v>
      </c>
      <c r="AC690" s="8" t="s">
        <v>294</v>
      </c>
      <c r="AD690" s="8" t="s">
        <v>134</v>
      </c>
      <c r="AE690" s="8">
        <v>3102716419</v>
      </c>
      <c r="AF690" s="8" t="s">
        <v>276</v>
      </c>
      <c r="AG690" s="8" t="s">
        <v>292</v>
      </c>
      <c r="AH690" s="51">
        <v>27249</v>
      </c>
      <c r="AI690" s="28">
        <v>52</v>
      </c>
      <c r="AJ690" s="51" t="s">
        <v>1852</v>
      </c>
    </row>
    <row r="691" spans="1:36" ht="12.65" customHeight="1" x14ac:dyDescent="0.35">
      <c r="A691" s="8" t="s">
        <v>139</v>
      </c>
      <c r="B691" s="8" t="s">
        <v>136</v>
      </c>
      <c r="C691" s="8" t="s">
        <v>135</v>
      </c>
      <c r="D691" s="34" t="s">
        <v>168</v>
      </c>
      <c r="E691" s="14" t="s">
        <v>169</v>
      </c>
      <c r="F691" s="28" t="s">
        <v>71</v>
      </c>
      <c r="G691" s="28" t="s">
        <v>125</v>
      </c>
      <c r="H691" s="31" t="s">
        <v>9</v>
      </c>
      <c r="I691" s="8" t="s">
        <v>414</v>
      </c>
      <c r="J691" s="8" t="s">
        <v>1036</v>
      </c>
      <c r="K691" s="69" t="s">
        <v>415</v>
      </c>
      <c r="L691" s="8" t="s">
        <v>299</v>
      </c>
      <c r="M691" s="8" t="s">
        <v>299</v>
      </c>
      <c r="N691" s="8" t="s">
        <v>306</v>
      </c>
      <c r="O691" s="8" t="s">
        <v>416</v>
      </c>
      <c r="P691" s="8" t="s">
        <v>417</v>
      </c>
      <c r="Q691" s="8" t="s">
        <v>326</v>
      </c>
      <c r="R691" s="8" t="s">
        <v>234</v>
      </c>
      <c r="S691" s="8" t="s">
        <v>241</v>
      </c>
      <c r="T691" s="8" t="s">
        <v>169</v>
      </c>
      <c r="U691" s="8" t="s">
        <v>194</v>
      </c>
      <c r="V691" s="8">
        <v>0</v>
      </c>
      <c r="W691" s="18">
        <v>6.6666666666666666E-2</v>
      </c>
      <c r="X691" s="51">
        <v>45659</v>
      </c>
      <c r="Y691" s="51">
        <v>40461</v>
      </c>
      <c r="Z691" s="28">
        <v>192</v>
      </c>
      <c r="AA691" s="16" t="s">
        <v>1701</v>
      </c>
      <c r="AB691" s="8" t="s">
        <v>294</v>
      </c>
      <c r="AC691" s="8" t="s">
        <v>294</v>
      </c>
      <c r="AD691" s="8" t="s">
        <v>134</v>
      </c>
      <c r="AE691" s="8">
        <v>3102716419</v>
      </c>
      <c r="AF691" s="8" t="s">
        <v>276</v>
      </c>
      <c r="AG691" s="8" t="s">
        <v>292</v>
      </c>
      <c r="AH691" s="51">
        <v>27249</v>
      </c>
      <c r="AI691" s="28">
        <v>52</v>
      </c>
      <c r="AJ691" s="51" t="s">
        <v>1852</v>
      </c>
    </row>
    <row r="692" spans="1:36" ht="12.65" customHeight="1" x14ac:dyDescent="0.35">
      <c r="A692" s="8" t="s">
        <v>139</v>
      </c>
      <c r="B692" s="8" t="s">
        <v>136</v>
      </c>
      <c r="C692" s="8" t="s">
        <v>135</v>
      </c>
      <c r="D692" s="34" t="s">
        <v>168</v>
      </c>
      <c r="E692" s="14" t="s">
        <v>169</v>
      </c>
      <c r="F692" s="28" t="s">
        <v>71</v>
      </c>
      <c r="G692" s="28" t="s">
        <v>125</v>
      </c>
      <c r="H692" s="31" t="s">
        <v>9</v>
      </c>
      <c r="I692" s="8" t="s">
        <v>789</v>
      </c>
      <c r="J692" s="8" t="s">
        <v>790</v>
      </c>
      <c r="K692" s="69" t="s">
        <v>791</v>
      </c>
      <c r="L692" s="8" t="s">
        <v>299</v>
      </c>
      <c r="M692" s="8" t="s">
        <v>299</v>
      </c>
      <c r="N692" s="8" t="s">
        <v>306</v>
      </c>
      <c r="O692" s="8" t="s">
        <v>15</v>
      </c>
      <c r="P692" s="8" t="s">
        <v>288</v>
      </c>
      <c r="Q692" s="8" t="s">
        <v>326</v>
      </c>
      <c r="R692" s="8" t="s">
        <v>234</v>
      </c>
      <c r="S692" s="8" t="s">
        <v>241</v>
      </c>
      <c r="T692" s="8" t="s">
        <v>169</v>
      </c>
      <c r="U692" s="8" t="s">
        <v>194</v>
      </c>
      <c r="V692" s="8">
        <v>0</v>
      </c>
      <c r="W692" s="18">
        <v>6.6666666666666666E-2</v>
      </c>
      <c r="X692" s="51">
        <v>45659</v>
      </c>
      <c r="Y692" s="51">
        <v>40461</v>
      </c>
      <c r="Z692" s="28">
        <v>192</v>
      </c>
      <c r="AA692" s="16" t="s">
        <v>1701</v>
      </c>
      <c r="AB692" s="8" t="s">
        <v>294</v>
      </c>
      <c r="AC692" s="8" t="s">
        <v>294</v>
      </c>
      <c r="AD692" s="8" t="s">
        <v>134</v>
      </c>
      <c r="AE692" s="8">
        <v>3102716419</v>
      </c>
      <c r="AF692" s="8" t="s">
        <v>276</v>
      </c>
      <c r="AG692" s="8" t="s">
        <v>292</v>
      </c>
      <c r="AH692" s="51">
        <v>27249</v>
      </c>
      <c r="AI692" s="28">
        <v>52</v>
      </c>
      <c r="AJ692" s="51" t="s">
        <v>1852</v>
      </c>
    </row>
    <row r="693" spans="1:36" ht="12.65" customHeight="1" x14ac:dyDescent="0.35">
      <c r="A693" s="8" t="s">
        <v>139</v>
      </c>
      <c r="B693" s="8" t="s">
        <v>136</v>
      </c>
      <c r="C693" s="8" t="s">
        <v>135</v>
      </c>
      <c r="D693" s="34" t="s">
        <v>168</v>
      </c>
      <c r="E693" s="14" t="s">
        <v>169</v>
      </c>
      <c r="F693" s="28" t="s">
        <v>71</v>
      </c>
      <c r="G693" s="28" t="s">
        <v>125</v>
      </c>
      <c r="H693" s="31" t="s">
        <v>9</v>
      </c>
      <c r="I693" s="8" t="s">
        <v>633</v>
      </c>
      <c r="J693" s="8" t="s">
        <v>634</v>
      </c>
      <c r="K693" s="69" t="s">
        <v>635</v>
      </c>
      <c r="L693" s="8" t="s">
        <v>299</v>
      </c>
      <c r="M693" s="8" t="s">
        <v>299</v>
      </c>
      <c r="N693" s="8" t="s">
        <v>306</v>
      </c>
      <c r="O693" s="8" t="s">
        <v>15</v>
      </c>
      <c r="P693" s="8" t="s">
        <v>288</v>
      </c>
      <c r="Q693" s="8" t="s">
        <v>326</v>
      </c>
      <c r="R693" s="8" t="s">
        <v>234</v>
      </c>
      <c r="S693" s="8" t="s">
        <v>241</v>
      </c>
      <c r="T693" s="8" t="s">
        <v>169</v>
      </c>
      <c r="U693" s="8" t="s">
        <v>194</v>
      </c>
      <c r="V693" s="8">
        <v>0</v>
      </c>
      <c r="W693" s="18">
        <v>6.6666666666666666E-2</v>
      </c>
      <c r="X693" s="51">
        <v>45659</v>
      </c>
      <c r="Y693" s="51">
        <v>40461</v>
      </c>
      <c r="Z693" s="28">
        <v>192</v>
      </c>
      <c r="AA693" s="16" t="s">
        <v>1701</v>
      </c>
      <c r="AB693" s="8" t="s">
        <v>294</v>
      </c>
      <c r="AC693" s="8" t="s">
        <v>294</v>
      </c>
      <c r="AD693" s="8" t="s">
        <v>134</v>
      </c>
      <c r="AE693" s="8">
        <v>3102716419</v>
      </c>
      <c r="AF693" s="8" t="s">
        <v>276</v>
      </c>
      <c r="AG693" s="8" t="s">
        <v>292</v>
      </c>
      <c r="AH693" s="51">
        <v>27249</v>
      </c>
      <c r="AI693" s="28">
        <v>52</v>
      </c>
      <c r="AJ693" s="51" t="s">
        <v>1852</v>
      </c>
    </row>
    <row r="694" spans="1:36" ht="12.65" customHeight="1" x14ac:dyDescent="0.35">
      <c r="A694" s="8" t="s">
        <v>139</v>
      </c>
      <c r="B694" s="8" t="s">
        <v>136</v>
      </c>
      <c r="C694" s="8" t="s">
        <v>135</v>
      </c>
      <c r="D694" s="34" t="s">
        <v>168</v>
      </c>
      <c r="E694" s="14" t="s">
        <v>169</v>
      </c>
      <c r="F694" s="28" t="s">
        <v>71</v>
      </c>
      <c r="G694" s="28" t="s">
        <v>125</v>
      </c>
      <c r="H694" s="31" t="s">
        <v>9</v>
      </c>
      <c r="I694" s="8" t="s">
        <v>411</v>
      </c>
      <c r="J694" s="8" t="s">
        <v>412</v>
      </c>
      <c r="K694" s="69" t="s">
        <v>413</v>
      </c>
      <c r="L694" s="8" t="s">
        <v>299</v>
      </c>
      <c r="M694" s="8" t="s">
        <v>299</v>
      </c>
      <c r="N694" s="8" t="s">
        <v>306</v>
      </c>
      <c r="O694" s="8" t="s">
        <v>155</v>
      </c>
      <c r="P694" s="8" t="s">
        <v>287</v>
      </c>
      <c r="Q694" s="8" t="s">
        <v>326</v>
      </c>
      <c r="R694" s="8" t="s">
        <v>234</v>
      </c>
      <c r="S694" s="8" t="s">
        <v>241</v>
      </c>
      <c r="T694" s="8" t="s">
        <v>169</v>
      </c>
      <c r="U694" s="8" t="s">
        <v>194</v>
      </c>
      <c r="V694" s="8">
        <v>0</v>
      </c>
      <c r="W694" s="18">
        <v>6.6666666666666666E-2</v>
      </c>
      <c r="X694" s="51">
        <v>45659</v>
      </c>
      <c r="Y694" s="51">
        <v>40461</v>
      </c>
      <c r="Z694" s="28">
        <v>192</v>
      </c>
      <c r="AA694" s="16" t="s">
        <v>1701</v>
      </c>
      <c r="AB694" s="8" t="s">
        <v>294</v>
      </c>
      <c r="AC694" s="8" t="s">
        <v>294</v>
      </c>
      <c r="AD694" s="8" t="s">
        <v>134</v>
      </c>
      <c r="AE694" s="8">
        <v>3102716419</v>
      </c>
      <c r="AF694" s="8" t="s">
        <v>276</v>
      </c>
      <c r="AG694" s="8" t="s">
        <v>292</v>
      </c>
      <c r="AH694" s="51">
        <v>27249</v>
      </c>
      <c r="AI694" s="28">
        <v>52</v>
      </c>
      <c r="AJ694" s="51" t="s">
        <v>1852</v>
      </c>
    </row>
    <row r="695" spans="1:36" ht="12.65" customHeight="1" x14ac:dyDescent="0.35">
      <c r="A695" s="8" t="s">
        <v>139</v>
      </c>
      <c r="B695" s="8" t="s">
        <v>136</v>
      </c>
      <c r="C695" s="8" t="s">
        <v>135</v>
      </c>
      <c r="D695" s="34" t="s">
        <v>168</v>
      </c>
      <c r="E695" s="14" t="s">
        <v>169</v>
      </c>
      <c r="F695" s="28" t="s">
        <v>71</v>
      </c>
      <c r="G695" s="28" t="s">
        <v>125</v>
      </c>
      <c r="H695" s="31" t="s">
        <v>9</v>
      </c>
      <c r="I695" s="8" t="s">
        <v>623</v>
      </c>
      <c r="J695" s="8" t="s">
        <v>1231</v>
      </c>
      <c r="K695" s="69" t="s">
        <v>624</v>
      </c>
      <c r="L695" s="8" t="s">
        <v>299</v>
      </c>
      <c r="M695" s="8" t="s">
        <v>299</v>
      </c>
      <c r="N695" s="8" t="s">
        <v>306</v>
      </c>
      <c r="O695" s="8" t="s">
        <v>146</v>
      </c>
      <c r="P695" s="8" t="s">
        <v>283</v>
      </c>
      <c r="Q695" s="8" t="s">
        <v>326</v>
      </c>
      <c r="R695" s="8" t="s">
        <v>234</v>
      </c>
      <c r="S695" s="8" t="s">
        <v>241</v>
      </c>
      <c r="T695" s="8" t="s">
        <v>169</v>
      </c>
      <c r="U695" s="8" t="s">
        <v>194</v>
      </c>
      <c r="V695" s="8">
        <v>0</v>
      </c>
      <c r="W695" s="18">
        <v>6.6666666666666666E-2</v>
      </c>
      <c r="X695" s="51">
        <v>45659</v>
      </c>
      <c r="Y695" s="51">
        <v>40461</v>
      </c>
      <c r="Z695" s="28">
        <v>192</v>
      </c>
      <c r="AA695" s="16" t="s">
        <v>1701</v>
      </c>
      <c r="AB695" s="8" t="s">
        <v>291</v>
      </c>
      <c r="AC695" s="8" t="s">
        <v>291</v>
      </c>
      <c r="AD695" s="8" t="s">
        <v>134</v>
      </c>
      <c r="AE695" s="8">
        <v>3102716419</v>
      </c>
      <c r="AF695" s="8" t="s">
        <v>276</v>
      </c>
      <c r="AG695" s="8" t="s">
        <v>292</v>
      </c>
      <c r="AH695" s="51">
        <v>27249</v>
      </c>
      <c r="AI695" s="28">
        <v>52</v>
      </c>
      <c r="AJ695" s="51" t="s">
        <v>1852</v>
      </c>
    </row>
    <row r="696" spans="1:36" ht="12.65" customHeight="1" x14ac:dyDescent="0.35">
      <c r="A696" s="8" t="s">
        <v>139</v>
      </c>
      <c r="B696" s="8" t="s">
        <v>136</v>
      </c>
      <c r="C696" s="8" t="s">
        <v>135</v>
      </c>
      <c r="D696" s="34" t="s">
        <v>168</v>
      </c>
      <c r="E696" s="14" t="s">
        <v>169</v>
      </c>
      <c r="F696" s="28" t="s">
        <v>71</v>
      </c>
      <c r="G696" s="28" t="s">
        <v>125</v>
      </c>
      <c r="H696" s="31" t="s">
        <v>9</v>
      </c>
      <c r="I696" s="8" t="s">
        <v>457</v>
      </c>
      <c r="J696" s="8" t="s">
        <v>1492</v>
      </c>
      <c r="K696" s="69" t="s">
        <v>458</v>
      </c>
      <c r="L696" s="8" t="s">
        <v>299</v>
      </c>
      <c r="M696" s="8" t="s">
        <v>299</v>
      </c>
      <c r="N696" s="8" t="s">
        <v>306</v>
      </c>
      <c r="O696" s="8" t="s">
        <v>146</v>
      </c>
      <c r="P696" s="8" t="s">
        <v>283</v>
      </c>
      <c r="Q696" s="8" t="s">
        <v>326</v>
      </c>
      <c r="R696" s="8" t="s">
        <v>234</v>
      </c>
      <c r="S696" s="8" t="s">
        <v>241</v>
      </c>
      <c r="T696" s="8" t="s">
        <v>169</v>
      </c>
      <c r="U696" s="8" t="s">
        <v>194</v>
      </c>
      <c r="V696" s="8">
        <v>0</v>
      </c>
      <c r="W696" s="18">
        <v>6.6666666666666666E-2</v>
      </c>
      <c r="X696" s="51">
        <v>45659</v>
      </c>
      <c r="Y696" s="51">
        <v>40461</v>
      </c>
      <c r="Z696" s="28">
        <v>192</v>
      </c>
      <c r="AA696" s="16" t="s">
        <v>1701</v>
      </c>
      <c r="AB696" s="8" t="s">
        <v>291</v>
      </c>
      <c r="AC696" s="8" t="s">
        <v>293</v>
      </c>
      <c r="AD696" s="8" t="s">
        <v>134</v>
      </c>
      <c r="AE696" s="8">
        <v>3102716419</v>
      </c>
      <c r="AF696" s="8" t="s">
        <v>276</v>
      </c>
      <c r="AG696" s="8" t="s">
        <v>292</v>
      </c>
      <c r="AH696" s="51">
        <v>27249</v>
      </c>
      <c r="AI696" s="28">
        <v>52</v>
      </c>
      <c r="AJ696" s="51" t="s">
        <v>1852</v>
      </c>
    </row>
    <row r="697" spans="1:36" ht="12.65" customHeight="1" x14ac:dyDescent="0.35">
      <c r="A697" s="8" t="s">
        <v>139</v>
      </c>
      <c r="B697" s="8" t="s">
        <v>136</v>
      </c>
      <c r="C697" s="8" t="s">
        <v>135</v>
      </c>
      <c r="D697" s="34" t="s">
        <v>210</v>
      </c>
      <c r="E697" s="14" t="s">
        <v>211</v>
      </c>
      <c r="F697" s="28" t="s">
        <v>71</v>
      </c>
      <c r="G697" s="31" t="s">
        <v>125</v>
      </c>
      <c r="H697" s="31" t="s">
        <v>9</v>
      </c>
      <c r="I697" s="8" t="s">
        <v>344</v>
      </c>
      <c r="J697" s="8" t="s">
        <v>114</v>
      </c>
      <c r="K697" s="69" t="s">
        <v>345</v>
      </c>
      <c r="L697" s="8" t="s">
        <v>75</v>
      </c>
      <c r="M697" s="8" t="s">
        <v>107</v>
      </c>
      <c r="N697" s="8" t="s">
        <v>306</v>
      </c>
      <c r="O697" s="8" t="s">
        <v>44</v>
      </c>
      <c r="P697" s="8" t="s">
        <v>346</v>
      </c>
      <c r="Q697" s="8" t="s">
        <v>275</v>
      </c>
      <c r="R697" s="8" t="s">
        <v>1628</v>
      </c>
      <c r="S697" s="8" t="s">
        <v>247</v>
      </c>
      <c r="T697" s="14" t="s">
        <v>211</v>
      </c>
      <c r="U697" s="8" t="s">
        <v>189</v>
      </c>
      <c r="V697" s="8">
        <v>1</v>
      </c>
      <c r="W697" s="18">
        <v>0.125</v>
      </c>
      <c r="X697" s="51">
        <v>45659</v>
      </c>
      <c r="Y697" s="51">
        <v>41013</v>
      </c>
      <c r="Z697" s="28">
        <v>174</v>
      </c>
      <c r="AA697" s="16" t="s">
        <v>1701</v>
      </c>
      <c r="AB697" s="8" t="s">
        <v>293</v>
      </c>
      <c r="AC697" s="8" t="s">
        <v>291</v>
      </c>
      <c r="AD697" s="8" t="s">
        <v>134</v>
      </c>
      <c r="AE697" s="8">
        <v>3102716214</v>
      </c>
      <c r="AF697" s="8" t="s">
        <v>276</v>
      </c>
      <c r="AG697" s="8" t="s">
        <v>292</v>
      </c>
      <c r="AH697" s="51">
        <v>31631</v>
      </c>
      <c r="AI697" s="28">
        <v>40</v>
      </c>
      <c r="AJ697" s="51" t="s">
        <v>1852</v>
      </c>
    </row>
    <row r="698" spans="1:36" ht="12.65" customHeight="1" x14ac:dyDescent="0.35">
      <c r="A698" s="8" t="s">
        <v>139</v>
      </c>
      <c r="B698" s="8" t="s">
        <v>136</v>
      </c>
      <c r="C698" s="8" t="s">
        <v>135</v>
      </c>
      <c r="D698" s="34" t="s">
        <v>210</v>
      </c>
      <c r="E698" s="14" t="s">
        <v>211</v>
      </c>
      <c r="F698" s="28" t="s">
        <v>71</v>
      </c>
      <c r="G698" s="31" t="s">
        <v>125</v>
      </c>
      <c r="H698" s="31" t="s">
        <v>9</v>
      </c>
      <c r="I698" s="8" t="s">
        <v>368</v>
      </c>
      <c r="J698" s="8" t="s">
        <v>102</v>
      </c>
      <c r="K698" s="69" t="s">
        <v>369</v>
      </c>
      <c r="L698" s="8" t="s">
        <v>75</v>
      </c>
      <c r="M698" s="8" t="s">
        <v>75</v>
      </c>
      <c r="N698" s="8" t="s">
        <v>306</v>
      </c>
      <c r="O698" s="8" t="s">
        <v>29</v>
      </c>
      <c r="P698" s="8" t="s">
        <v>277</v>
      </c>
      <c r="Q698" s="8" t="s">
        <v>278</v>
      </c>
      <c r="R698" s="8" t="s">
        <v>231</v>
      </c>
      <c r="S698" s="8" t="s">
        <v>247</v>
      </c>
      <c r="T698" s="14" t="s">
        <v>211</v>
      </c>
      <c r="U698" s="8" t="s">
        <v>189</v>
      </c>
      <c r="V698" s="8">
        <v>0</v>
      </c>
      <c r="W698" s="18">
        <v>0.125</v>
      </c>
      <c r="X698" s="51">
        <v>45659</v>
      </c>
      <c r="Y698" s="51">
        <v>41013</v>
      </c>
      <c r="Z698" s="28">
        <v>174</v>
      </c>
      <c r="AA698" s="16" t="s">
        <v>1701</v>
      </c>
      <c r="AB698" s="8" t="s">
        <v>291</v>
      </c>
      <c r="AC698" s="8" t="s">
        <v>291</v>
      </c>
      <c r="AD698" s="8" t="s">
        <v>134</v>
      </c>
      <c r="AE698" s="8">
        <v>3102716214</v>
      </c>
      <c r="AF698" s="8" t="s">
        <v>276</v>
      </c>
      <c r="AG698" s="8" t="s">
        <v>292</v>
      </c>
      <c r="AH698" s="51">
        <v>31631</v>
      </c>
      <c r="AI698" s="28">
        <v>40</v>
      </c>
      <c r="AJ698" s="51" t="s">
        <v>1852</v>
      </c>
    </row>
    <row r="699" spans="1:36" ht="12.65" customHeight="1" x14ac:dyDescent="0.35">
      <c r="A699" s="8" t="s">
        <v>139</v>
      </c>
      <c r="B699" s="8" t="s">
        <v>136</v>
      </c>
      <c r="C699" s="8" t="s">
        <v>135</v>
      </c>
      <c r="D699" s="34" t="s">
        <v>210</v>
      </c>
      <c r="E699" s="14" t="s">
        <v>211</v>
      </c>
      <c r="F699" s="28" t="s">
        <v>71</v>
      </c>
      <c r="G699" s="31" t="s">
        <v>125</v>
      </c>
      <c r="H699" s="31" t="s">
        <v>9</v>
      </c>
      <c r="I699" s="8" t="s">
        <v>420</v>
      </c>
      <c r="J699" s="8" t="s">
        <v>103</v>
      </c>
      <c r="K699" s="69" t="s">
        <v>421</v>
      </c>
      <c r="L699" s="8" t="s">
        <v>75</v>
      </c>
      <c r="M699" s="8" t="s">
        <v>75</v>
      </c>
      <c r="N699" s="8" t="s">
        <v>306</v>
      </c>
      <c r="O699" s="8" t="s">
        <v>422</v>
      </c>
      <c r="P699" s="8" t="s">
        <v>423</v>
      </c>
      <c r="Q699" s="8" t="s">
        <v>278</v>
      </c>
      <c r="R699" s="8" t="s">
        <v>231</v>
      </c>
      <c r="S699" s="8" t="s">
        <v>247</v>
      </c>
      <c r="T699" s="14" t="s">
        <v>211</v>
      </c>
      <c r="U699" s="8" t="s">
        <v>189</v>
      </c>
      <c r="V699" s="8">
        <v>0</v>
      </c>
      <c r="W699" s="18">
        <v>0.125</v>
      </c>
      <c r="X699" s="51">
        <v>45659</v>
      </c>
      <c r="Y699" s="51">
        <v>41013</v>
      </c>
      <c r="Z699" s="28">
        <v>174</v>
      </c>
      <c r="AA699" s="16" t="s">
        <v>1701</v>
      </c>
      <c r="AB699" s="8" t="s">
        <v>294</v>
      </c>
      <c r="AC699" s="8" t="s">
        <v>294</v>
      </c>
      <c r="AD699" s="8" t="s">
        <v>134</v>
      </c>
      <c r="AE699" s="8">
        <v>3102716214</v>
      </c>
      <c r="AF699" s="8" t="s">
        <v>276</v>
      </c>
      <c r="AG699" s="8" t="s">
        <v>292</v>
      </c>
      <c r="AH699" s="51">
        <v>31631</v>
      </c>
      <c r="AI699" s="28">
        <v>40</v>
      </c>
      <c r="AJ699" s="51" t="s">
        <v>1852</v>
      </c>
    </row>
    <row r="700" spans="1:36" ht="12.65" customHeight="1" x14ac:dyDescent="0.35">
      <c r="A700" s="8" t="s">
        <v>139</v>
      </c>
      <c r="B700" s="8" t="s">
        <v>136</v>
      </c>
      <c r="C700" s="8" t="s">
        <v>135</v>
      </c>
      <c r="D700" s="34" t="s">
        <v>210</v>
      </c>
      <c r="E700" s="17" t="s">
        <v>211</v>
      </c>
      <c r="F700" s="52" t="s">
        <v>71</v>
      </c>
      <c r="G700" s="52" t="s">
        <v>125</v>
      </c>
      <c r="H700" s="52" t="s">
        <v>9</v>
      </c>
      <c r="I700" s="8" t="s">
        <v>944</v>
      </c>
      <c r="J700" s="8" t="s">
        <v>945</v>
      </c>
      <c r="K700" s="69" t="s">
        <v>946</v>
      </c>
      <c r="L700" s="8" t="s">
        <v>410</v>
      </c>
      <c r="M700" s="8" t="s">
        <v>410</v>
      </c>
      <c r="N700" s="8" t="s">
        <v>306</v>
      </c>
      <c r="O700" s="8" t="s">
        <v>769</v>
      </c>
      <c r="P700" s="8" t="s">
        <v>346</v>
      </c>
      <c r="Q700" s="8" t="s">
        <v>275</v>
      </c>
      <c r="R700" s="8" t="s">
        <v>231</v>
      </c>
      <c r="S700" s="8" t="s">
        <v>247</v>
      </c>
      <c r="T700" s="8" t="s">
        <v>211</v>
      </c>
      <c r="U700" s="8" t="s">
        <v>54</v>
      </c>
      <c r="V700" s="8">
        <v>0</v>
      </c>
      <c r="W700" s="18">
        <v>0.125</v>
      </c>
      <c r="X700" s="51">
        <v>45659</v>
      </c>
      <c r="Y700" s="51">
        <v>41013</v>
      </c>
      <c r="Z700" s="28">
        <v>174</v>
      </c>
      <c r="AA700" s="16" t="s">
        <v>1701</v>
      </c>
      <c r="AB700" s="8" t="s">
        <v>291</v>
      </c>
      <c r="AC700" s="8" t="s">
        <v>294</v>
      </c>
      <c r="AD700" s="8" t="s">
        <v>134</v>
      </c>
      <c r="AE700" s="8">
        <v>3102716214</v>
      </c>
      <c r="AF700" s="8" t="s">
        <v>276</v>
      </c>
      <c r="AG700" s="8" t="s">
        <v>292</v>
      </c>
      <c r="AH700" s="51">
        <v>31631</v>
      </c>
      <c r="AI700" s="28">
        <v>40</v>
      </c>
      <c r="AJ700" s="51" t="s">
        <v>1852</v>
      </c>
    </row>
    <row r="701" spans="1:36" ht="13" x14ac:dyDescent="0.35">
      <c r="A701" s="8" t="s">
        <v>139</v>
      </c>
      <c r="B701" s="8" t="s">
        <v>136</v>
      </c>
      <c r="C701" s="8" t="s">
        <v>135</v>
      </c>
      <c r="D701" s="34" t="s">
        <v>210</v>
      </c>
      <c r="E701" s="17" t="s">
        <v>211</v>
      </c>
      <c r="F701" s="31" t="s">
        <v>71</v>
      </c>
      <c r="G701" s="52" t="s">
        <v>125</v>
      </c>
      <c r="H701" s="52" t="s">
        <v>9</v>
      </c>
      <c r="I701" s="8" t="s">
        <v>446</v>
      </c>
      <c r="J701" s="8" t="s">
        <v>447</v>
      </c>
      <c r="K701" s="69" t="s">
        <v>448</v>
      </c>
      <c r="L701" s="8" t="s">
        <v>299</v>
      </c>
      <c r="M701" s="8" t="s">
        <v>299</v>
      </c>
      <c r="N701" s="8" t="s">
        <v>306</v>
      </c>
      <c r="O701" s="8" t="s">
        <v>29</v>
      </c>
      <c r="P701" s="8" t="s">
        <v>277</v>
      </c>
      <c r="Q701" s="8" t="s">
        <v>278</v>
      </c>
      <c r="R701" s="8" t="s">
        <v>231</v>
      </c>
      <c r="S701" s="8" t="s">
        <v>247</v>
      </c>
      <c r="T701" s="8" t="s">
        <v>211</v>
      </c>
      <c r="U701" s="8" t="s">
        <v>194</v>
      </c>
      <c r="V701" s="8">
        <v>0</v>
      </c>
      <c r="W701" s="18">
        <v>0.125</v>
      </c>
      <c r="X701" s="51">
        <v>45659</v>
      </c>
      <c r="Y701" s="51">
        <v>41013</v>
      </c>
      <c r="Z701" s="28">
        <v>174</v>
      </c>
      <c r="AA701" s="16" t="s">
        <v>1701</v>
      </c>
      <c r="AB701" s="8" t="s">
        <v>294</v>
      </c>
      <c r="AC701" s="8" t="s">
        <v>294</v>
      </c>
      <c r="AD701" s="8" t="s">
        <v>134</v>
      </c>
      <c r="AE701" s="8">
        <v>3102716214</v>
      </c>
      <c r="AF701" s="8" t="s">
        <v>276</v>
      </c>
      <c r="AG701" s="8" t="s">
        <v>292</v>
      </c>
      <c r="AH701" s="51">
        <v>31631</v>
      </c>
      <c r="AI701" s="28">
        <v>40</v>
      </c>
      <c r="AJ701" s="51" t="s">
        <v>1852</v>
      </c>
    </row>
    <row r="702" spans="1:36" ht="12.65" customHeight="1" x14ac:dyDescent="0.35">
      <c r="A702" s="8" t="s">
        <v>139</v>
      </c>
      <c r="B702" s="8" t="s">
        <v>136</v>
      </c>
      <c r="C702" s="8" t="s">
        <v>135</v>
      </c>
      <c r="D702" s="37" t="s">
        <v>210</v>
      </c>
      <c r="E702" s="8" t="s">
        <v>211</v>
      </c>
      <c r="F702" s="52" t="s">
        <v>71</v>
      </c>
      <c r="G702" s="52" t="s">
        <v>125</v>
      </c>
      <c r="H702" s="52" t="s">
        <v>9</v>
      </c>
      <c r="I702" s="8" t="s">
        <v>863</v>
      </c>
      <c r="J702" s="8" t="s">
        <v>45</v>
      </c>
      <c r="K702" s="69" t="s">
        <v>864</v>
      </c>
      <c r="L702" s="8" t="s">
        <v>299</v>
      </c>
      <c r="M702" s="8" t="s">
        <v>299</v>
      </c>
      <c r="N702" s="8" t="s">
        <v>306</v>
      </c>
      <c r="O702" s="8" t="s">
        <v>44</v>
      </c>
      <c r="P702" s="8" t="s">
        <v>346</v>
      </c>
      <c r="Q702" s="8" t="s">
        <v>275</v>
      </c>
      <c r="R702" s="8" t="s">
        <v>231</v>
      </c>
      <c r="S702" s="8" t="s">
        <v>247</v>
      </c>
      <c r="T702" s="8" t="s">
        <v>211</v>
      </c>
      <c r="U702" s="8" t="s">
        <v>194</v>
      </c>
      <c r="V702" s="8">
        <v>0</v>
      </c>
      <c r="W702" s="18">
        <v>0.125</v>
      </c>
      <c r="X702" s="51">
        <v>45659</v>
      </c>
      <c r="Y702" s="51">
        <v>41013</v>
      </c>
      <c r="Z702" s="28">
        <v>174</v>
      </c>
      <c r="AA702" s="16" t="s">
        <v>1701</v>
      </c>
      <c r="AB702" s="8" t="s">
        <v>294</v>
      </c>
      <c r="AC702" s="8" t="s">
        <v>291</v>
      </c>
      <c r="AD702" s="8" t="s">
        <v>134</v>
      </c>
      <c r="AE702" s="8">
        <v>3102716214</v>
      </c>
      <c r="AF702" s="8" t="s">
        <v>276</v>
      </c>
      <c r="AG702" s="8" t="s">
        <v>292</v>
      </c>
      <c r="AH702" s="51">
        <v>31631</v>
      </c>
      <c r="AI702" s="28">
        <v>40</v>
      </c>
      <c r="AJ702" s="51" t="s">
        <v>1852</v>
      </c>
    </row>
    <row r="703" spans="1:36" ht="12.65" customHeight="1" x14ac:dyDescent="0.35">
      <c r="A703" s="8" t="s">
        <v>139</v>
      </c>
      <c r="B703" s="8" t="s">
        <v>136</v>
      </c>
      <c r="C703" s="8" t="s">
        <v>135</v>
      </c>
      <c r="D703" s="37" t="s">
        <v>210</v>
      </c>
      <c r="E703" s="8" t="s">
        <v>211</v>
      </c>
      <c r="F703" s="52" t="s">
        <v>71</v>
      </c>
      <c r="G703" s="52" t="s">
        <v>125</v>
      </c>
      <c r="H703" s="52" t="s">
        <v>9</v>
      </c>
      <c r="I703" s="8" t="s">
        <v>370</v>
      </c>
      <c r="J703" s="8" t="s">
        <v>110</v>
      </c>
      <c r="K703" s="69" t="s">
        <v>371</v>
      </c>
      <c r="L703" s="8" t="s">
        <v>75</v>
      </c>
      <c r="M703" s="8" t="s">
        <v>107</v>
      </c>
      <c r="N703" s="8" t="s">
        <v>306</v>
      </c>
      <c r="O703" s="8" t="s">
        <v>29</v>
      </c>
      <c r="P703" s="8" t="s">
        <v>277</v>
      </c>
      <c r="Q703" s="8" t="s">
        <v>278</v>
      </c>
      <c r="R703" s="8" t="s">
        <v>231</v>
      </c>
      <c r="S703" s="8" t="s">
        <v>247</v>
      </c>
      <c r="T703" s="8" t="s">
        <v>211</v>
      </c>
      <c r="U703" s="8" t="s">
        <v>189</v>
      </c>
      <c r="V703" s="8">
        <v>0</v>
      </c>
      <c r="W703" s="18">
        <v>0.125</v>
      </c>
      <c r="X703" s="51">
        <v>45659</v>
      </c>
      <c r="Y703" s="51">
        <v>41013</v>
      </c>
      <c r="Z703" s="28">
        <v>174</v>
      </c>
      <c r="AA703" s="16" t="s">
        <v>1701</v>
      </c>
      <c r="AB703" s="8" t="s">
        <v>293</v>
      </c>
      <c r="AC703" s="8" t="s">
        <v>294</v>
      </c>
      <c r="AD703" s="8" t="s">
        <v>134</v>
      </c>
      <c r="AE703" s="8">
        <v>3102716214</v>
      </c>
      <c r="AF703" s="8" t="s">
        <v>276</v>
      </c>
      <c r="AG703" s="8" t="s">
        <v>292</v>
      </c>
      <c r="AH703" s="51">
        <v>31631</v>
      </c>
      <c r="AI703" s="28">
        <v>40</v>
      </c>
      <c r="AJ703" s="51" t="s">
        <v>1852</v>
      </c>
    </row>
    <row r="704" spans="1:36" ht="12.65" customHeight="1" x14ac:dyDescent="0.35">
      <c r="A704" s="8" t="s">
        <v>139</v>
      </c>
      <c r="B704" s="8" t="s">
        <v>136</v>
      </c>
      <c r="C704" s="8" t="s">
        <v>135</v>
      </c>
      <c r="D704" s="37" t="s">
        <v>210</v>
      </c>
      <c r="E704" s="8" t="s">
        <v>211</v>
      </c>
      <c r="F704" s="52" t="s">
        <v>71</v>
      </c>
      <c r="G704" s="52" t="s">
        <v>125</v>
      </c>
      <c r="H704" s="52" t="s">
        <v>9</v>
      </c>
      <c r="I704" s="8" t="s">
        <v>567</v>
      </c>
      <c r="J704" s="8" t="s">
        <v>568</v>
      </c>
      <c r="K704" s="69" t="s">
        <v>1412</v>
      </c>
      <c r="L704" s="8" t="s">
        <v>406</v>
      </c>
      <c r="M704" s="8" t="s">
        <v>456</v>
      </c>
      <c r="N704" s="8" t="s">
        <v>393</v>
      </c>
      <c r="O704" s="8" t="s">
        <v>569</v>
      </c>
      <c r="P704" s="8" t="s">
        <v>277</v>
      </c>
      <c r="Q704" s="8" t="s">
        <v>278</v>
      </c>
      <c r="R704" s="8" t="s">
        <v>231</v>
      </c>
      <c r="S704" s="8" t="s">
        <v>247</v>
      </c>
      <c r="T704" s="8" t="s">
        <v>211</v>
      </c>
      <c r="U704" s="8" t="s">
        <v>192</v>
      </c>
      <c r="V704" s="8">
        <v>0</v>
      </c>
      <c r="W704" s="18">
        <v>0.125</v>
      </c>
      <c r="X704" s="51">
        <v>45659</v>
      </c>
      <c r="Y704" s="51">
        <v>41013</v>
      </c>
      <c r="Z704" s="28">
        <v>174</v>
      </c>
      <c r="AA704" s="16" t="s">
        <v>1701</v>
      </c>
      <c r="AB704" s="8" t="s">
        <v>307</v>
      </c>
      <c r="AC704" s="8" t="s">
        <v>307</v>
      </c>
      <c r="AD704" s="8" t="s">
        <v>134</v>
      </c>
      <c r="AE704" s="8">
        <v>3102716214</v>
      </c>
      <c r="AF704" s="8" t="s">
        <v>276</v>
      </c>
      <c r="AG704" s="8" t="s">
        <v>295</v>
      </c>
      <c r="AH704" s="51">
        <v>31631</v>
      </c>
      <c r="AI704" s="28">
        <v>40</v>
      </c>
      <c r="AJ704" s="51" t="s">
        <v>1852</v>
      </c>
    </row>
    <row r="705" spans="1:38" ht="12.65" customHeight="1" x14ac:dyDescent="0.35">
      <c r="A705" s="8" t="s">
        <v>139</v>
      </c>
      <c r="B705" s="8" t="s">
        <v>136</v>
      </c>
      <c r="C705" s="8" t="s">
        <v>135</v>
      </c>
      <c r="D705" s="37" t="s">
        <v>213</v>
      </c>
      <c r="E705" s="8" t="s">
        <v>51</v>
      </c>
      <c r="F705" s="52" t="s">
        <v>71</v>
      </c>
      <c r="G705" s="52" t="s">
        <v>125</v>
      </c>
      <c r="H705" s="52" t="s">
        <v>9</v>
      </c>
      <c r="I705" s="34" t="s">
        <v>682</v>
      </c>
      <c r="J705" s="8" t="s">
        <v>683</v>
      </c>
      <c r="K705" s="69" t="s">
        <v>684</v>
      </c>
      <c r="L705" s="8" t="s">
        <v>442</v>
      </c>
      <c r="M705" s="8" t="s">
        <v>685</v>
      </c>
      <c r="N705" s="8" t="s">
        <v>393</v>
      </c>
      <c r="O705" s="8" t="s">
        <v>150</v>
      </c>
      <c r="P705" s="8" t="s">
        <v>280</v>
      </c>
      <c r="Q705" s="8" t="s">
        <v>281</v>
      </c>
      <c r="R705" s="8" t="s">
        <v>222</v>
      </c>
      <c r="S705" s="8" t="s">
        <v>237</v>
      </c>
      <c r="T705" s="8" t="s">
        <v>51</v>
      </c>
      <c r="U705" s="8" t="s">
        <v>183</v>
      </c>
      <c r="V705" s="8">
        <v>1</v>
      </c>
      <c r="W705" s="18">
        <v>8.3333333333333329E-2</v>
      </c>
      <c r="X705" s="51">
        <v>45659</v>
      </c>
      <c r="Y705" s="51">
        <v>41403</v>
      </c>
      <c r="Z705" s="28">
        <v>161</v>
      </c>
      <c r="AA705" s="16" t="s">
        <v>1701</v>
      </c>
      <c r="AB705" s="8" t="s">
        <v>307</v>
      </c>
      <c r="AC705" s="8" t="s">
        <v>307</v>
      </c>
      <c r="AD705" s="8" t="s">
        <v>134</v>
      </c>
      <c r="AE705" s="8">
        <v>3102711641</v>
      </c>
      <c r="AF705" s="8" t="s">
        <v>276</v>
      </c>
      <c r="AG705" s="8" t="s">
        <v>295</v>
      </c>
      <c r="AH705" s="51">
        <v>31116</v>
      </c>
      <c r="AI705" s="28">
        <v>41</v>
      </c>
      <c r="AJ705" s="51" t="s">
        <v>1853</v>
      </c>
    </row>
    <row r="706" spans="1:38" ht="12.65" customHeight="1" x14ac:dyDescent="0.35">
      <c r="A706" s="8" t="s">
        <v>139</v>
      </c>
      <c r="B706" s="8" t="s">
        <v>136</v>
      </c>
      <c r="C706" s="8" t="s">
        <v>135</v>
      </c>
      <c r="D706" s="37" t="s">
        <v>213</v>
      </c>
      <c r="E706" s="8" t="s">
        <v>51</v>
      </c>
      <c r="F706" s="52" t="s">
        <v>71</v>
      </c>
      <c r="G706" s="52" t="s">
        <v>125</v>
      </c>
      <c r="H706" s="52" t="s">
        <v>9</v>
      </c>
      <c r="I706" s="34" t="s">
        <v>737</v>
      </c>
      <c r="J706" s="8" t="s">
        <v>905</v>
      </c>
      <c r="K706" s="69" t="s">
        <v>738</v>
      </c>
      <c r="L706" s="8" t="s">
        <v>442</v>
      </c>
      <c r="M706" s="8" t="s">
        <v>598</v>
      </c>
      <c r="N706" s="8" t="s">
        <v>393</v>
      </c>
      <c r="O706" s="8" t="s">
        <v>150</v>
      </c>
      <c r="P706" s="8" t="s">
        <v>280</v>
      </c>
      <c r="Q706" s="8" t="s">
        <v>281</v>
      </c>
      <c r="R706" s="8" t="s">
        <v>222</v>
      </c>
      <c r="S706" s="8" t="s">
        <v>237</v>
      </c>
      <c r="T706" s="8" t="s">
        <v>51</v>
      </c>
      <c r="U706" s="8" t="s">
        <v>183</v>
      </c>
      <c r="V706" s="8">
        <v>0</v>
      </c>
      <c r="W706" s="18">
        <v>8.3333333333333329E-2</v>
      </c>
      <c r="X706" s="51">
        <v>45659</v>
      </c>
      <c r="Y706" s="51">
        <v>41403</v>
      </c>
      <c r="Z706" s="28">
        <v>161</v>
      </c>
      <c r="AA706" s="16" t="s">
        <v>1701</v>
      </c>
      <c r="AB706" s="8" t="s">
        <v>291</v>
      </c>
      <c r="AC706" s="8" t="s">
        <v>291</v>
      </c>
      <c r="AD706" s="8" t="s">
        <v>134</v>
      </c>
      <c r="AE706" s="8">
        <v>3102711641</v>
      </c>
      <c r="AF706" s="8" t="s">
        <v>276</v>
      </c>
      <c r="AG706" s="8" t="s">
        <v>292</v>
      </c>
      <c r="AH706" s="51">
        <v>31116</v>
      </c>
      <c r="AI706" s="28">
        <v>41</v>
      </c>
      <c r="AJ706" s="51" t="s">
        <v>1853</v>
      </c>
    </row>
    <row r="707" spans="1:38" ht="12.65" customHeight="1" x14ac:dyDescent="0.35">
      <c r="A707" s="8" t="s">
        <v>139</v>
      </c>
      <c r="B707" s="8" t="s">
        <v>136</v>
      </c>
      <c r="C707" s="8" t="s">
        <v>135</v>
      </c>
      <c r="D707" s="37" t="s">
        <v>213</v>
      </c>
      <c r="E707" s="8" t="s">
        <v>51</v>
      </c>
      <c r="F707" s="52" t="s">
        <v>71</v>
      </c>
      <c r="G707" s="52" t="s">
        <v>125</v>
      </c>
      <c r="H707" s="52" t="s">
        <v>9</v>
      </c>
      <c r="I707" s="34" t="s">
        <v>760</v>
      </c>
      <c r="J707" s="8" t="s">
        <v>26</v>
      </c>
      <c r="K707" s="69" t="s">
        <v>761</v>
      </c>
      <c r="L707" s="8" t="s">
        <v>442</v>
      </c>
      <c r="M707" s="8" t="s">
        <v>598</v>
      </c>
      <c r="N707" s="8" t="s">
        <v>393</v>
      </c>
      <c r="O707" s="8" t="s">
        <v>25</v>
      </c>
      <c r="P707" s="8" t="s">
        <v>280</v>
      </c>
      <c r="Q707" s="8" t="s">
        <v>281</v>
      </c>
      <c r="R707" s="8" t="s">
        <v>222</v>
      </c>
      <c r="S707" s="8" t="s">
        <v>237</v>
      </c>
      <c r="T707" s="8" t="s">
        <v>51</v>
      </c>
      <c r="U707" s="8" t="s">
        <v>183</v>
      </c>
      <c r="V707" s="8">
        <v>0</v>
      </c>
      <c r="W707" s="18">
        <v>8.3333333333333329E-2</v>
      </c>
      <c r="X707" s="51">
        <v>45659</v>
      </c>
      <c r="Y707" s="51">
        <v>41403</v>
      </c>
      <c r="Z707" s="28">
        <v>161</v>
      </c>
      <c r="AA707" s="16" t="s">
        <v>1701</v>
      </c>
      <c r="AB707" s="8" t="s">
        <v>293</v>
      </c>
      <c r="AC707" s="8" t="s">
        <v>293</v>
      </c>
      <c r="AD707" s="8" t="s">
        <v>134</v>
      </c>
      <c r="AE707" s="8">
        <v>3102711641</v>
      </c>
      <c r="AF707" s="8" t="s">
        <v>276</v>
      </c>
      <c r="AG707" s="8" t="s">
        <v>292</v>
      </c>
      <c r="AH707" s="51">
        <v>31116</v>
      </c>
      <c r="AI707" s="28">
        <v>41</v>
      </c>
      <c r="AJ707" s="51" t="s">
        <v>1853</v>
      </c>
    </row>
    <row r="708" spans="1:38" ht="12.65" customHeight="1" x14ac:dyDescent="0.35">
      <c r="A708" s="8" t="s">
        <v>139</v>
      </c>
      <c r="B708" s="8" t="s">
        <v>136</v>
      </c>
      <c r="C708" s="8" t="s">
        <v>135</v>
      </c>
      <c r="D708" s="37" t="s">
        <v>213</v>
      </c>
      <c r="E708" s="8" t="s">
        <v>51</v>
      </c>
      <c r="F708" s="52" t="s">
        <v>71</v>
      </c>
      <c r="G708" s="52" t="s">
        <v>125</v>
      </c>
      <c r="H708" s="52" t="s">
        <v>9</v>
      </c>
      <c r="I708" s="34" t="s">
        <v>1571</v>
      </c>
      <c r="J708" s="8" t="s">
        <v>1572</v>
      </c>
      <c r="K708" s="69" t="s">
        <v>738</v>
      </c>
      <c r="L708" s="8" t="s">
        <v>442</v>
      </c>
      <c r="M708" s="8" t="s">
        <v>1573</v>
      </c>
      <c r="N708" s="8" t="s">
        <v>393</v>
      </c>
      <c r="O708" s="8" t="s">
        <v>150</v>
      </c>
      <c r="P708" s="8" t="s">
        <v>280</v>
      </c>
      <c r="Q708" s="8" t="s">
        <v>281</v>
      </c>
      <c r="R708" s="8" t="s">
        <v>222</v>
      </c>
      <c r="S708" s="8" t="s">
        <v>237</v>
      </c>
      <c r="T708" s="8" t="s">
        <v>51</v>
      </c>
      <c r="U708" s="8" t="s">
        <v>183</v>
      </c>
      <c r="V708" s="8">
        <v>0</v>
      </c>
      <c r="W708" s="18">
        <v>8.3333333333333329E-2</v>
      </c>
      <c r="X708" s="51">
        <v>45659</v>
      </c>
      <c r="Y708" s="51">
        <v>41403</v>
      </c>
      <c r="Z708" s="28">
        <v>161</v>
      </c>
      <c r="AA708" s="16" t="s">
        <v>1701</v>
      </c>
      <c r="AB708" s="8" t="s">
        <v>294</v>
      </c>
      <c r="AC708" s="8" t="s">
        <v>294</v>
      </c>
      <c r="AD708" s="8" t="s">
        <v>134</v>
      </c>
      <c r="AE708" s="8">
        <v>3102711641</v>
      </c>
      <c r="AF708" s="8" t="s">
        <v>276</v>
      </c>
      <c r="AG708" s="8" t="s">
        <v>295</v>
      </c>
      <c r="AH708" s="51">
        <v>31116</v>
      </c>
      <c r="AI708" s="28">
        <v>41</v>
      </c>
      <c r="AJ708" s="51" t="s">
        <v>1853</v>
      </c>
    </row>
    <row r="709" spans="1:38" ht="12.65" customHeight="1" x14ac:dyDescent="0.35">
      <c r="A709" s="8" t="s">
        <v>139</v>
      </c>
      <c r="B709" s="8" t="s">
        <v>136</v>
      </c>
      <c r="C709" s="8" t="s">
        <v>135</v>
      </c>
      <c r="D709" s="37" t="s">
        <v>213</v>
      </c>
      <c r="E709" s="8" t="s">
        <v>51</v>
      </c>
      <c r="F709" s="52" t="s">
        <v>71</v>
      </c>
      <c r="G709" s="52" t="s">
        <v>125</v>
      </c>
      <c r="H709" s="52" t="s">
        <v>9</v>
      </c>
      <c r="I709" s="34" t="s">
        <v>1117</v>
      </c>
      <c r="J709" s="8" t="s">
        <v>1118</v>
      </c>
      <c r="K709" s="69" t="s">
        <v>1119</v>
      </c>
      <c r="L709" s="8" t="s">
        <v>442</v>
      </c>
      <c r="M709" s="8" t="s">
        <v>598</v>
      </c>
      <c r="N709" s="8" t="s">
        <v>393</v>
      </c>
      <c r="O709" s="8" t="s">
        <v>1120</v>
      </c>
      <c r="P709" s="8" t="s">
        <v>280</v>
      </c>
      <c r="Q709" s="8" t="s">
        <v>281</v>
      </c>
      <c r="R709" s="8" t="s">
        <v>222</v>
      </c>
      <c r="S709" s="8" t="s">
        <v>237</v>
      </c>
      <c r="T709" s="8" t="s">
        <v>51</v>
      </c>
      <c r="U709" s="8" t="s">
        <v>183</v>
      </c>
      <c r="V709" s="8">
        <v>0</v>
      </c>
      <c r="W709" s="18">
        <v>8.3333333333333329E-2</v>
      </c>
      <c r="X709" s="51">
        <v>45659</v>
      </c>
      <c r="Y709" s="51">
        <v>41403</v>
      </c>
      <c r="Z709" s="28">
        <v>161</v>
      </c>
      <c r="AA709" s="16" t="s">
        <v>1701</v>
      </c>
      <c r="AB709" s="8" t="s">
        <v>291</v>
      </c>
      <c r="AC709" s="8" t="s">
        <v>291</v>
      </c>
      <c r="AD709" s="8" t="s">
        <v>134</v>
      </c>
      <c r="AE709" s="8">
        <v>3102711641</v>
      </c>
      <c r="AF709" s="8" t="s">
        <v>276</v>
      </c>
      <c r="AG709" s="8" t="s">
        <v>295</v>
      </c>
      <c r="AH709" s="51">
        <v>31116</v>
      </c>
      <c r="AI709" s="28">
        <v>41</v>
      </c>
      <c r="AJ709" s="51" t="s">
        <v>1853</v>
      </c>
    </row>
    <row r="710" spans="1:38" ht="12.65" customHeight="1" x14ac:dyDescent="0.35">
      <c r="A710" s="8" t="s">
        <v>139</v>
      </c>
      <c r="B710" s="8" t="s">
        <v>136</v>
      </c>
      <c r="C710" s="8" t="s">
        <v>135</v>
      </c>
      <c r="D710" s="37" t="s">
        <v>213</v>
      </c>
      <c r="E710" s="8" t="s">
        <v>51</v>
      </c>
      <c r="F710" s="52" t="s">
        <v>71</v>
      </c>
      <c r="G710" s="52" t="s">
        <v>125</v>
      </c>
      <c r="H710" s="52" t="s">
        <v>9</v>
      </c>
      <c r="I710" s="34" t="s">
        <v>595</v>
      </c>
      <c r="J710" s="8" t="s">
        <v>596</v>
      </c>
      <c r="K710" s="69" t="s">
        <v>597</v>
      </c>
      <c r="L710" s="8" t="s">
        <v>442</v>
      </c>
      <c r="M710" s="8" t="s">
        <v>598</v>
      </c>
      <c r="N710" s="8" t="s">
        <v>393</v>
      </c>
      <c r="O710" s="8" t="s">
        <v>150</v>
      </c>
      <c r="P710" s="8" t="s">
        <v>280</v>
      </c>
      <c r="Q710" s="8" t="s">
        <v>281</v>
      </c>
      <c r="R710" s="8" t="s">
        <v>222</v>
      </c>
      <c r="S710" s="8" t="s">
        <v>237</v>
      </c>
      <c r="T710" s="8" t="s">
        <v>51</v>
      </c>
      <c r="U710" s="8" t="s">
        <v>183</v>
      </c>
      <c r="V710" s="8">
        <v>0</v>
      </c>
      <c r="W710" s="18">
        <v>8.3333333333333329E-2</v>
      </c>
      <c r="X710" s="51">
        <v>45659</v>
      </c>
      <c r="Y710" s="51">
        <v>41403</v>
      </c>
      <c r="Z710" s="28">
        <v>161</v>
      </c>
      <c r="AA710" s="16" t="s">
        <v>1701</v>
      </c>
      <c r="AB710" s="8" t="s">
        <v>294</v>
      </c>
      <c r="AC710" s="8" t="s">
        <v>294</v>
      </c>
      <c r="AD710" s="8" t="s">
        <v>134</v>
      </c>
      <c r="AE710" s="8">
        <v>3102711641</v>
      </c>
      <c r="AF710" s="8" t="s">
        <v>276</v>
      </c>
      <c r="AG710" s="8" t="s">
        <v>292</v>
      </c>
      <c r="AH710" s="51">
        <v>31116</v>
      </c>
      <c r="AI710" s="28">
        <v>41</v>
      </c>
      <c r="AJ710" s="51" t="s">
        <v>1853</v>
      </c>
    </row>
    <row r="711" spans="1:38" ht="12.65" customHeight="1" x14ac:dyDescent="0.35">
      <c r="A711" s="8" t="s">
        <v>139</v>
      </c>
      <c r="B711" s="8" t="s">
        <v>136</v>
      </c>
      <c r="C711" s="8" t="s">
        <v>135</v>
      </c>
      <c r="D711" s="37" t="s">
        <v>213</v>
      </c>
      <c r="E711" s="8" t="s">
        <v>51</v>
      </c>
      <c r="F711" s="52" t="s">
        <v>71</v>
      </c>
      <c r="G711" s="52" t="s">
        <v>125</v>
      </c>
      <c r="H711" s="52" t="s">
        <v>9</v>
      </c>
      <c r="I711" s="34" t="s">
        <v>833</v>
      </c>
      <c r="J711" s="8" t="s">
        <v>834</v>
      </c>
      <c r="K711" s="69" t="s">
        <v>835</v>
      </c>
      <c r="L711" s="8" t="s">
        <v>442</v>
      </c>
      <c r="M711" s="8" t="s">
        <v>598</v>
      </c>
      <c r="N711" s="8" t="s">
        <v>393</v>
      </c>
      <c r="O711" s="8" t="s">
        <v>25</v>
      </c>
      <c r="P711" s="8" t="s">
        <v>280</v>
      </c>
      <c r="Q711" s="8" t="s">
        <v>281</v>
      </c>
      <c r="R711" s="8" t="s">
        <v>222</v>
      </c>
      <c r="S711" s="8" t="s">
        <v>237</v>
      </c>
      <c r="T711" s="8" t="s">
        <v>51</v>
      </c>
      <c r="U711" s="8" t="s">
        <v>183</v>
      </c>
      <c r="V711" s="8">
        <v>0</v>
      </c>
      <c r="W711" s="18">
        <v>8.3333333333333329E-2</v>
      </c>
      <c r="X711" s="51">
        <v>45659</v>
      </c>
      <c r="Y711" s="51">
        <v>41403</v>
      </c>
      <c r="Z711" s="28">
        <v>161</v>
      </c>
      <c r="AA711" s="16" t="s">
        <v>1701</v>
      </c>
      <c r="AB711" s="8" t="s">
        <v>291</v>
      </c>
      <c r="AC711" s="8" t="s">
        <v>291</v>
      </c>
      <c r="AD711" s="8" t="s">
        <v>134</v>
      </c>
      <c r="AE711" s="8">
        <v>3102711641</v>
      </c>
      <c r="AF711" s="8" t="s">
        <v>276</v>
      </c>
      <c r="AG711" s="8" t="s">
        <v>292</v>
      </c>
      <c r="AH711" s="51">
        <v>31116</v>
      </c>
      <c r="AI711" s="28">
        <v>41</v>
      </c>
      <c r="AJ711" s="51" t="s">
        <v>1853</v>
      </c>
    </row>
    <row r="712" spans="1:38" ht="12.65" customHeight="1" x14ac:dyDescent="0.35">
      <c r="A712" s="8" t="s">
        <v>139</v>
      </c>
      <c r="B712" s="8" t="s">
        <v>136</v>
      </c>
      <c r="C712" s="8" t="s">
        <v>135</v>
      </c>
      <c r="D712" s="37" t="s">
        <v>213</v>
      </c>
      <c r="E712" s="8" t="s">
        <v>51</v>
      </c>
      <c r="F712" s="52" t="s">
        <v>71</v>
      </c>
      <c r="G712" s="52" t="s">
        <v>125</v>
      </c>
      <c r="H712" s="52" t="s">
        <v>9</v>
      </c>
      <c r="I712" s="34" t="s">
        <v>595</v>
      </c>
      <c r="J712" s="8" t="s">
        <v>596</v>
      </c>
      <c r="K712" s="69" t="s">
        <v>597</v>
      </c>
      <c r="L712" s="8" t="s">
        <v>442</v>
      </c>
      <c r="M712" s="8" t="s">
        <v>598</v>
      </c>
      <c r="N712" s="8" t="s">
        <v>393</v>
      </c>
      <c r="O712" s="8" t="s">
        <v>150</v>
      </c>
      <c r="P712" s="8" t="s">
        <v>280</v>
      </c>
      <c r="Q712" s="8" t="s">
        <v>281</v>
      </c>
      <c r="R712" s="8" t="s">
        <v>222</v>
      </c>
      <c r="S712" s="8" t="s">
        <v>237</v>
      </c>
      <c r="T712" s="8" t="s">
        <v>51</v>
      </c>
      <c r="U712" s="8" t="s">
        <v>183</v>
      </c>
      <c r="V712" s="8">
        <v>0</v>
      </c>
      <c r="W712" s="18">
        <v>8.3333333333333329E-2</v>
      </c>
      <c r="X712" s="51">
        <v>45659</v>
      </c>
      <c r="Y712" s="51">
        <v>41403</v>
      </c>
      <c r="Z712" s="28">
        <v>161</v>
      </c>
      <c r="AA712" s="16" t="s">
        <v>1701</v>
      </c>
      <c r="AB712" s="8" t="s">
        <v>294</v>
      </c>
      <c r="AC712" s="8" t="s">
        <v>294</v>
      </c>
      <c r="AD712" s="8" t="s">
        <v>134</v>
      </c>
      <c r="AE712" s="8">
        <v>3102711641</v>
      </c>
      <c r="AF712" s="8" t="s">
        <v>276</v>
      </c>
      <c r="AG712" s="8" t="s">
        <v>292</v>
      </c>
      <c r="AH712" s="51">
        <v>31116</v>
      </c>
      <c r="AI712" s="28">
        <v>41</v>
      </c>
      <c r="AJ712" s="51" t="s">
        <v>1853</v>
      </c>
    </row>
    <row r="713" spans="1:38" ht="12.65" customHeight="1" x14ac:dyDescent="0.35">
      <c r="A713" s="8" t="s">
        <v>139</v>
      </c>
      <c r="B713" s="8" t="s">
        <v>136</v>
      </c>
      <c r="C713" s="8" t="s">
        <v>135</v>
      </c>
      <c r="D713" s="37" t="s">
        <v>213</v>
      </c>
      <c r="E713" s="8" t="s">
        <v>51</v>
      </c>
      <c r="F713" s="52" t="s">
        <v>71</v>
      </c>
      <c r="G713" s="52" t="s">
        <v>125</v>
      </c>
      <c r="H713" s="52" t="s">
        <v>9</v>
      </c>
      <c r="I713" s="34" t="s">
        <v>833</v>
      </c>
      <c r="J713" s="8" t="s">
        <v>834</v>
      </c>
      <c r="K713" s="69" t="s">
        <v>835</v>
      </c>
      <c r="L713" s="8" t="s">
        <v>442</v>
      </c>
      <c r="M713" s="8" t="s">
        <v>598</v>
      </c>
      <c r="N713" s="8" t="s">
        <v>393</v>
      </c>
      <c r="O713" s="8" t="s">
        <v>25</v>
      </c>
      <c r="P713" s="8" t="s">
        <v>280</v>
      </c>
      <c r="Q713" s="8" t="s">
        <v>281</v>
      </c>
      <c r="R713" s="8" t="s">
        <v>222</v>
      </c>
      <c r="S713" s="8" t="s">
        <v>237</v>
      </c>
      <c r="T713" s="8" t="s">
        <v>51</v>
      </c>
      <c r="U713" s="8" t="s">
        <v>183</v>
      </c>
      <c r="V713" s="8">
        <v>0</v>
      </c>
      <c r="W713" s="18">
        <v>8.3333333333333329E-2</v>
      </c>
      <c r="X713" s="51">
        <v>45659</v>
      </c>
      <c r="Y713" s="51">
        <v>41403</v>
      </c>
      <c r="Z713" s="28">
        <v>161</v>
      </c>
      <c r="AA713" s="16" t="s">
        <v>1701</v>
      </c>
      <c r="AB713" s="8" t="s">
        <v>291</v>
      </c>
      <c r="AC713" s="8" t="s">
        <v>291</v>
      </c>
      <c r="AD713" s="8" t="s">
        <v>134</v>
      </c>
      <c r="AE713" s="8">
        <v>3102711641</v>
      </c>
      <c r="AF713" s="8" t="s">
        <v>276</v>
      </c>
      <c r="AG713" s="8" t="s">
        <v>292</v>
      </c>
      <c r="AH713" s="51">
        <v>31116</v>
      </c>
      <c r="AI713" s="28">
        <v>41</v>
      </c>
      <c r="AJ713" s="51" t="s">
        <v>1853</v>
      </c>
    </row>
    <row r="714" spans="1:38" ht="12.65" customHeight="1" x14ac:dyDescent="0.35">
      <c r="A714" s="8" t="s">
        <v>139</v>
      </c>
      <c r="B714" s="8" t="s">
        <v>136</v>
      </c>
      <c r="C714" s="8" t="s">
        <v>135</v>
      </c>
      <c r="D714" s="37" t="s">
        <v>213</v>
      </c>
      <c r="E714" s="8" t="s">
        <v>51</v>
      </c>
      <c r="F714" s="52" t="s">
        <v>71</v>
      </c>
      <c r="G714" s="52" t="s">
        <v>125</v>
      </c>
      <c r="H714" s="52" t="s">
        <v>9</v>
      </c>
      <c r="I714" s="34" t="s">
        <v>737</v>
      </c>
      <c r="J714" s="8" t="s">
        <v>905</v>
      </c>
      <c r="K714" s="69" t="s">
        <v>738</v>
      </c>
      <c r="L714" s="8" t="s">
        <v>442</v>
      </c>
      <c r="M714" s="8" t="s">
        <v>598</v>
      </c>
      <c r="N714" s="8" t="s">
        <v>393</v>
      </c>
      <c r="O714" s="8" t="s">
        <v>150</v>
      </c>
      <c r="P714" s="8" t="s">
        <v>280</v>
      </c>
      <c r="Q714" s="8" t="s">
        <v>281</v>
      </c>
      <c r="R714" s="8" t="s">
        <v>222</v>
      </c>
      <c r="S714" s="8" t="s">
        <v>237</v>
      </c>
      <c r="T714" s="8" t="s">
        <v>51</v>
      </c>
      <c r="U714" s="8" t="s">
        <v>183</v>
      </c>
      <c r="V714" s="8">
        <v>0</v>
      </c>
      <c r="W714" s="18">
        <v>8.3333333333333329E-2</v>
      </c>
      <c r="X714" s="51">
        <v>45659</v>
      </c>
      <c r="Y714" s="51">
        <v>41403</v>
      </c>
      <c r="Z714" s="28">
        <v>161</v>
      </c>
      <c r="AA714" s="16" t="s">
        <v>1701</v>
      </c>
      <c r="AB714" s="8" t="s">
        <v>291</v>
      </c>
      <c r="AC714" s="8" t="s">
        <v>291</v>
      </c>
      <c r="AD714" s="8" t="s">
        <v>134</v>
      </c>
      <c r="AE714" s="8">
        <v>3102711641</v>
      </c>
      <c r="AF714" s="8" t="s">
        <v>276</v>
      </c>
      <c r="AG714" s="8" t="s">
        <v>292</v>
      </c>
      <c r="AH714" s="51">
        <v>31116</v>
      </c>
      <c r="AI714" s="28">
        <v>41</v>
      </c>
      <c r="AJ714" s="51" t="s">
        <v>1853</v>
      </c>
    </row>
    <row r="715" spans="1:38" ht="12.65" customHeight="1" x14ac:dyDescent="0.35">
      <c r="A715" s="8" t="s">
        <v>139</v>
      </c>
      <c r="B715" s="8" t="s">
        <v>136</v>
      </c>
      <c r="C715" s="8" t="s">
        <v>135</v>
      </c>
      <c r="D715" s="37" t="s">
        <v>213</v>
      </c>
      <c r="E715" s="8" t="s">
        <v>51</v>
      </c>
      <c r="F715" s="52" t="s">
        <v>71</v>
      </c>
      <c r="G715" s="52" t="s">
        <v>125</v>
      </c>
      <c r="H715" s="52" t="s">
        <v>9</v>
      </c>
      <c r="I715" s="34" t="s">
        <v>595</v>
      </c>
      <c r="J715" s="8" t="s">
        <v>596</v>
      </c>
      <c r="K715" s="69" t="s">
        <v>597</v>
      </c>
      <c r="L715" s="8" t="s">
        <v>442</v>
      </c>
      <c r="M715" s="8" t="s">
        <v>598</v>
      </c>
      <c r="N715" s="8" t="s">
        <v>393</v>
      </c>
      <c r="O715" s="8" t="s">
        <v>150</v>
      </c>
      <c r="P715" s="8" t="s">
        <v>280</v>
      </c>
      <c r="Q715" s="8" t="s">
        <v>281</v>
      </c>
      <c r="R715" s="8" t="s">
        <v>222</v>
      </c>
      <c r="S715" s="8" t="s">
        <v>237</v>
      </c>
      <c r="T715" s="8" t="s">
        <v>51</v>
      </c>
      <c r="U715" s="8" t="s">
        <v>183</v>
      </c>
      <c r="V715" s="8">
        <v>0</v>
      </c>
      <c r="W715" s="18">
        <v>8.3333333333333329E-2</v>
      </c>
      <c r="X715" s="51">
        <v>45659</v>
      </c>
      <c r="Y715" s="51">
        <v>41403</v>
      </c>
      <c r="Z715" s="28">
        <v>161</v>
      </c>
      <c r="AA715" s="16" t="s">
        <v>1701</v>
      </c>
      <c r="AB715" s="8" t="s">
        <v>294</v>
      </c>
      <c r="AC715" s="8" t="s">
        <v>294</v>
      </c>
      <c r="AD715" s="8" t="s">
        <v>134</v>
      </c>
      <c r="AE715" s="8">
        <v>3102711641</v>
      </c>
      <c r="AF715" s="8" t="s">
        <v>276</v>
      </c>
      <c r="AG715" s="8" t="s">
        <v>292</v>
      </c>
      <c r="AH715" s="51">
        <v>31116</v>
      </c>
      <c r="AI715" s="28">
        <v>41</v>
      </c>
      <c r="AJ715" s="51" t="s">
        <v>1853</v>
      </c>
    </row>
    <row r="716" spans="1:38" ht="12.65" customHeight="1" x14ac:dyDescent="0.35">
      <c r="A716" s="8" t="s">
        <v>139</v>
      </c>
      <c r="B716" s="8" t="s">
        <v>136</v>
      </c>
      <c r="C716" s="8" t="s">
        <v>135</v>
      </c>
      <c r="D716" s="37" t="s">
        <v>213</v>
      </c>
      <c r="E716" s="8" t="s">
        <v>51</v>
      </c>
      <c r="F716" s="52" t="s">
        <v>71</v>
      </c>
      <c r="G716" s="52" t="s">
        <v>125</v>
      </c>
      <c r="H716" s="52" t="s">
        <v>9</v>
      </c>
      <c r="I716" s="34" t="s">
        <v>737</v>
      </c>
      <c r="J716" s="8" t="s">
        <v>905</v>
      </c>
      <c r="K716" s="69" t="s">
        <v>738</v>
      </c>
      <c r="L716" s="8" t="s">
        <v>442</v>
      </c>
      <c r="M716" s="8" t="s">
        <v>598</v>
      </c>
      <c r="N716" s="8" t="s">
        <v>393</v>
      </c>
      <c r="O716" s="8" t="s">
        <v>150</v>
      </c>
      <c r="P716" s="8" t="s">
        <v>280</v>
      </c>
      <c r="Q716" s="8" t="s">
        <v>281</v>
      </c>
      <c r="R716" s="8" t="s">
        <v>222</v>
      </c>
      <c r="S716" s="8" t="s">
        <v>237</v>
      </c>
      <c r="T716" s="8" t="s">
        <v>51</v>
      </c>
      <c r="U716" s="8" t="s">
        <v>183</v>
      </c>
      <c r="V716" s="8">
        <v>0</v>
      </c>
      <c r="W716" s="18">
        <v>8.3333333333333329E-2</v>
      </c>
      <c r="X716" s="51">
        <v>45659</v>
      </c>
      <c r="Y716" s="51">
        <v>41403</v>
      </c>
      <c r="Z716" s="28">
        <v>161</v>
      </c>
      <c r="AA716" s="16" t="s">
        <v>1701</v>
      </c>
      <c r="AB716" s="8" t="s">
        <v>291</v>
      </c>
      <c r="AC716" s="8" t="s">
        <v>291</v>
      </c>
      <c r="AD716" s="8" t="s">
        <v>134</v>
      </c>
      <c r="AE716" s="8">
        <v>3102711641</v>
      </c>
      <c r="AF716" s="8" t="s">
        <v>276</v>
      </c>
      <c r="AG716" s="8" t="s">
        <v>292</v>
      </c>
      <c r="AH716" s="51">
        <v>31116</v>
      </c>
      <c r="AI716" s="28">
        <v>41</v>
      </c>
      <c r="AJ716" s="51" t="s">
        <v>1853</v>
      </c>
    </row>
    <row r="717" spans="1:38" ht="12.5" customHeight="1" x14ac:dyDescent="0.35">
      <c r="A717" s="8" t="s">
        <v>139</v>
      </c>
      <c r="B717" s="8" t="s">
        <v>136</v>
      </c>
      <c r="C717" s="8" t="s">
        <v>135</v>
      </c>
      <c r="D717" s="37" t="s">
        <v>236</v>
      </c>
      <c r="E717" s="8" t="s">
        <v>237</v>
      </c>
      <c r="F717" s="17" t="s">
        <v>62</v>
      </c>
      <c r="G717" s="17" t="s">
        <v>239</v>
      </c>
      <c r="H717" s="17" t="s">
        <v>9</v>
      </c>
      <c r="I717" s="34" t="s">
        <v>14</v>
      </c>
      <c r="J717" s="8" t="s">
        <v>14</v>
      </c>
      <c r="K717" s="69" t="s">
        <v>14</v>
      </c>
      <c r="L717" s="8" t="s">
        <v>14</v>
      </c>
      <c r="M717" s="8" t="s">
        <v>14</v>
      </c>
      <c r="N717" s="8" t="s">
        <v>14</v>
      </c>
      <c r="O717" s="8" t="s">
        <v>13</v>
      </c>
      <c r="P717" s="8" t="s">
        <v>285</v>
      </c>
      <c r="Q717" s="8" t="s">
        <v>285</v>
      </c>
      <c r="R717" s="8" t="s">
        <v>14</v>
      </c>
      <c r="S717" s="8" t="s">
        <v>237</v>
      </c>
      <c r="T717" s="8" t="s">
        <v>219</v>
      </c>
      <c r="U717" s="8" t="s">
        <v>219</v>
      </c>
      <c r="V717" s="8">
        <v>1</v>
      </c>
      <c r="W717" s="18">
        <v>1</v>
      </c>
      <c r="X717" s="16">
        <v>45659</v>
      </c>
      <c r="Y717" s="16">
        <v>45659</v>
      </c>
      <c r="Z717" s="28">
        <v>21</v>
      </c>
      <c r="AA717" s="16" t="s">
        <v>1700</v>
      </c>
      <c r="AB717" s="8" t="s">
        <v>14</v>
      </c>
      <c r="AC717" s="8" t="s">
        <v>14</v>
      </c>
      <c r="AD717" s="8" t="s">
        <v>137</v>
      </c>
      <c r="AE717" s="8">
        <v>3102645315</v>
      </c>
      <c r="AF717" s="8" t="s">
        <v>276</v>
      </c>
      <c r="AG717" s="19" t="s">
        <v>14</v>
      </c>
      <c r="AH717" s="51">
        <v>32417</v>
      </c>
      <c r="AI717" s="28">
        <v>38</v>
      </c>
      <c r="AJ717" s="51" t="s">
        <v>1853</v>
      </c>
    </row>
    <row r="718" spans="1:38" ht="12.5" customHeight="1" x14ac:dyDescent="0.35">
      <c r="A718" s="8" t="s">
        <v>139</v>
      </c>
      <c r="B718" s="8" t="s">
        <v>136</v>
      </c>
      <c r="C718" s="8" t="s">
        <v>135</v>
      </c>
      <c r="D718" s="37" t="s">
        <v>246</v>
      </c>
      <c r="E718" s="8" t="s">
        <v>247</v>
      </c>
      <c r="F718" s="17" t="s">
        <v>62</v>
      </c>
      <c r="G718" s="17" t="s">
        <v>239</v>
      </c>
      <c r="H718" s="17" t="s">
        <v>9</v>
      </c>
      <c r="I718" s="34" t="s">
        <v>14</v>
      </c>
      <c r="J718" s="8" t="s">
        <v>14</v>
      </c>
      <c r="K718" s="69" t="s">
        <v>14</v>
      </c>
      <c r="L718" s="8" t="s">
        <v>14</v>
      </c>
      <c r="M718" s="8" t="s">
        <v>14</v>
      </c>
      <c r="N718" s="8" t="s">
        <v>14</v>
      </c>
      <c r="O718" s="8" t="s">
        <v>11</v>
      </c>
      <c r="P718" s="8" t="s">
        <v>274</v>
      </c>
      <c r="Q718" s="8" t="s">
        <v>275</v>
      </c>
      <c r="R718" s="8" t="s">
        <v>14</v>
      </c>
      <c r="S718" s="8" t="s">
        <v>247</v>
      </c>
      <c r="T718" s="8" t="s">
        <v>219</v>
      </c>
      <c r="U718" s="8" t="s">
        <v>219</v>
      </c>
      <c r="V718" s="8">
        <v>1</v>
      </c>
      <c r="W718" s="18">
        <v>1</v>
      </c>
      <c r="X718" s="16">
        <v>45971</v>
      </c>
      <c r="Y718" s="16">
        <v>44966</v>
      </c>
      <c r="Z718" s="28">
        <v>44</v>
      </c>
      <c r="AA718" s="16" t="s">
        <v>1701</v>
      </c>
      <c r="AB718" s="8" t="s">
        <v>14</v>
      </c>
      <c r="AC718" s="8" t="s">
        <v>14</v>
      </c>
      <c r="AD718" s="8" t="s">
        <v>134</v>
      </c>
      <c r="AE718" s="8">
        <v>3102692553</v>
      </c>
      <c r="AF718" s="8" t="s">
        <v>276</v>
      </c>
      <c r="AG718" s="19" t="s">
        <v>14</v>
      </c>
      <c r="AH718" s="51">
        <v>36256</v>
      </c>
      <c r="AI718" s="28">
        <v>27</v>
      </c>
      <c r="AJ718" s="51" t="s">
        <v>1852</v>
      </c>
    </row>
    <row r="719" spans="1:38" ht="12.5" customHeight="1" x14ac:dyDescent="0.35">
      <c r="A719" s="8" t="s">
        <v>139</v>
      </c>
      <c r="B719" s="8" t="s">
        <v>136</v>
      </c>
      <c r="C719" s="8" t="s">
        <v>135</v>
      </c>
      <c r="D719" s="17" t="s">
        <v>240</v>
      </c>
      <c r="E719" s="17" t="s">
        <v>241</v>
      </c>
      <c r="F719" s="17" t="s">
        <v>62</v>
      </c>
      <c r="G719" s="17" t="s">
        <v>239</v>
      </c>
      <c r="H719" s="17" t="s">
        <v>9</v>
      </c>
      <c r="I719" s="34" t="s">
        <v>14</v>
      </c>
      <c r="J719" s="8" t="s">
        <v>14</v>
      </c>
      <c r="K719" s="69" t="s">
        <v>14</v>
      </c>
      <c r="L719" s="8" t="s">
        <v>14</v>
      </c>
      <c r="M719" s="8" t="s">
        <v>14</v>
      </c>
      <c r="N719" s="8" t="s">
        <v>14</v>
      </c>
      <c r="O719" s="8" t="s">
        <v>146</v>
      </c>
      <c r="P719" s="8" t="s">
        <v>283</v>
      </c>
      <c r="Q719" s="8" t="s">
        <v>326</v>
      </c>
      <c r="R719" s="8" t="s">
        <v>14</v>
      </c>
      <c r="S719" s="8" t="s">
        <v>241</v>
      </c>
      <c r="T719" s="8" t="s">
        <v>219</v>
      </c>
      <c r="U719" s="8" t="s">
        <v>219</v>
      </c>
      <c r="V719" s="8">
        <v>1</v>
      </c>
      <c r="W719" s="18">
        <v>1</v>
      </c>
      <c r="X719" s="16">
        <v>45885</v>
      </c>
      <c r="Y719" s="16">
        <v>45120</v>
      </c>
      <c r="Z719" s="28">
        <v>39</v>
      </c>
      <c r="AA719" s="16" t="s">
        <v>1701</v>
      </c>
      <c r="AB719" s="8" t="s">
        <v>14</v>
      </c>
      <c r="AC719" s="8" t="s">
        <v>14</v>
      </c>
      <c r="AD719" s="8" t="s">
        <v>134</v>
      </c>
      <c r="AE719" s="45">
        <v>3102696044</v>
      </c>
      <c r="AF719" s="55" t="s">
        <v>276</v>
      </c>
      <c r="AG719" s="19" t="s">
        <v>14</v>
      </c>
      <c r="AH719" s="51">
        <v>35314</v>
      </c>
      <c r="AI719" s="28">
        <v>30</v>
      </c>
      <c r="AJ719" s="51" t="s">
        <v>1853</v>
      </c>
    </row>
    <row r="720" spans="1:38" ht="12.5" customHeight="1" x14ac:dyDescent="0.3">
      <c r="A720" s="8"/>
      <c r="B720" s="8"/>
      <c r="C720" s="8"/>
      <c r="D720" s="8"/>
      <c r="E720" s="8"/>
      <c r="F720" s="8"/>
      <c r="G720" s="8"/>
      <c r="H720" s="8"/>
      <c r="I720" s="34"/>
      <c r="J720" s="8"/>
      <c r="K720" s="15"/>
      <c r="L720" s="8"/>
      <c r="M720" s="8"/>
      <c r="N720" s="8"/>
      <c r="O720" s="7"/>
      <c r="P720" s="7"/>
      <c r="Q720" s="7"/>
      <c r="R720" s="8"/>
      <c r="S720" s="8"/>
      <c r="T720" s="8"/>
      <c r="U720" s="8"/>
      <c r="V720" s="8"/>
      <c r="W720" s="8"/>
      <c r="X720" s="8"/>
      <c r="Y720" s="18"/>
      <c r="Z720" s="51"/>
      <c r="AA720" s="51"/>
      <c r="AB720" s="28"/>
      <c r="AC720" s="16"/>
      <c r="AD720" s="8"/>
      <c r="AE720" s="8"/>
      <c r="AF720" s="8"/>
      <c r="AG720" s="8"/>
      <c r="AH720" s="8"/>
      <c r="AI720" s="19"/>
      <c r="AJ720" s="51"/>
      <c r="AK720" s="28"/>
      <c r="AL720" s="51"/>
    </row>
    <row r="721" spans="10:11" ht="16.5" customHeight="1" x14ac:dyDescent="0.4">
      <c r="K721" s="79"/>
    </row>
    <row r="723" spans="10:11" ht="16.5" customHeight="1" x14ac:dyDescent="0.4">
      <c r="J723" s="79"/>
    </row>
  </sheetData>
  <phoneticPr fontId="4" type="noConversion"/>
  <conditionalFormatting sqref="B209:B210 B223:B224 B245:B250 B252 B279:B280 B307 B382 B389 B396:B397">
    <cfRule type="expression" dxfId="393" priority="5654">
      <formula>AND(B209="CUPO APOYO TABLET")</formula>
    </cfRule>
  </conditionalFormatting>
  <conditionalFormatting sqref="B1:C1">
    <cfRule type="cellIs" dxfId="392" priority="7146" operator="equal">
      <formula>"CUPO FLEX"</formula>
    </cfRule>
    <cfRule type="expression" dxfId="391" priority="7145">
      <formula>AND(B1="CUPO FLEX")</formula>
    </cfRule>
  </conditionalFormatting>
  <conditionalFormatting sqref="B2:C33 B34:B49 C34:C57 B51:B57 B58:C61 B62:B69 C62:C91 B70:C70 B71:B81 B82:C83 B92:C187 B188:B189 C188:C193 B194:C208 C209:C210 B211:C222 C223:C224 B225:C244 C245:C252 B253:C278 C279:C285 B284:B285 B286:C306 B314:C381 B390:C395 B398:C577 C578:C590 B591:C699 B701:C718">
    <cfRule type="expression" dxfId="390" priority="4261">
      <formula>AND(B2="CUPO APOYO TABLET")</formula>
    </cfRule>
  </conditionalFormatting>
  <conditionalFormatting sqref="B50:C50 B84:B90 B191:B193 B282 B309:B313 C382 B383:C388 C389 C396:C397 B578:B590">
    <cfRule type="expression" dxfId="389" priority="4248">
      <formula>AND(B50="CUPO APOYO TABLET")</formula>
    </cfRule>
  </conditionalFormatting>
  <conditionalFormatting sqref="C307:C313">
    <cfRule type="expression" dxfId="388" priority="1070">
      <formula>AND(C307="CUPO APOYO TABLET")</formula>
    </cfRule>
  </conditionalFormatting>
  <conditionalFormatting sqref="C700">
    <cfRule type="expression" dxfId="387" priority="4130">
      <formula>AND(C700="CUPO APOYO TABLET")</formula>
    </cfRule>
  </conditionalFormatting>
  <conditionalFormatting sqref="D1:D1048576">
    <cfRule type="duplicateValues" dxfId="386" priority="3337"/>
  </conditionalFormatting>
  <conditionalFormatting sqref="D3">
    <cfRule type="duplicateValues" dxfId="385" priority="2769"/>
    <cfRule type="duplicateValues" dxfId="384" priority="2770"/>
  </conditionalFormatting>
  <conditionalFormatting sqref="D7">
    <cfRule type="duplicateValues" dxfId="383" priority="1268"/>
    <cfRule type="duplicateValues" dxfId="382" priority="1267"/>
  </conditionalFormatting>
  <conditionalFormatting sqref="D10:D12">
    <cfRule type="duplicateValues" dxfId="381" priority="17721"/>
    <cfRule type="duplicateValues" dxfId="380" priority="17720"/>
  </conditionalFormatting>
  <conditionalFormatting sqref="D12">
    <cfRule type="duplicateValues" dxfId="379" priority="6063"/>
  </conditionalFormatting>
  <conditionalFormatting sqref="D13">
    <cfRule type="duplicateValues" dxfId="378" priority="4343"/>
  </conditionalFormatting>
  <conditionalFormatting sqref="D14">
    <cfRule type="duplicateValues" dxfId="377" priority="5788"/>
  </conditionalFormatting>
  <conditionalFormatting sqref="D27">
    <cfRule type="duplicateValues" dxfId="376" priority="238"/>
    <cfRule type="duplicateValues" dxfId="375" priority="239"/>
  </conditionalFormatting>
  <conditionalFormatting sqref="D28">
    <cfRule type="duplicateValues" dxfId="374" priority="237"/>
    <cfRule type="duplicateValues" dxfId="373" priority="236"/>
  </conditionalFormatting>
  <conditionalFormatting sqref="D29:D30">
    <cfRule type="duplicateValues" dxfId="372" priority="2621"/>
    <cfRule type="duplicateValues" dxfId="371" priority="2620"/>
  </conditionalFormatting>
  <conditionalFormatting sqref="D32:D34">
    <cfRule type="duplicateValues" dxfId="370" priority="3105"/>
    <cfRule type="duplicateValues" dxfId="369" priority="3106"/>
  </conditionalFormatting>
  <conditionalFormatting sqref="D35">
    <cfRule type="duplicateValues" dxfId="368" priority="768"/>
    <cfRule type="duplicateValues" dxfId="367" priority="769"/>
  </conditionalFormatting>
  <conditionalFormatting sqref="D37">
    <cfRule type="duplicateValues" dxfId="366" priority="261"/>
    <cfRule type="duplicateValues" dxfId="365" priority="259"/>
    <cfRule type="duplicateValues" dxfId="364" priority="260"/>
  </conditionalFormatting>
  <conditionalFormatting sqref="D38">
    <cfRule type="duplicateValues" dxfId="363" priority="4335"/>
  </conditionalFormatting>
  <conditionalFormatting sqref="D39">
    <cfRule type="duplicateValues" dxfId="362" priority="4376"/>
  </conditionalFormatting>
  <conditionalFormatting sqref="D41">
    <cfRule type="duplicateValues" dxfId="361" priority="762"/>
    <cfRule type="duplicateValues" dxfId="360" priority="761"/>
  </conditionalFormatting>
  <conditionalFormatting sqref="D42">
    <cfRule type="duplicateValues" dxfId="359" priority="759"/>
    <cfRule type="duplicateValues" dxfId="358" priority="760"/>
  </conditionalFormatting>
  <conditionalFormatting sqref="D43">
    <cfRule type="duplicateValues" dxfId="357" priority="1736"/>
    <cfRule type="duplicateValues" dxfId="356" priority="1735"/>
  </conditionalFormatting>
  <conditionalFormatting sqref="D44">
    <cfRule type="duplicateValues" dxfId="355" priority="1657"/>
    <cfRule type="duplicateValues" dxfId="354" priority="1658"/>
  </conditionalFormatting>
  <conditionalFormatting sqref="D45">
    <cfRule type="duplicateValues" dxfId="353" priority="2100"/>
    <cfRule type="duplicateValues" dxfId="352" priority="2099"/>
  </conditionalFormatting>
  <conditionalFormatting sqref="D46">
    <cfRule type="duplicateValues" dxfId="351" priority="1266"/>
    <cfRule type="duplicateValues" dxfId="350" priority="1265"/>
    <cfRule type="duplicateValues" dxfId="349" priority="1264"/>
  </conditionalFormatting>
  <conditionalFormatting sqref="D47">
    <cfRule type="duplicateValues" dxfId="348" priority="2542"/>
    <cfRule type="duplicateValues" dxfId="347" priority="2543"/>
  </conditionalFormatting>
  <conditionalFormatting sqref="D48">
    <cfRule type="duplicateValues" dxfId="346" priority="1460"/>
    <cfRule type="duplicateValues" dxfId="345" priority="1461"/>
  </conditionalFormatting>
  <conditionalFormatting sqref="D49">
    <cfRule type="duplicateValues" dxfId="344" priority="160"/>
    <cfRule type="duplicateValues" dxfId="343" priority="161"/>
  </conditionalFormatting>
  <conditionalFormatting sqref="D50">
    <cfRule type="duplicateValues" dxfId="342" priority="1459"/>
    <cfRule type="duplicateValues" dxfId="341" priority="1458"/>
  </conditionalFormatting>
  <conditionalFormatting sqref="D51">
    <cfRule type="duplicateValues" dxfId="340" priority="2617"/>
  </conditionalFormatting>
  <conditionalFormatting sqref="D52">
    <cfRule type="duplicateValues" dxfId="339" priority="41"/>
  </conditionalFormatting>
  <conditionalFormatting sqref="D53">
    <cfRule type="duplicateValues" dxfId="338" priority="451"/>
  </conditionalFormatting>
  <conditionalFormatting sqref="D65">
    <cfRule type="duplicateValues" dxfId="337" priority="805"/>
    <cfRule type="duplicateValues" dxfId="336" priority="806"/>
  </conditionalFormatting>
  <conditionalFormatting sqref="D69">
    <cfRule type="duplicateValues" dxfId="335" priority="2547"/>
    <cfRule type="duplicateValues" dxfId="334" priority="2546"/>
  </conditionalFormatting>
  <conditionalFormatting sqref="D71">
    <cfRule type="duplicateValues" dxfId="333" priority="2631"/>
    <cfRule type="duplicateValues" dxfId="332" priority="2632"/>
  </conditionalFormatting>
  <conditionalFormatting sqref="D72">
    <cfRule type="duplicateValues" dxfId="331" priority="3112"/>
    <cfRule type="duplicateValues" dxfId="330" priority="3111"/>
  </conditionalFormatting>
  <conditionalFormatting sqref="D73">
    <cfRule type="duplicateValues" dxfId="329" priority="3892"/>
    <cfRule type="duplicateValues" dxfId="328" priority="3893"/>
  </conditionalFormatting>
  <conditionalFormatting sqref="D75">
    <cfRule type="duplicateValues" dxfId="327" priority="1839"/>
    <cfRule type="duplicateValues" dxfId="326" priority="1840"/>
  </conditionalFormatting>
  <conditionalFormatting sqref="D76">
    <cfRule type="duplicateValues" dxfId="325" priority="2628"/>
  </conditionalFormatting>
  <conditionalFormatting sqref="D77">
    <cfRule type="duplicateValues" dxfId="324" priority="2533"/>
  </conditionalFormatting>
  <conditionalFormatting sqref="D78">
    <cfRule type="duplicateValues" dxfId="323" priority="3550"/>
    <cfRule type="duplicateValues" dxfId="322" priority="3549"/>
  </conditionalFormatting>
  <conditionalFormatting sqref="D79">
    <cfRule type="duplicateValues" dxfId="321" priority="531"/>
  </conditionalFormatting>
  <conditionalFormatting sqref="D80">
    <cfRule type="duplicateValues" dxfId="320" priority="2625"/>
  </conditionalFormatting>
  <conditionalFormatting sqref="D82">
    <cfRule type="duplicateValues" dxfId="319" priority="690"/>
  </conditionalFormatting>
  <conditionalFormatting sqref="D83">
    <cfRule type="duplicateValues" dxfId="318" priority="689"/>
  </conditionalFormatting>
  <conditionalFormatting sqref="D84">
    <cfRule type="duplicateValues" dxfId="317" priority="688"/>
  </conditionalFormatting>
  <conditionalFormatting sqref="D88">
    <cfRule type="duplicateValues" dxfId="316" priority="2004"/>
    <cfRule type="duplicateValues" dxfId="315" priority="2005"/>
  </conditionalFormatting>
  <conditionalFormatting sqref="D89">
    <cfRule type="duplicateValues" dxfId="314" priority="1406"/>
    <cfRule type="duplicateValues" dxfId="313" priority="1407"/>
  </conditionalFormatting>
  <conditionalFormatting sqref="D90">
    <cfRule type="duplicateValues" dxfId="312" priority="5120"/>
  </conditionalFormatting>
  <conditionalFormatting sqref="D91">
    <cfRule type="duplicateValues" dxfId="311" priority="3612"/>
    <cfRule type="duplicateValues" dxfId="310" priority="3613"/>
  </conditionalFormatting>
  <conditionalFormatting sqref="D92">
    <cfRule type="duplicateValues" dxfId="309" priority="263"/>
    <cfRule type="duplicateValues" dxfId="308" priority="262"/>
  </conditionalFormatting>
  <conditionalFormatting sqref="D93:D94">
    <cfRule type="duplicateValues" dxfId="307" priority="3725"/>
    <cfRule type="duplicateValues" dxfId="306" priority="3724"/>
  </conditionalFormatting>
  <conditionalFormatting sqref="D95">
    <cfRule type="duplicateValues" dxfId="305" priority="1832"/>
    <cfRule type="duplicateValues" dxfId="304" priority="1833"/>
  </conditionalFormatting>
  <conditionalFormatting sqref="D96">
    <cfRule type="duplicateValues" dxfId="303" priority="433"/>
    <cfRule type="duplicateValues" dxfId="302" priority="432"/>
  </conditionalFormatting>
  <conditionalFormatting sqref="D97">
    <cfRule type="duplicateValues" dxfId="301" priority="2037"/>
  </conditionalFormatting>
  <conditionalFormatting sqref="D98">
    <cfRule type="duplicateValues" dxfId="300" priority="2758"/>
    <cfRule type="duplicateValues" dxfId="299" priority="2757"/>
  </conditionalFormatting>
  <conditionalFormatting sqref="D99">
    <cfRule type="duplicateValues" dxfId="298" priority="334"/>
    <cfRule type="duplicateValues" dxfId="297" priority="333"/>
  </conditionalFormatting>
  <conditionalFormatting sqref="D101:D102">
    <cfRule type="duplicateValues" dxfId="296" priority="4681"/>
  </conditionalFormatting>
  <conditionalFormatting sqref="D103">
    <cfRule type="duplicateValues" dxfId="295" priority="2111"/>
    <cfRule type="duplicateValues" dxfId="294" priority="2112"/>
  </conditionalFormatting>
  <conditionalFormatting sqref="D104">
    <cfRule type="duplicateValues" dxfId="293" priority="2579"/>
    <cfRule type="duplicateValues" dxfId="292" priority="2578"/>
  </conditionalFormatting>
  <conditionalFormatting sqref="D105">
    <cfRule type="duplicateValues" dxfId="291" priority="2715"/>
    <cfRule type="duplicateValues" dxfId="290" priority="2716"/>
  </conditionalFormatting>
  <conditionalFormatting sqref="D107">
    <cfRule type="duplicateValues" dxfId="289" priority="2713"/>
    <cfRule type="duplicateValues" dxfId="288" priority="2714"/>
  </conditionalFormatting>
  <conditionalFormatting sqref="D111">
    <cfRule type="duplicateValues" dxfId="287" priority="2537"/>
    <cfRule type="duplicateValues" dxfId="286" priority="2536"/>
  </conditionalFormatting>
  <conditionalFormatting sqref="D112">
    <cfRule type="duplicateValues" dxfId="285" priority="3784"/>
    <cfRule type="duplicateValues" dxfId="284" priority="3785"/>
  </conditionalFormatting>
  <conditionalFormatting sqref="D114">
    <cfRule type="duplicateValues" dxfId="283" priority="2252"/>
    <cfRule type="duplicateValues" dxfId="282" priority="2253"/>
  </conditionalFormatting>
  <conditionalFormatting sqref="D115">
    <cfRule type="duplicateValues" dxfId="281" priority="2999"/>
    <cfRule type="duplicateValues" dxfId="280" priority="3000"/>
  </conditionalFormatting>
  <conditionalFormatting sqref="D117">
    <cfRule type="duplicateValues" dxfId="279" priority="21"/>
    <cfRule type="duplicateValues" dxfId="278" priority="22"/>
  </conditionalFormatting>
  <conditionalFormatting sqref="D118">
    <cfRule type="duplicateValues" dxfId="277" priority="20"/>
    <cfRule type="duplicateValues" dxfId="276" priority="19"/>
  </conditionalFormatting>
  <conditionalFormatting sqref="D119">
    <cfRule type="duplicateValues" dxfId="275" priority="335"/>
    <cfRule type="duplicateValues" dxfId="274" priority="336"/>
  </conditionalFormatting>
  <conditionalFormatting sqref="D120">
    <cfRule type="duplicateValues" dxfId="273" priority="2983"/>
    <cfRule type="duplicateValues" dxfId="272" priority="2982"/>
  </conditionalFormatting>
  <conditionalFormatting sqref="D121">
    <cfRule type="duplicateValues" dxfId="271" priority="1881"/>
    <cfRule type="duplicateValues" dxfId="270" priority="1882"/>
  </conditionalFormatting>
  <conditionalFormatting sqref="D123">
    <cfRule type="duplicateValues" dxfId="269" priority="4096"/>
    <cfRule type="duplicateValues" dxfId="268" priority="4095"/>
  </conditionalFormatting>
  <conditionalFormatting sqref="D127">
    <cfRule type="duplicateValues" dxfId="267" priority="443"/>
    <cfRule type="duplicateValues" dxfId="266" priority="444"/>
  </conditionalFormatting>
  <conditionalFormatting sqref="D128:D129">
    <cfRule type="duplicateValues" dxfId="265" priority="1999"/>
    <cfRule type="duplicateValues" dxfId="264" priority="1998"/>
  </conditionalFormatting>
  <conditionalFormatting sqref="D130">
    <cfRule type="duplicateValues" dxfId="263" priority="1443"/>
    <cfRule type="duplicateValues" dxfId="262" priority="1444"/>
  </conditionalFormatting>
  <conditionalFormatting sqref="D133">
    <cfRule type="duplicateValues" dxfId="261" priority="573"/>
    <cfRule type="duplicateValues" dxfId="260" priority="572"/>
  </conditionalFormatting>
  <conditionalFormatting sqref="D134:D135">
    <cfRule type="duplicateValues" dxfId="259" priority="2087"/>
    <cfRule type="duplicateValues" dxfId="258" priority="2088"/>
  </conditionalFormatting>
  <conditionalFormatting sqref="D136">
    <cfRule type="duplicateValues" dxfId="257" priority="4105"/>
    <cfRule type="duplicateValues" dxfId="256" priority="4104"/>
  </conditionalFormatting>
  <conditionalFormatting sqref="D138">
    <cfRule type="duplicateValues" dxfId="255" priority="2135"/>
    <cfRule type="duplicateValues" dxfId="254" priority="2136"/>
  </conditionalFormatting>
  <conditionalFormatting sqref="D139">
    <cfRule type="duplicateValues" dxfId="253" priority="318"/>
    <cfRule type="duplicateValues" dxfId="252" priority="319"/>
  </conditionalFormatting>
  <conditionalFormatting sqref="D140">
    <cfRule type="duplicateValues" dxfId="251" priority="2591"/>
    <cfRule type="duplicateValues" dxfId="250" priority="2590"/>
  </conditionalFormatting>
  <conditionalFormatting sqref="D141">
    <cfRule type="duplicateValues" dxfId="249" priority="2622"/>
    <cfRule type="duplicateValues" dxfId="248" priority="2623"/>
  </conditionalFormatting>
  <conditionalFormatting sqref="D142">
    <cfRule type="duplicateValues" dxfId="247" priority="4291"/>
  </conditionalFormatting>
  <conditionalFormatting sqref="D143">
    <cfRule type="duplicateValues" dxfId="246" priority="343"/>
  </conditionalFormatting>
  <conditionalFormatting sqref="D144">
    <cfRule type="duplicateValues" dxfId="245" priority="4784"/>
  </conditionalFormatting>
  <conditionalFormatting sqref="D146">
    <cfRule type="duplicateValues" dxfId="244" priority="4780"/>
  </conditionalFormatting>
  <conditionalFormatting sqref="D147">
    <cfRule type="duplicateValues" dxfId="243" priority="733"/>
    <cfRule type="duplicateValues" dxfId="242" priority="734"/>
    <cfRule type="duplicateValues" dxfId="241" priority="735"/>
    <cfRule type="duplicateValues" dxfId="240" priority="736"/>
  </conditionalFormatting>
  <conditionalFormatting sqref="D149">
    <cfRule type="duplicateValues" dxfId="239" priority="1501"/>
    <cfRule type="duplicateValues" dxfId="238" priority="1502"/>
  </conditionalFormatting>
  <conditionalFormatting sqref="D151:D152">
    <cfRule type="duplicateValues" dxfId="237" priority="17781"/>
  </conditionalFormatting>
  <conditionalFormatting sqref="D153">
    <cfRule type="duplicateValues" dxfId="236" priority="25"/>
    <cfRule type="duplicateValues" dxfId="235" priority="26"/>
  </conditionalFormatting>
  <conditionalFormatting sqref="D154">
    <cfRule type="duplicateValues" dxfId="234" priority="24"/>
    <cfRule type="duplicateValues" dxfId="233" priority="23"/>
  </conditionalFormatting>
  <conditionalFormatting sqref="D156">
    <cfRule type="duplicateValues" dxfId="232" priority="3452"/>
  </conditionalFormatting>
  <conditionalFormatting sqref="D159">
    <cfRule type="duplicateValues" dxfId="231" priority="3249"/>
    <cfRule type="duplicateValues" dxfId="230" priority="3250"/>
  </conditionalFormatting>
  <conditionalFormatting sqref="D160">
    <cfRule type="duplicateValues" dxfId="229" priority="2972"/>
    <cfRule type="duplicateValues" dxfId="228" priority="2973"/>
  </conditionalFormatting>
  <conditionalFormatting sqref="D161">
    <cfRule type="duplicateValues" dxfId="227" priority="2234"/>
    <cfRule type="duplicateValues" dxfId="226" priority="2235"/>
    <cfRule type="duplicateValues" dxfId="225" priority="2236"/>
    <cfRule type="duplicateValues" dxfId="224" priority="2233"/>
  </conditionalFormatting>
  <conditionalFormatting sqref="D162">
    <cfRule type="duplicateValues" dxfId="223" priority="168"/>
    <cfRule type="duplicateValues" dxfId="222" priority="169"/>
  </conditionalFormatting>
  <conditionalFormatting sqref="D162:D1048576 D1:D160">
    <cfRule type="duplicateValues" dxfId="221" priority="14372"/>
  </conditionalFormatting>
  <conditionalFormatting sqref="D164">
    <cfRule type="duplicateValues" dxfId="220" priority="1529"/>
    <cfRule type="duplicateValues" dxfId="219" priority="1530"/>
  </conditionalFormatting>
  <conditionalFormatting sqref="D165:D168">
    <cfRule type="duplicateValues" dxfId="218" priority="17939"/>
    <cfRule type="duplicateValues" dxfId="217" priority="17940"/>
  </conditionalFormatting>
  <conditionalFormatting sqref="D170">
    <cfRule type="duplicateValues" dxfId="216" priority="17846"/>
  </conditionalFormatting>
  <conditionalFormatting sqref="D171">
    <cfRule type="duplicateValues" dxfId="215" priority="2405"/>
    <cfRule type="duplicateValues" dxfId="214" priority="2404"/>
  </conditionalFormatting>
  <conditionalFormatting sqref="D172">
    <cfRule type="duplicateValues" dxfId="213" priority="796"/>
    <cfRule type="duplicateValues" dxfId="212" priority="797"/>
  </conditionalFormatting>
  <conditionalFormatting sqref="D174">
    <cfRule type="duplicateValues" dxfId="211" priority="1841"/>
    <cfRule type="duplicateValues" dxfId="210" priority="1842"/>
  </conditionalFormatting>
  <conditionalFormatting sqref="D175">
    <cfRule type="duplicateValues" dxfId="209" priority="5045"/>
  </conditionalFormatting>
  <conditionalFormatting sqref="D176">
    <cfRule type="duplicateValues" dxfId="208" priority="5104"/>
  </conditionalFormatting>
  <conditionalFormatting sqref="D180">
    <cfRule type="duplicateValues" dxfId="207" priority="18102"/>
  </conditionalFormatting>
  <conditionalFormatting sqref="D181">
    <cfRule type="duplicateValues" dxfId="206" priority="2368"/>
    <cfRule type="duplicateValues" dxfId="205" priority="2369"/>
  </conditionalFormatting>
  <conditionalFormatting sqref="D183:D185">
    <cfRule type="duplicateValues" dxfId="204" priority="2366"/>
    <cfRule type="duplicateValues" dxfId="203" priority="2367"/>
  </conditionalFormatting>
  <conditionalFormatting sqref="D187">
    <cfRule type="duplicateValues" dxfId="202" priority="773"/>
    <cfRule type="duplicateValues" dxfId="201" priority="772"/>
  </conditionalFormatting>
  <conditionalFormatting sqref="D188">
    <cfRule type="duplicateValues" dxfId="200" priority="771"/>
    <cfRule type="duplicateValues" dxfId="199" priority="770"/>
  </conditionalFormatting>
  <conditionalFormatting sqref="D189">
    <cfRule type="duplicateValues" dxfId="198" priority="3541"/>
    <cfRule type="duplicateValues" dxfId="197" priority="3542"/>
  </conditionalFormatting>
  <conditionalFormatting sqref="D194">
    <cfRule type="duplicateValues" dxfId="196" priority="18734"/>
    <cfRule type="duplicateValues" dxfId="195" priority="18735"/>
  </conditionalFormatting>
  <conditionalFormatting sqref="D195">
    <cfRule type="duplicateValues" dxfId="194" priority="767"/>
    <cfRule type="duplicateValues" dxfId="193" priority="765"/>
    <cfRule type="duplicateValues" dxfId="192" priority="766"/>
  </conditionalFormatting>
  <conditionalFormatting sqref="D196">
    <cfRule type="duplicateValues" dxfId="191" priority="179"/>
    <cfRule type="duplicateValues" dxfId="190" priority="178"/>
  </conditionalFormatting>
  <conditionalFormatting sqref="D197">
    <cfRule type="duplicateValues" dxfId="189" priority="3365"/>
  </conditionalFormatting>
  <conditionalFormatting sqref="D198">
    <cfRule type="duplicateValues" dxfId="188" priority="1836"/>
  </conditionalFormatting>
  <conditionalFormatting sqref="D199">
    <cfRule type="duplicateValues" dxfId="187" priority="176"/>
    <cfRule type="duplicateValues" dxfId="186" priority="177"/>
  </conditionalFormatting>
  <conditionalFormatting sqref="D201:D202">
    <cfRule type="duplicateValues" dxfId="185" priority="931"/>
  </conditionalFormatting>
  <conditionalFormatting sqref="D202">
    <cfRule type="duplicateValues" dxfId="184" priority="930"/>
  </conditionalFormatting>
  <conditionalFormatting sqref="D203">
    <cfRule type="duplicateValues" dxfId="183" priority="338"/>
    <cfRule type="duplicateValues" dxfId="182" priority="337"/>
  </conditionalFormatting>
  <conditionalFormatting sqref="D205">
    <cfRule type="duplicateValues" dxfId="181" priority="4156"/>
    <cfRule type="duplicateValues" dxfId="180" priority="4155"/>
  </conditionalFormatting>
  <conditionalFormatting sqref="D207">
    <cfRule type="duplicateValues" dxfId="179" priority="5370"/>
  </conditionalFormatting>
  <conditionalFormatting sqref="D208">
    <cfRule type="duplicateValues" dxfId="178" priority="2397"/>
  </conditionalFormatting>
  <conditionalFormatting sqref="D212">
    <cfRule type="duplicateValues" dxfId="177" priority="2221"/>
    <cfRule type="duplicateValues" dxfId="176" priority="2222"/>
  </conditionalFormatting>
  <conditionalFormatting sqref="D213">
    <cfRule type="duplicateValues" dxfId="175" priority="4564"/>
  </conditionalFormatting>
  <conditionalFormatting sqref="D214">
    <cfRule type="duplicateValues" dxfId="174" priority="2048"/>
    <cfRule type="duplicateValues" dxfId="173" priority="2049"/>
  </conditionalFormatting>
  <conditionalFormatting sqref="D216">
    <cfRule type="duplicateValues" dxfId="172" priority="17901"/>
    <cfRule type="duplicateValues" dxfId="171" priority="17902"/>
  </conditionalFormatting>
  <conditionalFormatting sqref="D218">
    <cfRule type="duplicateValues" dxfId="170" priority="1535"/>
    <cfRule type="duplicateValues" dxfId="169" priority="1536"/>
  </conditionalFormatting>
  <conditionalFormatting sqref="D221">
    <cfRule type="duplicateValues" dxfId="168" priority="3305"/>
    <cfRule type="duplicateValues" dxfId="167" priority="3306"/>
  </conditionalFormatting>
  <conditionalFormatting sqref="D224">
    <cfRule type="duplicateValues" dxfId="166" priority="257"/>
  </conditionalFormatting>
  <conditionalFormatting sqref="D227">
    <cfRule type="duplicateValues" dxfId="165" priority="29"/>
    <cfRule type="duplicateValues" dxfId="164" priority="30"/>
  </conditionalFormatting>
  <conditionalFormatting sqref="D228">
    <cfRule type="duplicateValues" dxfId="163" priority="27"/>
    <cfRule type="duplicateValues" dxfId="162" priority="28"/>
  </conditionalFormatting>
  <conditionalFormatting sqref="D232">
    <cfRule type="duplicateValues" dxfId="161" priority="2793"/>
    <cfRule type="duplicateValues" dxfId="160" priority="2792"/>
  </conditionalFormatting>
  <conditionalFormatting sqref="D236">
    <cfRule type="duplicateValues" dxfId="159" priority="241"/>
  </conditionalFormatting>
  <conditionalFormatting sqref="D237">
    <cfRule type="duplicateValues" dxfId="158" priority="240"/>
  </conditionalFormatting>
  <conditionalFormatting sqref="D238">
    <cfRule type="duplicateValues" dxfId="157" priority="4578"/>
  </conditionalFormatting>
  <conditionalFormatting sqref="D239">
    <cfRule type="duplicateValues" dxfId="156" priority="763"/>
    <cfRule type="duplicateValues" dxfId="155" priority="764"/>
  </conditionalFormatting>
  <conditionalFormatting sqref="D240">
    <cfRule type="duplicateValues" dxfId="154" priority="3219"/>
    <cfRule type="duplicateValues" dxfId="153" priority="3220"/>
  </conditionalFormatting>
  <conditionalFormatting sqref="D241">
    <cfRule type="duplicateValues" dxfId="152" priority="170"/>
    <cfRule type="duplicateValues" dxfId="151" priority="171"/>
  </conditionalFormatting>
  <conditionalFormatting sqref="D245">
    <cfRule type="duplicateValues" dxfId="150" priority="2785"/>
    <cfRule type="duplicateValues" dxfId="149" priority="2784"/>
  </conditionalFormatting>
  <conditionalFormatting sqref="D246">
    <cfRule type="duplicateValues" dxfId="148" priority="2034"/>
  </conditionalFormatting>
  <conditionalFormatting sqref="D247">
    <cfRule type="duplicateValues" dxfId="147" priority="3094"/>
    <cfRule type="duplicateValues" dxfId="146" priority="3095"/>
  </conditionalFormatting>
  <conditionalFormatting sqref="D249">
    <cfRule type="duplicateValues" dxfId="145" priority="3891"/>
    <cfRule type="duplicateValues" dxfId="144" priority="3890"/>
  </conditionalFormatting>
  <conditionalFormatting sqref="D250">
    <cfRule type="duplicateValues" dxfId="143" priority="5148"/>
  </conditionalFormatting>
  <conditionalFormatting sqref="D251">
    <cfRule type="duplicateValues" dxfId="142" priority="18116"/>
  </conditionalFormatting>
  <conditionalFormatting sqref="D256">
    <cfRule type="duplicateValues" dxfId="141" priority="2071"/>
    <cfRule type="duplicateValues" dxfId="140" priority="2070"/>
  </conditionalFormatting>
  <conditionalFormatting sqref="D257">
    <cfRule type="duplicateValues" dxfId="139" priority="2069"/>
    <cfRule type="duplicateValues" dxfId="138" priority="2068"/>
  </conditionalFormatting>
  <conditionalFormatting sqref="D258">
    <cfRule type="duplicateValues" dxfId="137" priority="5068"/>
    <cfRule type="duplicateValues" dxfId="136" priority="5069"/>
    <cfRule type="duplicateValues" dxfId="135" priority="5067"/>
  </conditionalFormatting>
  <conditionalFormatting sqref="D259">
    <cfRule type="duplicateValues" dxfId="134" priority="5086"/>
  </conditionalFormatting>
  <conditionalFormatting sqref="D262">
    <cfRule type="duplicateValues" dxfId="133" priority="3465"/>
    <cfRule type="duplicateValues" dxfId="132" priority="3466"/>
  </conditionalFormatting>
  <conditionalFormatting sqref="D263">
    <cfRule type="duplicateValues" dxfId="131" priority="43"/>
    <cfRule type="duplicateValues" dxfId="130" priority="42"/>
  </conditionalFormatting>
  <conditionalFormatting sqref="D264">
    <cfRule type="duplicateValues" dxfId="129" priority="3764"/>
    <cfRule type="duplicateValues" dxfId="128" priority="3765"/>
  </conditionalFormatting>
  <conditionalFormatting sqref="D272">
    <cfRule type="duplicateValues" dxfId="127" priority="4618"/>
  </conditionalFormatting>
  <conditionalFormatting sqref="D273">
    <cfRule type="duplicateValues" dxfId="126" priority="807"/>
  </conditionalFormatting>
  <conditionalFormatting sqref="D277">
    <cfRule type="duplicateValues" dxfId="125" priority="17859"/>
    <cfRule type="duplicateValues" dxfId="124" priority="17860"/>
  </conditionalFormatting>
  <conditionalFormatting sqref="D283">
    <cfRule type="duplicateValues" dxfId="123" priority="1533"/>
    <cfRule type="duplicateValues" dxfId="122" priority="1534"/>
  </conditionalFormatting>
  <conditionalFormatting sqref="D284">
    <cfRule type="duplicateValues" dxfId="121" priority="340"/>
    <cfRule type="duplicateValues" dxfId="120" priority="339"/>
  </conditionalFormatting>
  <conditionalFormatting sqref="D285">
    <cfRule type="duplicateValues" dxfId="119" priority="2589"/>
    <cfRule type="duplicateValues" dxfId="118" priority="2588"/>
  </conditionalFormatting>
  <conditionalFormatting sqref="D286:D287">
    <cfRule type="duplicateValues" dxfId="117" priority="2586"/>
    <cfRule type="duplicateValues" dxfId="116" priority="2587"/>
  </conditionalFormatting>
  <conditionalFormatting sqref="D291">
    <cfRule type="duplicateValues" dxfId="115" priority="5504"/>
    <cfRule type="duplicateValues" dxfId="114" priority="5503"/>
    <cfRule type="duplicateValues" dxfId="113" priority="5502"/>
  </conditionalFormatting>
  <conditionalFormatting sqref="D295">
    <cfRule type="duplicateValues" dxfId="112" priority="1527"/>
    <cfRule type="duplicateValues" dxfId="111" priority="1528"/>
  </conditionalFormatting>
  <conditionalFormatting sqref="D296">
    <cfRule type="duplicateValues" dxfId="110" priority="795"/>
  </conditionalFormatting>
  <conditionalFormatting sqref="D299">
    <cfRule type="duplicateValues" dxfId="109" priority="342"/>
    <cfRule type="duplicateValues" dxfId="108" priority="341"/>
  </conditionalFormatting>
  <conditionalFormatting sqref="D300">
    <cfRule type="duplicateValues" dxfId="107" priority="5979"/>
  </conditionalFormatting>
  <conditionalFormatting sqref="D303:D304">
    <cfRule type="duplicateValues" dxfId="106" priority="4271"/>
  </conditionalFormatting>
  <conditionalFormatting sqref="D305">
    <cfRule type="duplicateValues" dxfId="105" priority="17873"/>
    <cfRule type="duplicateValues" dxfId="104" priority="17874"/>
  </conditionalFormatting>
  <conditionalFormatting sqref="D306:D307">
    <cfRule type="duplicateValues" dxfId="103" priority="3741"/>
    <cfRule type="duplicateValues" dxfId="102" priority="3742"/>
  </conditionalFormatting>
  <conditionalFormatting sqref="D309">
    <cfRule type="duplicateValues" dxfId="101" priority="2698"/>
    <cfRule type="duplicateValues" dxfId="100" priority="2699"/>
  </conditionalFormatting>
  <conditionalFormatting sqref="D311:D312">
    <cfRule type="duplicateValues" dxfId="99" priority="3017"/>
    <cfRule type="duplicateValues" dxfId="98" priority="3018"/>
  </conditionalFormatting>
  <conditionalFormatting sqref="D314:D316">
    <cfRule type="duplicateValues" dxfId="97" priority="458"/>
    <cfRule type="duplicateValues" dxfId="96" priority="459"/>
  </conditionalFormatting>
  <conditionalFormatting sqref="D315">
    <cfRule type="duplicateValues" dxfId="95" priority="456"/>
    <cfRule type="duplicateValues" dxfId="94" priority="457"/>
  </conditionalFormatting>
  <conditionalFormatting sqref="D316">
    <cfRule type="duplicateValues" dxfId="93" priority="454"/>
    <cfRule type="duplicateValues" dxfId="92" priority="455"/>
  </conditionalFormatting>
  <conditionalFormatting sqref="D320">
    <cfRule type="duplicateValues" dxfId="91" priority="1463"/>
    <cfRule type="duplicateValues" dxfId="90" priority="1462"/>
  </conditionalFormatting>
  <conditionalFormatting sqref="D321">
    <cfRule type="duplicateValues" dxfId="89" priority="174"/>
    <cfRule type="duplicateValues" dxfId="88" priority="175"/>
  </conditionalFormatting>
  <conditionalFormatting sqref="D323">
    <cfRule type="duplicateValues" dxfId="87" priority="2787"/>
    <cfRule type="duplicateValues" dxfId="86" priority="2786"/>
  </conditionalFormatting>
  <conditionalFormatting sqref="D335">
    <cfRule type="duplicateValues" dxfId="85" priority="4018"/>
    <cfRule type="duplicateValues" dxfId="84" priority="4019"/>
  </conditionalFormatting>
  <conditionalFormatting sqref="D337">
    <cfRule type="duplicateValues" dxfId="83" priority="5087"/>
  </conditionalFormatting>
  <conditionalFormatting sqref="D339">
    <cfRule type="duplicateValues" dxfId="82" priority="2791"/>
    <cfRule type="duplicateValues" dxfId="81" priority="2790"/>
  </conditionalFormatting>
  <conditionalFormatting sqref="D342">
    <cfRule type="duplicateValues" dxfId="80" priority="45"/>
    <cfRule type="duplicateValues" dxfId="79" priority="44"/>
  </conditionalFormatting>
  <conditionalFormatting sqref="D344">
    <cfRule type="duplicateValues" dxfId="78" priority="1634"/>
    <cfRule type="duplicateValues" dxfId="77" priority="1633"/>
  </conditionalFormatting>
  <conditionalFormatting sqref="D345">
    <cfRule type="duplicateValues" dxfId="76" priority="2028"/>
    <cfRule type="duplicateValues" dxfId="75" priority="2029"/>
  </conditionalFormatting>
  <conditionalFormatting sqref="D347">
    <cfRule type="duplicateValues" dxfId="74" priority="1426"/>
    <cfRule type="duplicateValues" dxfId="73" priority="1427"/>
  </conditionalFormatting>
  <conditionalFormatting sqref="D348">
    <cfRule type="duplicateValues" dxfId="72" priority="2954"/>
    <cfRule type="duplicateValues" dxfId="71" priority="2955"/>
  </conditionalFormatting>
  <conditionalFormatting sqref="D354">
    <cfRule type="duplicateValues" dxfId="70" priority="3762"/>
    <cfRule type="duplicateValues" dxfId="69" priority="3761"/>
  </conditionalFormatting>
  <conditionalFormatting sqref="D356">
    <cfRule type="duplicateValues" dxfId="68" priority="5089"/>
  </conditionalFormatting>
  <conditionalFormatting sqref="D357">
    <cfRule type="duplicateValues" dxfId="67" priority="19739"/>
    <cfRule type="duplicateValues" dxfId="66" priority="19738"/>
  </conditionalFormatting>
  <conditionalFormatting sqref="D360">
    <cfRule type="duplicateValues" dxfId="65" priority="794"/>
  </conditionalFormatting>
  <conditionalFormatting sqref="D361:D362">
    <cfRule type="duplicateValues" dxfId="64" priority="17887"/>
    <cfRule type="duplicateValues" dxfId="63" priority="17888"/>
  </conditionalFormatting>
  <conditionalFormatting sqref="D363">
    <cfRule type="duplicateValues" dxfId="62" priority="4035"/>
    <cfRule type="duplicateValues" dxfId="61" priority="4036"/>
  </conditionalFormatting>
  <conditionalFormatting sqref="D364">
    <cfRule type="duplicateValues" dxfId="60" priority="3353"/>
    <cfRule type="duplicateValues" dxfId="59" priority="3352"/>
  </conditionalFormatting>
  <conditionalFormatting sqref="D365">
    <cfRule type="duplicateValues" dxfId="58" priority="5059"/>
  </conditionalFormatting>
  <conditionalFormatting sqref="D373">
    <cfRule type="duplicateValues" dxfId="57" priority="4133"/>
  </conditionalFormatting>
  <conditionalFormatting sqref="D380">
    <cfRule type="duplicateValues" dxfId="56" priority="2797"/>
    <cfRule type="duplicateValues" dxfId="55" priority="2796"/>
  </conditionalFormatting>
  <conditionalFormatting sqref="D382">
    <cfRule type="duplicateValues" dxfId="54" priority="258"/>
  </conditionalFormatting>
  <conditionalFormatting sqref="D385">
    <cfRule type="duplicateValues" dxfId="53" priority="1779"/>
  </conditionalFormatting>
  <conditionalFormatting sqref="D386">
    <cfRule type="duplicateValues" dxfId="52" priority="1542"/>
  </conditionalFormatting>
  <conditionalFormatting sqref="D387 D145 D74 D204 D1 D177:D179 D248 D338 D169 D90 D215 D200 D106 D113 D94 D155 D355 D122 D349:D353 D242:D244 D157:D158 D209:D211 D381 D322 D4:D6 D66:D68 D31 D70 D148 D340:D341 D186 D217 D324:D328 D124:D125 D358 D374:D379 D40 D278:D280 D131:D132 D8:D12 D163 D308:D310 D346 D282 D173:D174 D343 D229:D231 D206 D274:D276 D331:D334 D366:D372 D150 D116 D190:D193 D36 D100:D102 D219:D220 D336 D137 D15:D26 D81 D85:D87 D297:D298 D222:D223 D313 D108:D110 D317:D319 D252 D292:D294 D233:D235 D300:D302 D225:D226 D288:D290 D265:D271 D54:D64 D260:D262 D254:D255">
    <cfRule type="duplicateValues" dxfId="51" priority="19713"/>
  </conditionalFormatting>
  <conditionalFormatting sqref="D389">
    <cfRule type="duplicateValues" dxfId="50" priority="1541"/>
  </conditionalFormatting>
  <conditionalFormatting sqref="D390">
    <cfRule type="duplicateValues" dxfId="49" priority="1283"/>
  </conditionalFormatting>
  <conditionalFormatting sqref="D392 D359">
    <cfRule type="duplicateValues" dxfId="48" priority="2691"/>
    <cfRule type="duplicateValues" dxfId="47" priority="2690"/>
  </conditionalFormatting>
  <conditionalFormatting sqref="D395">
    <cfRule type="duplicateValues" dxfId="46" priority="2031"/>
    <cfRule type="duplicateValues" dxfId="45" priority="2030"/>
  </conditionalFormatting>
  <conditionalFormatting sqref="D396">
    <cfRule type="duplicateValues" dxfId="44" priority="1263"/>
  </conditionalFormatting>
  <conditionalFormatting sqref="D398">
    <cfRule type="duplicateValues" dxfId="43" priority="2906"/>
  </conditionalFormatting>
  <conditionalFormatting sqref="D399">
    <cfRule type="duplicateValues" dxfId="42" priority="59"/>
    <cfRule type="duplicateValues" dxfId="41" priority="58"/>
  </conditionalFormatting>
  <conditionalFormatting sqref="D400">
    <cfRule type="duplicateValues" dxfId="40" priority="167"/>
  </conditionalFormatting>
  <conditionalFormatting sqref="D404">
    <cfRule type="duplicateValues" dxfId="39" priority="1631"/>
    <cfRule type="duplicateValues" dxfId="38" priority="1632"/>
  </conditionalFormatting>
  <conditionalFormatting sqref="D410">
    <cfRule type="duplicateValues" dxfId="37" priority="1538"/>
    <cfRule type="duplicateValues" dxfId="36" priority="1539"/>
  </conditionalFormatting>
  <conditionalFormatting sqref="D412">
    <cfRule type="duplicateValues" dxfId="35" priority="1830"/>
    <cfRule type="duplicateValues" dxfId="34" priority="1831"/>
  </conditionalFormatting>
  <conditionalFormatting sqref="D416">
    <cfRule type="duplicateValues" dxfId="33" priority="1838"/>
    <cfRule type="duplicateValues" dxfId="32" priority="1837"/>
  </conditionalFormatting>
  <conditionalFormatting sqref="D419">
    <cfRule type="duplicateValues" dxfId="31" priority="1262"/>
    <cfRule type="duplicateValues" dxfId="30" priority="1261"/>
  </conditionalFormatting>
  <conditionalFormatting sqref="D433:D435">
    <cfRule type="duplicateValues" dxfId="29" priority="19120"/>
  </conditionalFormatting>
  <conditionalFormatting sqref="D436:D1048576 D292:D432 D259:D290 D1:D160 D162:D257">
    <cfRule type="duplicateValues" dxfId="28" priority="18746"/>
  </conditionalFormatting>
  <conditionalFormatting sqref="D436:D1048576">
    <cfRule type="duplicateValues" dxfId="27" priority="18760"/>
  </conditionalFormatting>
  <conditionalFormatting sqref="D534:D558 D106 D94 D182 D113 D122 D349:D353 D242:D244 D157:D158 D322 D31 D90 D70 D74 D148 D186 D355:D356 D217 D324:D328 D124:D125 D209:D211 D358 D374:D379 D38:D40 D131:D132 D215 D163 D308:D310 D346 D173:D180 D76:D77 D278:D282 D397:D398 D248 D340:D341 D206:D207 D1:D2 D387:D389 D411 D66:D68 D331:D334 D365:D372 D150:D152 D391 D169:D170 D343 D116 D417:D418 D190:D193 D36 D4:D6 D46 D100:D102 D567:D570 D219:D220 D197:D198 D274:D276 D393:D394 D336:D338 D137 D85:D87 D297:D298 D222:D223 D313 D108:D110 D420:D435 D405:D409 D8:D26 D79:D81 D317:D319 D142:D146 D300:D304 D204 D381:D384 D225:D226 D288:D294 D233:D238 D200:D202 D401:D403 D413:D415 D265:D272 D258:D262 D213 D250:D255 D51:D64 D229:D231 D155">
    <cfRule type="duplicateValues" dxfId="26" priority="19085"/>
  </conditionalFormatting>
  <conditionalFormatting sqref="D562">
    <cfRule type="duplicateValues" dxfId="25" priority="234"/>
    <cfRule type="duplicateValues" dxfId="24" priority="235"/>
  </conditionalFormatting>
  <conditionalFormatting sqref="D700">
    <cfRule type="duplicateValues" dxfId="23" priority="4132"/>
  </conditionalFormatting>
  <conditionalFormatting sqref="D701:D702">
    <cfRule type="duplicateValues" dxfId="22" priority="2753"/>
    <cfRule type="duplicateValues" dxfId="21" priority="2752"/>
  </conditionalFormatting>
  <conditionalFormatting sqref="D703:D704">
    <cfRule type="duplicateValues" dxfId="20" priority="2750"/>
    <cfRule type="duplicateValues" dxfId="19" priority="2749"/>
  </conditionalFormatting>
  <conditionalFormatting sqref="D705:D706">
    <cfRule type="duplicateValues" dxfId="18" priority="2747"/>
    <cfRule type="duplicateValues" dxfId="17" priority="2746"/>
  </conditionalFormatting>
  <conditionalFormatting sqref="D707">
    <cfRule type="duplicateValues" dxfId="16" priority="18680"/>
    <cfRule type="duplicateValues" dxfId="15" priority="18681"/>
  </conditionalFormatting>
  <conditionalFormatting sqref="D708:D709">
    <cfRule type="duplicateValues" dxfId="14" priority="2741"/>
    <cfRule type="duplicateValues" dxfId="13" priority="2740"/>
  </conditionalFormatting>
  <conditionalFormatting sqref="D710:D711">
    <cfRule type="duplicateValues" dxfId="12" priority="2737"/>
    <cfRule type="duplicateValues" dxfId="11" priority="2738"/>
  </conditionalFormatting>
  <conditionalFormatting sqref="D712:D713">
    <cfRule type="duplicateValues" dxfId="10" priority="2734"/>
    <cfRule type="duplicateValues" dxfId="9" priority="2735"/>
  </conditionalFormatting>
  <conditionalFormatting sqref="D714:D715">
    <cfRule type="duplicateValues" dxfId="8" priority="2732"/>
    <cfRule type="duplicateValues" dxfId="7" priority="2731"/>
  </conditionalFormatting>
  <conditionalFormatting sqref="D716">
    <cfRule type="duplicateValues" dxfId="6" priority="14321"/>
    <cfRule type="duplicateValues" dxfId="5" priority="14322"/>
  </conditionalFormatting>
  <conditionalFormatting sqref="D717:D718">
    <cfRule type="duplicateValues" dxfId="4" priority="2725"/>
    <cfRule type="duplicateValues" dxfId="3" priority="2726"/>
  </conditionalFormatting>
  <conditionalFormatting sqref="I61">
    <cfRule type="duplicateValues" dxfId="2" priority="157"/>
  </conditionalFormatting>
  <conditionalFormatting sqref="I268">
    <cfRule type="duplicateValues" dxfId="1" priority="159"/>
  </conditionalFormatting>
  <conditionalFormatting sqref="I473">
    <cfRule type="duplicateValues" dxfId="0" priority="57"/>
  </conditionalFormatting>
  <pageMargins left="0.7" right="0.7" top="0.75" bottom="0.75" header="0.3" footer="0.3"/>
  <pageSetup orientation="portrait" r:id="rId1"/>
  <headerFooter>
    <oddHeader>&amp;CA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59F5-AE7E-4FB6-AF26-621352EC4079}">
  <sheetPr codeName="Hoja29"/>
  <dimension ref="A2:F17"/>
  <sheetViews>
    <sheetView topLeftCell="A2" workbookViewId="0">
      <selection activeCell="A3" sqref="A3"/>
    </sheetView>
  </sheetViews>
  <sheetFormatPr baseColWidth="10" defaultRowHeight="14.5" x14ac:dyDescent="0.35"/>
  <cols>
    <col min="1" max="1" width="38" customWidth="1"/>
    <col min="4" max="4" width="22.81640625" bestFit="1" customWidth="1"/>
    <col min="5" max="5" width="14.08984375" bestFit="1" customWidth="1"/>
    <col min="6" max="6" width="12.54296875" bestFit="1" customWidth="1"/>
  </cols>
  <sheetData>
    <row r="2" spans="1:6" x14ac:dyDescent="0.35">
      <c r="A2" t="s">
        <v>138</v>
      </c>
      <c r="B2" t="s">
        <v>2</v>
      </c>
      <c r="C2" t="s">
        <v>5</v>
      </c>
      <c r="D2" t="s">
        <v>126</v>
      </c>
      <c r="E2" t="s">
        <v>1801</v>
      </c>
      <c r="F2" t="s">
        <v>1802</v>
      </c>
    </row>
    <row r="3" spans="1:6" x14ac:dyDescent="0.35">
      <c r="A3" t="str">
        <f>_xlfn.CONCAT(B3,D3,C3)</f>
        <v>VACANTECONSULTOR ESPECIALISTAMX</v>
      </c>
      <c r="B3" t="s">
        <v>4</v>
      </c>
      <c r="C3" t="s">
        <v>8</v>
      </c>
      <c r="D3" t="s">
        <v>57</v>
      </c>
      <c r="E3" s="63">
        <v>5450278.9667067919</v>
      </c>
      <c r="F3" s="65">
        <f>E3/30</f>
        <v>181675.96555689306</v>
      </c>
    </row>
    <row r="4" spans="1:6" x14ac:dyDescent="0.35">
      <c r="A4" t="str">
        <f t="shared" ref="A4:A17" si="0">_xlfn.CONCAT(B4,D4,C4)</f>
        <v>VACANTECONSULTOR EXPERTOMX</v>
      </c>
      <c r="B4" t="s">
        <v>4</v>
      </c>
      <c r="C4" t="s">
        <v>8</v>
      </c>
      <c r="D4" s="64" t="s">
        <v>59</v>
      </c>
      <c r="E4" s="63">
        <v>5961658.1759375287</v>
      </c>
      <c r="F4" s="65">
        <f t="shared" ref="F4:F16" si="1">E4/30</f>
        <v>198721.93919791761</v>
      </c>
    </row>
    <row r="5" spans="1:6" x14ac:dyDescent="0.35">
      <c r="A5" t="str">
        <f t="shared" si="0"/>
        <v>VACANTECONSULTOR MASTERMX</v>
      </c>
      <c r="B5" t="s">
        <v>4</v>
      </c>
      <c r="C5" t="s">
        <v>8</v>
      </c>
      <c r="D5" s="63" t="s">
        <v>60</v>
      </c>
      <c r="E5" s="63">
        <v>6289431.2556634312</v>
      </c>
      <c r="F5" s="65">
        <f t="shared" si="1"/>
        <v>209647.70852211438</v>
      </c>
    </row>
    <row r="6" spans="1:6" x14ac:dyDescent="0.35">
      <c r="A6" t="str">
        <f t="shared" si="0"/>
        <v>VACANTECONSULTOR ESPECIALISTAVD</v>
      </c>
      <c r="B6" t="s">
        <v>4</v>
      </c>
      <c r="C6" t="s">
        <v>9</v>
      </c>
      <c r="D6" t="s">
        <v>57</v>
      </c>
      <c r="E6" s="63">
        <v>5661499.4772907468</v>
      </c>
      <c r="F6" s="65">
        <f t="shared" si="1"/>
        <v>188716.64924302491</v>
      </c>
    </row>
    <row r="7" spans="1:6" x14ac:dyDescent="0.35">
      <c r="A7" t="str">
        <f t="shared" si="0"/>
        <v>VACANTECONSULTOR EXPERTOVD</v>
      </c>
      <c r="B7" t="s">
        <v>4</v>
      </c>
      <c r="C7" t="s">
        <v>9</v>
      </c>
      <c r="D7" s="64" t="s">
        <v>59</v>
      </c>
      <c r="E7" s="63">
        <v>6182497.5418155203</v>
      </c>
      <c r="F7" s="65">
        <f t="shared" si="1"/>
        <v>206083.25139385069</v>
      </c>
    </row>
    <row r="8" spans="1:6" x14ac:dyDescent="0.35">
      <c r="A8" t="str">
        <f t="shared" si="0"/>
        <v>VACANTECONSULTOR MASTERVD</v>
      </c>
      <c r="B8" t="s">
        <v>4</v>
      </c>
      <c r="C8" t="s">
        <v>9</v>
      </c>
      <c r="D8" s="63" t="s">
        <v>60</v>
      </c>
      <c r="E8" s="63">
        <v>6481277.1572373137</v>
      </c>
      <c r="F8" s="65">
        <f t="shared" si="1"/>
        <v>216042.57190791046</v>
      </c>
    </row>
    <row r="9" spans="1:6" x14ac:dyDescent="0.35">
      <c r="A9" t="str">
        <f t="shared" si="0"/>
        <v>VACANTECONSULTOR ESPECIALISTAHA</v>
      </c>
      <c r="B9" t="s">
        <v>4</v>
      </c>
      <c r="C9" t="s">
        <v>12</v>
      </c>
      <c r="D9" t="s">
        <v>57</v>
      </c>
      <c r="E9" s="63">
        <v>5661499.4772907468</v>
      </c>
      <c r="F9" s="65">
        <f t="shared" si="1"/>
        <v>188716.64924302491</v>
      </c>
    </row>
    <row r="10" spans="1:6" x14ac:dyDescent="0.35">
      <c r="A10" t="str">
        <f t="shared" si="0"/>
        <v>VACANTECONSULTOR EXPERTOHA</v>
      </c>
      <c r="B10" t="s">
        <v>4</v>
      </c>
      <c r="C10" t="s">
        <v>12</v>
      </c>
      <c r="D10" s="64" t="s">
        <v>59</v>
      </c>
      <c r="E10" s="63">
        <v>6182497.5418155203</v>
      </c>
      <c r="F10" s="65">
        <f t="shared" si="1"/>
        <v>206083.25139385069</v>
      </c>
    </row>
    <row r="11" spans="1:6" x14ac:dyDescent="0.35">
      <c r="A11" t="str">
        <f t="shared" si="0"/>
        <v>VACANTECONSULTOR MASTERHA</v>
      </c>
      <c r="B11" t="s">
        <v>4</v>
      </c>
      <c r="C11" t="s">
        <v>12</v>
      </c>
      <c r="D11" s="63" t="s">
        <v>60</v>
      </c>
      <c r="E11" s="63">
        <v>6481277.1572373137</v>
      </c>
      <c r="F11" s="65">
        <f t="shared" si="1"/>
        <v>216042.57190791046</v>
      </c>
    </row>
    <row r="12" spans="1:6" x14ac:dyDescent="0.35">
      <c r="A12" t="str">
        <f t="shared" si="0"/>
        <v>VACANTECONSULTOR ESPECIALISTAEB</v>
      </c>
      <c r="B12" t="s">
        <v>4</v>
      </c>
      <c r="C12" t="s">
        <v>10</v>
      </c>
      <c r="D12" t="s">
        <v>57</v>
      </c>
      <c r="E12" s="63">
        <v>5661499.4772907468</v>
      </c>
      <c r="F12" s="65">
        <f t="shared" si="1"/>
        <v>188716.64924302491</v>
      </c>
    </row>
    <row r="13" spans="1:6" x14ac:dyDescent="0.35">
      <c r="A13" t="str">
        <f t="shared" si="0"/>
        <v>VACANTECONSULTOR EXPERTOEB</v>
      </c>
      <c r="B13" t="s">
        <v>4</v>
      </c>
      <c r="C13" t="s">
        <v>10</v>
      </c>
      <c r="D13" s="64" t="s">
        <v>59</v>
      </c>
      <c r="E13" s="63">
        <v>6182497.5418155203</v>
      </c>
      <c r="F13" s="65">
        <f t="shared" si="1"/>
        <v>206083.25139385069</v>
      </c>
    </row>
    <row r="14" spans="1:6" x14ac:dyDescent="0.35">
      <c r="A14" t="str">
        <f t="shared" si="0"/>
        <v>VACANTECONSULTOR MASTEREB</v>
      </c>
      <c r="B14" t="s">
        <v>4</v>
      </c>
      <c r="C14" t="s">
        <v>10</v>
      </c>
      <c r="D14" s="63" t="s">
        <v>60</v>
      </c>
      <c r="E14" s="63">
        <v>6481277.1572373137</v>
      </c>
      <c r="F14" s="65">
        <f t="shared" si="1"/>
        <v>216042.57190791046</v>
      </c>
    </row>
    <row r="15" spans="1:6" x14ac:dyDescent="0.35">
      <c r="A15" t="str">
        <f t="shared" si="0"/>
        <v>VACANTECONSULTOR ESPECIALISTAOS</v>
      </c>
      <c r="B15" t="s">
        <v>4</v>
      </c>
      <c r="C15" t="s">
        <v>16</v>
      </c>
      <c r="D15" t="s">
        <v>57</v>
      </c>
      <c r="E15" s="63">
        <v>5661499.4772907468</v>
      </c>
      <c r="F15" s="65">
        <f t="shared" si="1"/>
        <v>188716.64924302491</v>
      </c>
    </row>
    <row r="16" spans="1:6" x14ac:dyDescent="0.35">
      <c r="A16" t="str">
        <f t="shared" si="0"/>
        <v>VACANTECONSULTOR PROFESIONALVD</v>
      </c>
      <c r="B16" t="s">
        <v>4</v>
      </c>
      <c r="C16" t="s">
        <v>9</v>
      </c>
      <c r="D16" t="s">
        <v>61</v>
      </c>
      <c r="E16" s="63">
        <v>6481277.1572373137</v>
      </c>
      <c r="F16" s="65">
        <f t="shared" si="1"/>
        <v>216042.57190791046</v>
      </c>
    </row>
    <row r="17" spans="1:1" x14ac:dyDescent="0.35">
      <c r="A17" t="str">
        <f t="shared" si="0"/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71E482BF0C4C47B5CCE00345DCFB1F" ma:contentTypeVersion="5" ma:contentTypeDescription="Crear nuevo documento." ma:contentTypeScope="" ma:versionID="97d5e8e0641c9a032c07f64eaeacfbd7">
  <xsd:schema xmlns:xsd="http://www.w3.org/2001/XMLSchema" xmlns:xs="http://www.w3.org/2001/XMLSchema" xmlns:p="http://schemas.microsoft.com/office/2006/metadata/properties" xmlns:ns3="8c9d8385-970e-4112-ba22-3d5a95185c90" targetNamespace="http://schemas.microsoft.com/office/2006/metadata/properties" ma:root="true" ma:fieldsID="1cd16a4bffd9f46e9a1bb5001f48ab52" ns3:_="">
    <xsd:import namespace="8c9d8385-970e-4112-ba22-3d5a95185c9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d8385-970e-4112-ba22-3d5a95185c9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023072-8159-4EA2-89EA-734F5A39F5D9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8c9d8385-970e-4112-ba22-3d5a95185c90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90191B9-FD7F-4C97-85EA-8EFB99F43A27}">
  <ds:schemaRefs>
    <ds:schemaRef ds:uri="http://gemini/pivotcustomization/ShowHidden"/>
  </ds:schemaRefs>
</ds:datastoreItem>
</file>

<file path=customXml/itemProps3.xml><?xml version="1.0" encoding="utf-8"?>
<ds:datastoreItem xmlns:ds="http://schemas.openxmlformats.org/officeDocument/2006/customXml" ds:itemID="{2C8088A2-5790-40BE-B28C-88C730CAFAAD}">
  <ds:schemaRefs>
    <ds:schemaRef ds:uri="http://gemini/pivotcustomization/TableXML_NHC_78"/>
  </ds:schemaRefs>
</ds:datastoreItem>
</file>

<file path=customXml/itemProps4.xml><?xml version="1.0" encoding="utf-8"?>
<ds:datastoreItem xmlns:ds="http://schemas.openxmlformats.org/officeDocument/2006/customXml" ds:itemID="{801C7113-FC6D-490F-87D2-A4CC21749E49}">
  <ds:schemaRefs>
    <ds:schemaRef ds:uri="http://gemini/pivotcustomization/RelationshipAutoDetectionEnabled"/>
  </ds:schemaRefs>
</ds:datastoreItem>
</file>

<file path=customXml/itemProps5.xml><?xml version="1.0" encoding="utf-8"?>
<ds:datastoreItem xmlns:ds="http://schemas.openxmlformats.org/officeDocument/2006/customXml" ds:itemID="{0F89EE8F-F49C-4127-B56C-818C59100E7F}">
  <ds:schemaRefs>
    <ds:schemaRef ds:uri="http://gemini/pivotcustomization/TableWidget"/>
  </ds:schemaRefs>
</ds:datastoreItem>
</file>

<file path=customXml/itemProps6.xml><?xml version="1.0" encoding="utf-8"?>
<ds:datastoreItem xmlns:ds="http://schemas.openxmlformats.org/officeDocument/2006/customXml" ds:itemID="{F9705CB8-FA65-457F-8B51-6242C599EAE0}">
  <ds:schemaRefs>
    <ds:schemaRef ds:uri="http://gemini/pivotcustomization/9b4b68ea-a824-4038-8837-ff243b4b0f60"/>
  </ds:schemaRefs>
</ds:datastoreItem>
</file>

<file path=customXml/itemProps7.xml><?xml version="1.0" encoding="utf-8"?>
<ds:datastoreItem xmlns:ds="http://schemas.openxmlformats.org/officeDocument/2006/customXml" ds:itemID="{E0F3AA86-F010-467F-AD2E-F0689E54F4B1}">
  <ds:schemaRefs>
    <ds:schemaRef ds:uri="http://gemini/pivotcustomization/SandboxNonEmpty"/>
  </ds:schemaRefs>
</ds:datastoreItem>
</file>

<file path=customXml/itemProps8.xml><?xml version="1.0" encoding="utf-8"?>
<ds:datastoreItem xmlns:ds="http://schemas.openxmlformats.org/officeDocument/2006/customXml" ds:itemID="{479D36B9-36F7-47D7-9F53-81B1CB13AA59}">
  <ds:schemaRefs>
    <ds:schemaRef ds:uri="http://gemini/pivotcustomization/FormulaBarState"/>
  </ds:schemaRefs>
</ds:datastoreItem>
</file>

<file path=customXml/itemProps9.xml><?xml version="1.0" encoding="utf-8"?>
<ds:datastoreItem xmlns:ds="http://schemas.openxmlformats.org/officeDocument/2006/customXml" ds:itemID="{0365E29F-2CC8-41C1-A421-9F669354DDD2}">
  <ds:schemaRefs>
    <ds:schemaRef ds:uri="http://gemini/pivotcustomization/ManualCalcMode"/>
  </ds:schemaRefs>
</ds:datastoreItem>
</file>

<file path=customXml/itemProps10.xml><?xml version="1.0" encoding="utf-8"?>
<ds:datastoreItem xmlns:ds="http://schemas.openxmlformats.org/officeDocument/2006/customXml" ds:itemID="{ADCCE7BB-0CE6-4602-9DA6-8DC45F2578E8}">
  <ds:schemaRefs>
    <ds:schemaRef ds:uri="http://gemini/pivotcustomization/ShowImplicitMeasures"/>
  </ds:schemaRefs>
</ds:datastoreItem>
</file>

<file path=customXml/itemProps11.xml><?xml version="1.0" encoding="utf-8"?>
<ds:datastoreItem xmlns:ds="http://schemas.openxmlformats.org/officeDocument/2006/customXml" ds:itemID="{F0E778CD-6E69-41FC-954D-EF49819053F3}">
  <ds:schemaRefs>
    <ds:schemaRef ds:uri="http://gemini/pivotcustomization/Diagrams"/>
  </ds:schemaRefs>
</ds:datastoreItem>
</file>

<file path=customXml/itemProps12.xml><?xml version="1.0" encoding="utf-8"?>
<ds:datastoreItem xmlns:ds="http://schemas.openxmlformats.org/officeDocument/2006/customXml" ds:itemID="{1594BAA9-F013-4F76-B4BE-950AD688FDFE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E5926679-CFAD-4756-B607-FA92AFF7A248}">
  <ds:schemaRefs>
    <ds:schemaRef ds:uri="http://gemini/pivotcustomization/LinkedTableUpdateMode"/>
  </ds:schemaRefs>
</ds:datastoreItem>
</file>

<file path=customXml/itemProps14.xml><?xml version="1.0" encoding="utf-8"?>
<ds:datastoreItem xmlns:ds="http://schemas.openxmlformats.org/officeDocument/2006/customXml" ds:itemID="{D6AABE21-2864-40B3-995F-0CB6C365458A}">
  <ds:schemaRefs>
    <ds:schemaRef ds:uri="http://schemas.microsoft.com/sharepoint/v3/contenttype/forms"/>
  </ds:schemaRefs>
</ds:datastoreItem>
</file>

<file path=customXml/itemProps15.xml><?xml version="1.0" encoding="utf-8"?>
<ds:datastoreItem xmlns:ds="http://schemas.openxmlformats.org/officeDocument/2006/customXml" ds:itemID="{2DA8F9D9-90D3-4E3C-9093-8209E9182E2C}">
  <ds:schemaRefs>
    <ds:schemaRef ds:uri="http://gemini/pivotcustomization/PowerPivotVersion"/>
  </ds:schemaRefs>
</ds:datastoreItem>
</file>

<file path=customXml/itemProps16.xml><?xml version="1.0" encoding="utf-8"?>
<ds:datastoreItem xmlns:ds="http://schemas.openxmlformats.org/officeDocument/2006/customXml" ds:itemID="{190DE681-C926-452F-B686-B859FCA428D8}">
  <ds:schemaRefs>
    <ds:schemaRef ds:uri="http://gemini/pivotcustomization/IsSandboxEmbedded"/>
  </ds:schemaRefs>
</ds:datastoreItem>
</file>

<file path=customXml/itemProps17.xml><?xml version="1.0" encoding="utf-8"?>
<ds:datastoreItem xmlns:ds="http://schemas.openxmlformats.org/officeDocument/2006/customXml" ds:itemID="{438C5484-832C-4115-86CA-2C2EB082981E}">
  <ds:schemaRefs>
    <ds:schemaRef ds:uri="http://gemini/pivotcustomization/MeasureGridState"/>
  </ds:schemaRefs>
</ds:datastoreItem>
</file>

<file path=customXml/itemProps18.xml><?xml version="1.0" encoding="utf-8"?>
<ds:datastoreItem xmlns:ds="http://schemas.openxmlformats.org/officeDocument/2006/customXml" ds:itemID="{EB882B3E-B6C0-4CB0-8465-F0EA1DCA968C}">
  <ds:schemaRefs>
    <ds:schemaRef ds:uri="http://gemini/pivotcustomization/TableOrder"/>
  </ds:schemaRefs>
</ds:datastoreItem>
</file>

<file path=customXml/itemProps19.xml><?xml version="1.0" encoding="utf-8"?>
<ds:datastoreItem xmlns:ds="http://schemas.openxmlformats.org/officeDocument/2006/customXml" ds:itemID="{8E4B3E18-2B81-4DDE-8253-6E5A69043956}">
  <ds:schemaRefs>
    <ds:schemaRef ds:uri="http://gemini/pivotcustomization/ErrorCache"/>
  </ds:schemaRefs>
</ds:datastoreItem>
</file>

<file path=customXml/itemProps20.xml><?xml version="1.0" encoding="utf-8"?>
<ds:datastoreItem xmlns:ds="http://schemas.openxmlformats.org/officeDocument/2006/customXml" ds:itemID="{6280292C-3C68-4ACD-8682-CD5FF6500AFE}">
  <ds:schemaRefs>
    <ds:schemaRef ds:uri="http://gemini/pivotcustomization/ClientWindowXML"/>
  </ds:schemaRefs>
</ds:datastoreItem>
</file>

<file path=customXml/itemProps21.xml><?xml version="1.0" encoding="utf-8"?>
<ds:datastoreItem xmlns:ds="http://schemas.openxmlformats.org/officeDocument/2006/customXml" ds:itemID="{4ADAC0B1-79A4-4CF4-B81A-F769D7F49B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9d8385-970e-4112-ba22-3d5a95185c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NHC TD</vt:lpstr>
      <vt:lpstr>RESUMEN</vt:lpstr>
      <vt:lpstr>DIRECTORY ALL</vt:lpstr>
      <vt:lpstr>NHC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Gabriel Castro Salamanca/VD Retail Management Group/Professional/Samsung Electronics</dc:creator>
  <cp:keywords/>
  <dc:description/>
  <cp:lastModifiedBy>Daniel Fernando Barrera Vega</cp:lastModifiedBy>
  <cp:revision/>
  <cp:lastPrinted>2026-07-27T21:57:13Z</cp:lastPrinted>
  <dcterms:created xsi:type="dcterms:W3CDTF">2024-12-21T14:18:02Z</dcterms:created>
  <dcterms:modified xsi:type="dcterms:W3CDTF">2026-10-22T17:00:10Z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0x010100B971E482BF0C4C47B5CCE00345DCFB1F</vt:lpwstr>
  </property>
  <property fmtid="{D5CDD505-2E9C-101B-9397-08002B2CF9AE}" pid="3" name="MSIP_Label_b64e5b13-2d98-4ce3-adad-008bcee42cb2_Enabled">
    <vt:lpwstr>true</vt:lpwstr>
  </property>
  <property fmtid="{D5CDD505-2E9C-101B-9397-08002B2CF9AE}" pid="4" name="MSIP_Label_b64e5b13-2d98-4ce3-adad-008bcee42cb2_SetDate">
    <vt:lpwstr>2025-02-19T13:21:05Z</vt:lpwstr>
  </property>
  <property fmtid="{D5CDD505-2E9C-101B-9397-08002B2CF9AE}" pid="5" name="MSIP_Label_b64e5b13-2d98-4ce3-adad-008bcee42cb2_Method">
    <vt:lpwstr>Standard</vt:lpwstr>
  </property>
  <property fmtid="{D5CDD505-2E9C-101B-9397-08002B2CF9AE}" pid="6" name="MSIP_Label_b64e5b13-2d98-4ce3-adad-008bcee42cb2_Name">
    <vt:lpwstr>Información Confidencial</vt:lpwstr>
  </property>
  <property fmtid="{D5CDD505-2E9C-101B-9397-08002B2CF9AE}" pid="7" name="MSIP_Label_b64e5b13-2d98-4ce3-adad-008bcee42cb2_SiteId">
    <vt:lpwstr>d2bc208e-4fff-4078-b5ac-f69a6a266ff3</vt:lpwstr>
  </property>
  <property fmtid="{D5CDD505-2E9C-101B-9397-08002B2CF9AE}" pid="8" name="MSIP_Label_b64e5b13-2d98-4ce3-adad-008bcee42cb2_ActionId">
    <vt:lpwstr>7b8f95ca-8dfd-440e-b993-a8e97b6019ea</vt:lpwstr>
  </property>
  <property fmtid="{D5CDD505-2E9C-101B-9397-08002B2CF9AE}" pid="9" name="MSIP_Label_b64e5b13-2d98-4ce3-adad-008bcee42cb2_ContentBits">
    <vt:lpwstr>0</vt:lpwstr>
  </property>
  <property fmtid="{D5CDD505-2E9C-101B-9397-08002B2CF9AE}" pid="10" name="MSIP_Label_b64e5b13-2d98-4ce3-adad-008bcee42cb2_Tag">
    <vt:lpwstr>10, 3, 0, 2</vt:lpwstr>
  </property>
</Properties>
</file>